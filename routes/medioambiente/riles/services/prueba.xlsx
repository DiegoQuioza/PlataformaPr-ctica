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smu-my.sharepoint.com/personal/dquioza_smu_cl/Documents/"/>
    </mc:Choice>
  </mc:AlternateContent>
  <xr:revisionPtr revIDLastSave="0" documentId="8_{F09BFDD7-C8E9-4723-AB1F-6F5D1930D79C}" xr6:coauthVersionLast="47" xr6:coauthVersionMax="47" xr10:uidLastSave="{00000000-0000-0000-0000-000000000000}"/>
  <bookViews>
    <workbookView xWindow="-120" yWindow="-120" windowWidth="20730" windowHeight="11040" xr2:uid="{9E7C89F7-8BE3-4365-AF95-9547BD619852}"/>
  </bookViews>
  <sheets>
    <sheet name="Fiscalizaciones 202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27" i="1" l="1"/>
  <c r="X1727" i="1" s="1"/>
  <c r="T1727" i="1"/>
  <c r="P1727" i="1"/>
  <c r="O1727" i="1"/>
  <c r="N1727" i="1"/>
  <c r="M1727" i="1"/>
  <c r="L1727" i="1"/>
  <c r="K1727" i="1"/>
  <c r="J1727" i="1"/>
  <c r="X1726" i="1"/>
  <c r="W1726" i="1"/>
  <c r="T1726" i="1"/>
  <c r="P1726" i="1"/>
  <c r="O1726" i="1"/>
  <c r="N1726" i="1"/>
  <c r="M1726" i="1"/>
  <c r="L1726" i="1"/>
  <c r="K1726" i="1"/>
  <c r="J1726" i="1"/>
  <c r="X1725" i="1"/>
  <c r="W1725" i="1"/>
  <c r="T1725" i="1"/>
  <c r="P1725" i="1"/>
  <c r="O1725" i="1"/>
  <c r="N1725" i="1"/>
  <c r="M1725" i="1"/>
  <c r="L1725" i="1"/>
  <c r="K1725" i="1"/>
  <c r="J1725" i="1"/>
  <c r="X1724" i="1"/>
  <c r="W1724" i="1"/>
  <c r="T1724" i="1"/>
  <c r="P1724" i="1"/>
  <c r="O1724" i="1"/>
  <c r="N1724" i="1"/>
  <c r="M1724" i="1"/>
  <c r="L1724" i="1"/>
  <c r="K1724" i="1"/>
  <c r="J1724" i="1"/>
  <c r="X1723" i="1"/>
  <c r="W1723" i="1"/>
  <c r="T1723" i="1"/>
  <c r="P1723" i="1"/>
  <c r="O1723" i="1"/>
  <c r="N1723" i="1"/>
  <c r="M1723" i="1"/>
  <c r="L1723" i="1"/>
  <c r="K1723" i="1"/>
  <c r="J1723" i="1"/>
  <c r="X1722" i="1"/>
  <c r="W1722" i="1"/>
  <c r="T1722" i="1"/>
  <c r="P1722" i="1"/>
  <c r="O1722" i="1"/>
  <c r="N1722" i="1"/>
  <c r="M1722" i="1"/>
  <c r="L1722" i="1"/>
  <c r="K1722" i="1"/>
  <c r="J1722" i="1"/>
  <c r="X1721" i="1"/>
  <c r="W1721" i="1"/>
  <c r="T1721" i="1"/>
  <c r="P1721" i="1"/>
  <c r="O1721" i="1"/>
  <c r="N1721" i="1"/>
  <c r="M1721" i="1"/>
  <c r="L1721" i="1"/>
  <c r="K1721" i="1"/>
  <c r="J1721" i="1"/>
  <c r="X1720" i="1"/>
  <c r="W1720" i="1"/>
  <c r="T1720" i="1"/>
  <c r="P1720" i="1"/>
  <c r="O1720" i="1"/>
  <c r="N1720" i="1"/>
  <c r="M1720" i="1"/>
  <c r="L1720" i="1"/>
  <c r="K1720" i="1"/>
  <c r="J1720" i="1"/>
  <c r="X1719" i="1"/>
  <c r="W1719" i="1"/>
  <c r="T1719" i="1"/>
  <c r="P1719" i="1"/>
  <c r="O1719" i="1"/>
  <c r="N1719" i="1"/>
  <c r="M1719" i="1"/>
  <c r="L1719" i="1"/>
  <c r="K1719" i="1"/>
  <c r="J1719" i="1"/>
  <c r="X1718" i="1"/>
  <c r="W1718" i="1"/>
  <c r="T1718" i="1"/>
  <c r="P1718" i="1"/>
  <c r="O1718" i="1"/>
  <c r="N1718" i="1"/>
  <c r="M1718" i="1"/>
  <c r="L1718" i="1"/>
  <c r="K1718" i="1"/>
  <c r="J1718" i="1"/>
  <c r="X1717" i="1"/>
  <c r="W1717" i="1"/>
  <c r="T1717" i="1"/>
  <c r="P1717" i="1"/>
  <c r="O1717" i="1"/>
  <c r="N1717" i="1"/>
  <c r="M1717" i="1"/>
  <c r="L1717" i="1"/>
  <c r="K1717" i="1"/>
  <c r="J1717" i="1"/>
  <c r="X1716" i="1"/>
  <c r="W1716" i="1"/>
  <c r="T1716" i="1"/>
  <c r="P1716" i="1"/>
  <c r="O1716" i="1"/>
  <c r="N1716" i="1"/>
  <c r="M1716" i="1"/>
  <c r="L1716" i="1"/>
  <c r="K1716" i="1"/>
  <c r="J1716" i="1"/>
  <c r="X1715" i="1"/>
  <c r="W1715" i="1"/>
  <c r="T1715" i="1"/>
  <c r="P1715" i="1"/>
  <c r="O1715" i="1"/>
  <c r="N1715" i="1"/>
  <c r="M1715" i="1"/>
  <c r="L1715" i="1"/>
  <c r="K1715" i="1"/>
  <c r="J1715" i="1"/>
  <c r="X1714" i="1"/>
  <c r="W1714" i="1"/>
  <c r="T1714" i="1"/>
  <c r="P1714" i="1"/>
  <c r="O1714" i="1"/>
  <c r="N1714" i="1"/>
  <c r="M1714" i="1"/>
  <c r="L1714" i="1"/>
  <c r="K1714" i="1"/>
  <c r="J1714" i="1"/>
  <c r="X1713" i="1"/>
  <c r="W1713" i="1"/>
  <c r="T1713" i="1"/>
  <c r="P1713" i="1"/>
  <c r="O1713" i="1"/>
  <c r="N1713" i="1"/>
  <c r="M1713" i="1"/>
  <c r="L1713" i="1"/>
  <c r="K1713" i="1"/>
  <c r="J1713" i="1"/>
  <c r="X1712" i="1"/>
  <c r="W1712" i="1"/>
  <c r="T1712" i="1"/>
  <c r="P1712" i="1"/>
  <c r="O1712" i="1"/>
  <c r="N1712" i="1"/>
  <c r="M1712" i="1"/>
  <c r="L1712" i="1"/>
  <c r="K1712" i="1"/>
  <c r="J1712" i="1"/>
  <c r="W1711" i="1"/>
  <c r="X1711" i="1" s="1"/>
  <c r="T1711" i="1"/>
  <c r="P1711" i="1"/>
  <c r="O1711" i="1"/>
  <c r="N1711" i="1"/>
  <c r="M1711" i="1"/>
  <c r="L1711" i="1"/>
  <c r="K1711" i="1"/>
  <c r="J1711" i="1"/>
  <c r="W1710" i="1"/>
  <c r="X1710" i="1" s="1"/>
  <c r="T1710" i="1"/>
  <c r="P1710" i="1"/>
  <c r="O1710" i="1"/>
  <c r="N1710" i="1"/>
  <c r="M1710" i="1"/>
  <c r="L1710" i="1"/>
  <c r="K1710" i="1"/>
  <c r="J1710" i="1"/>
  <c r="W1709" i="1"/>
  <c r="X1709" i="1" s="1"/>
  <c r="T1709" i="1"/>
  <c r="P1709" i="1"/>
  <c r="O1709" i="1"/>
  <c r="N1709" i="1"/>
  <c r="M1709" i="1"/>
  <c r="L1709" i="1"/>
  <c r="K1709" i="1"/>
  <c r="J1709" i="1"/>
  <c r="W1708" i="1"/>
  <c r="X1708" i="1" s="1"/>
  <c r="T1708" i="1"/>
  <c r="P1708" i="1"/>
  <c r="O1708" i="1"/>
  <c r="N1708" i="1"/>
  <c r="M1708" i="1"/>
  <c r="L1708" i="1"/>
  <c r="K1708" i="1"/>
  <c r="J1708" i="1"/>
  <c r="W1707" i="1"/>
  <c r="X1707" i="1" s="1"/>
  <c r="T1707" i="1"/>
  <c r="P1707" i="1"/>
  <c r="O1707" i="1"/>
  <c r="N1707" i="1"/>
  <c r="M1707" i="1"/>
  <c r="L1707" i="1"/>
  <c r="K1707" i="1"/>
  <c r="J1707" i="1"/>
  <c r="W1706" i="1"/>
  <c r="X1706" i="1" s="1"/>
  <c r="T1706" i="1"/>
  <c r="P1706" i="1"/>
  <c r="O1706" i="1"/>
  <c r="N1706" i="1"/>
  <c r="M1706" i="1"/>
  <c r="L1706" i="1"/>
  <c r="K1706" i="1"/>
  <c r="J1706" i="1"/>
  <c r="X1705" i="1"/>
  <c r="W1705" i="1"/>
  <c r="T1705" i="1"/>
  <c r="P1705" i="1"/>
  <c r="O1705" i="1"/>
  <c r="N1705" i="1"/>
  <c r="M1705" i="1"/>
  <c r="L1705" i="1"/>
  <c r="K1705" i="1"/>
  <c r="J1705" i="1"/>
  <c r="W1704" i="1"/>
  <c r="X1704" i="1" s="1"/>
  <c r="T1704" i="1"/>
  <c r="P1704" i="1"/>
  <c r="O1704" i="1"/>
  <c r="N1704" i="1"/>
  <c r="M1704" i="1"/>
  <c r="L1704" i="1"/>
  <c r="K1704" i="1"/>
  <c r="J1704" i="1"/>
  <c r="X1703" i="1"/>
  <c r="W1703" i="1"/>
  <c r="T1703" i="1"/>
  <c r="P1703" i="1"/>
  <c r="O1703" i="1"/>
  <c r="N1703" i="1"/>
  <c r="M1703" i="1"/>
  <c r="L1703" i="1"/>
  <c r="K1703" i="1"/>
  <c r="J1703" i="1"/>
  <c r="W1702" i="1"/>
  <c r="X1702" i="1" s="1"/>
  <c r="T1702" i="1"/>
  <c r="P1702" i="1"/>
  <c r="O1702" i="1"/>
  <c r="N1702" i="1"/>
  <c r="M1702" i="1"/>
  <c r="L1702" i="1"/>
  <c r="K1702" i="1"/>
  <c r="J1702" i="1"/>
  <c r="X1701" i="1"/>
  <c r="W1701" i="1"/>
  <c r="T1701" i="1"/>
  <c r="P1701" i="1"/>
  <c r="O1701" i="1"/>
  <c r="N1701" i="1"/>
  <c r="M1701" i="1"/>
  <c r="L1701" i="1"/>
  <c r="K1701" i="1"/>
  <c r="J1701" i="1"/>
  <c r="W1700" i="1"/>
  <c r="X1700" i="1" s="1"/>
  <c r="T1700" i="1"/>
  <c r="P1700" i="1"/>
  <c r="O1700" i="1"/>
  <c r="N1700" i="1"/>
  <c r="M1700" i="1"/>
  <c r="L1700" i="1"/>
  <c r="K1700" i="1"/>
  <c r="J1700" i="1"/>
  <c r="X1699" i="1"/>
  <c r="W1699" i="1"/>
  <c r="T1699" i="1"/>
  <c r="P1699" i="1"/>
  <c r="O1699" i="1"/>
  <c r="N1699" i="1"/>
  <c r="M1699" i="1"/>
  <c r="L1699" i="1"/>
  <c r="K1699" i="1"/>
  <c r="J1699" i="1"/>
  <c r="W1698" i="1"/>
  <c r="X1698" i="1" s="1"/>
  <c r="T1698" i="1"/>
  <c r="P1698" i="1"/>
  <c r="O1698" i="1"/>
  <c r="N1698" i="1"/>
  <c r="M1698" i="1"/>
  <c r="L1698" i="1"/>
  <c r="K1698" i="1"/>
  <c r="J1698" i="1"/>
  <c r="X1697" i="1"/>
  <c r="W1697" i="1"/>
  <c r="T1697" i="1"/>
  <c r="P1697" i="1"/>
  <c r="O1697" i="1"/>
  <c r="N1697" i="1"/>
  <c r="M1697" i="1"/>
  <c r="L1697" i="1"/>
  <c r="K1697" i="1"/>
  <c r="J1697" i="1"/>
  <c r="W1696" i="1"/>
  <c r="X1696" i="1" s="1"/>
  <c r="T1696" i="1"/>
  <c r="P1696" i="1"/>
  <c r="O1696" i="1"/>
  <c r="N1696" i="1"/>
  <c r="M1696" i="1"/>
  <c r="L1696" i="1"/>
  <c r="K1696" i="1"/>
  <c r="J1696" i="1"/>
  <c r="X1695" i="1"/>
  <c r="W1695" i="1"/>
  <c r="T1695" i="1"/>
  <c r="P1695" i="1"/>
  <c r="O1695" i="1"/>
  <c r="N1695" i="1"/>
  <c r="M1695" i="1"/>
  <c r="L1695" i="1"/>
  <c r="K1695" i="1"/>
  <c r="J1695" i="1"/>
  <c r="W1694" i="1"/>
  <c r="X1694" i="1" s="1"/>
  <c r="T1694" i="1"/>
  <c r="P1694" i="1"/>
  <c r="O1694" i="1"/>
  <c r="N1694" i="1"/>
  <c r="M1694" i="1"/>
  <c r="L1694" i="1"/>
  <c r="K1694" i="1"/>
  <c r="J1694" i="1"/>
  <c r="X1693" i="1"/>
  <c r="W1693" i="1"/>
  <c r="T1693" i="1"/>
  <c r="P1693" i="1"/>
  <c r="O1693" i="1"/>
  <c r="N1693" i="1"/>
  <c r="M1693" i="1"/>
  <c r="L1693" i="1"/>
  <c r="K1693" i="1"/>
  <c r="J1693" i="1"/>
  <c r="W1692" i="1"/>
  <c r="X1692" i="1" s="1"/>
  <c r="T1692" i="1"/>
  <c r="P1692" i="1"/>
  <c r="O1692" i="1"/>
  <c r="N1692" i="1"/>
  <c r="M1692" i="1"/>
  <c r="L1692" i="1"/>
  <c r="K1692" i="1"/>
  <c r="J1692" i="1"/>
  <c r="X1691" i="1"/>
  <c r="W1691" i="1"/>
  <c r="T1691" i="1"/>
  <c r="P1691" i="1"/>
  <c r="O1691" i="1"/>
  <c r="N1691" i="1"/>
  <c r="M1691" i="1"/>
  <c r="L1691" i="1"/>
  <c r="K1691" i="1"/>
  <c r="J1691" i="1"/>
  <c r="X1690" i="1"/>
  <c r="W1690" i="1"/>
  <c r="T1690" i="1"/>
  <c r="P1690" i="1"/>
  <c r="O1690" i="1"/>
  <c r="N1690" i="1"/>
  <c r="M1690" i="1"/>
  <c r="L1690" i="1"/>
  <c r="K1690" i="1"/>
  <c r="J1690" i="1"/>
  <c r="X1689" i="1"/>
  <c r="W1689" i="1"/>
  <c r="T1689" i="1"/>
  <c r="P1689" i="1"/>
  <c r="O1689" i="1"/>
  <c r="N1689" i="1"/>
  <c r="M1689" i="1"/>
  <c r="L1689" i="1"/>
  <c r="K1689" i="1"/>
  <c r="J1689" i="1"/>
  <c r="W1688" i="1"/>
  <c r="X1688" i="1" s="1"/>
  <c r="T1688" i="1"/>
  <c r="P1688" i="1"/>
  <c r="O1688" i="1"/>
  <c r="N1688" i="1"/>
  <c r="M1688" i="1"/>
  <c r="L1688" i="1"/>
  <c r="K1688" i="1"/>
  <c r="J1688" i="1"/>
  <c r="X1687" i="1"/>
  <c r="W1687" i="1"/>
  <c r="T1687" i="1"/>
  <c r="P1687" i="1"/>
  <c r="O1687" i="1"/>
  <c r="N1687" i="1"/>
  <c r="M1687" i="1"/>
  <c r="L1687" i="1"/>
  <c r="K1687" i="1"/>
  <c r="J1687" i="1"/>
  <c r="W1686" i="1"/>
  <c r="X1686" i="1" s="1"/>
  <c r="T1686" i="1"/>
  <c r="P1686" i="1"/>
  <c r="O1686" i="1"/>
  <c r="N1686" i="1"/>
  <c r="M1686" i="1"/>
  <c r="L1686" i="1"/>
  <c r="K1686" i="1"/>
  <c r="J1686" i="1"/>
  <c r="X1685" i="1"/>
  <c r="W1685" i="1"/>
  <c r="T1685" i="1"/>
  <c r="P1685" i="1"/>
  <c r="O1685" i="1"/>
  <c r="N1685" i="1"/>
  <c r="M1685" i="1"/>
  <c r="L1685" i="1"/>
  <c r="K1685" i="1"/>
  <c r="J1685" i="1"/>
  <c r="W1684" i="1"/>
  <c r="X1684" i="1" s="1"/>
  <c r="T1684" i="1"/>
  <c r="P1684" i="1"/>
  <c r="O1684" i="1"/>
  <c r="N1684" i="1"/>
  <c r="M1684" i="1"/>
  <c r="L1684" i="1"/>
  <c r="K1684" i="1"/>
  <c r="J1684" i="1"/>
  <c r="X1683" i="1"/>
  <c r="W1683" i="1"/>
  <c r="T1683" i="1"/>
  <c r="P1683" i="1"/>
  <c r="O1683" i="1"/>
  <c r="N1683" i="1"/>
  <c r="M1683" i="1"/>
  <c r="L1683" i="1"/>
  <c r="K1683" i="1"/>
  <c r="J1683" i="1"/>
  <c r="W1682" i="1"/>
  <c r="X1682" i="1" s="1"/>
  <c r="T1682" i="1"/>
  <c r="P1682" i="1"/>
  <c r="O1682" i="1"/>
  <c r="N1682" i="1"/>
  <c r="M1682" i="1"/>
  <c r="L1682" i="1"/>
  <c r="K1682" i="1"/>
  <c r="J1682" i="1"/>
  <c r="X1681" i="1"/>
  <c r="W1681" i="1"/>
  <c r="T1681" i="1"/>
  <c r="P1681" i="1"/>
  <c r="O1681" i="1"/>
  <c r="N1681" i="1"/>
  <c r="M1681" i="1"/>
  <c r="L1681" i="1"/>
  <c r="K1681" i="1"/>
  <c r="J1681" i="1"/>
  <c r="W1680" i="1"/>
  <c r="X1680" i="1" s="1"/>
  <c r="T1680" i="1"/>
  <c r="P1680" i="1"/>
  <c r="O1680" i="1"/>
  <c r="N1680" i="1"/>
  <c r="M1680" i="1"/>
  <c r="L1680" i="1"/>
  <c r="K1680" i="1"/>
  <c r="J1680" i="1"/>
  <c r="X1679" i="1"/>
  <c r="W1679" i="1"/>
  <c r="T1679" i="1"/>
  <c r="P1679" i="1"/>
  <c r="O1679" i="1"/>
  <c r="N1679" i="1"/>
  <c r="M1679" i="1"/>
  <c r="L1679" i="1"/>
  <c r="K1679" i="1"/>
  <c r="J1679" i="1"/>
  <c r="W1678" i="1"/>
  <c r="X1678" i="1" s="1"/>
  <c r="T1678" i="1"/>
  <c r="P1678" i="1"/>
  <c r="O1678" i="1"/>
  <c r="N1678" i="1"/>
  <c r="M1678" i="1"/>
  <c r="L1678" i="1"/>
  <c r="K1678" i="1"/>
  <c r="J1678" i="1"/>
  <c r="X1677" i="1"/>
  <c r="W1677" i="1"/>
  <c r="T1677" i="1"/>
  <c r="P1677" i="1"/>
  <c r="O1677" i="1"/>
  <c r="N1677" i="1"/>
  <c r="M1677" i="1"/>
  <c r="L1677" i="1"/>
  <c r="K1677" i="1"/>
  <c r="J1677" i="1"/>
  <c r="W1676" i="1"/>
  <c r="X1676" i="1" s="1"/>
  <c r="T1676" i="1"/>
  <c r="P1676" i="1"/>
  <c r="O1676" i="1"/>
  <c r="N1676" i="1"/>
  <c r="M1676" i="1"/>
  <c r="L1676" i="1"/>
  <c r="K1676" i="1"/>
  <c r="J1676" i="1"/>
  <c r="X1675" i="1"/>
  <c r="W1675" i="1"/>
  <c r="T1675" i="1"/>
  <c r="P1675" i="1"/>
  <c r="O1675" i="1"/>
  <c r="N1675" i="1"/>
  <c r="M1675" i="1"/>
  <c r="L1675" i="1"/>
  <c r="K1675" i="1"/>
  <c r="J1675" i="1"/>
  <c r="X1674" i="1"/>
  <c r="W1674" i="1"/>
  <c r="T1674" i="1"/>
  <c r="P1674" i="1"/>
  <c r="O1674" i="1"/>
  <c r="N1674" i="1"/>
  <c r="M1674" i="1"/>
  <c r="L1674" i="1"/>
  <c r="K1674" i="1"/>
  <c r="J1674" i="1"/>
  <c r="X1673" i="1"/>
  <c r="W1673" i="1"/>
  <c r="T1673" i="1"/>
  <c r="P1673" i="1"/>
  <c r="O1673" i="1"/>
  <c r="N1673" i="1"/>
  <c r="M1673" i="1"/>
  <c r="L1673" i="1"/>
  <c r="K1673" i="1"/>
  <c r="J1673" i="1"/>
  <c r="W1672" i="1"/>
  <c r="X1672" i="1" s="1"/>
  <c r="T1672" i="1"/>
  <c r="P1672" i="1"/>
  <c r="O1672" i="1"/>
  <c r="N1672" i="1"/>
  <c r="M1672" i="1"/>
  <c r="L1672" i="1"/>
  <c r="K1672" i="1"/>
  <c r="J1672" i="1"/>
  <c r="X1671" i="1"/>
  <c r="W1671" i="1"/>
  <c r="T1671" i="1"/>
  <c r="P1671" i="1"/>
  <c r="O1671" i="1"/>
  <c r="N1671" i="1"/>
  <c r="M1671" i="1"/>
  <c r="L1671" i="1"/>
  <c r="K1671" i="1"/>
  <c r="J1671" i="1"/>
  <c r="W1670" i="1"/>
  <c r="X1670" i="1" s="1"/>
  <c r="T1670" i="1"/>
  <c r="P1670" i="1"/>
  <c r="O1670" i="1"/>
  <c r="N1670" i="1"/>
  <c r="M1670" i="1"/>
  <c r="L1670" i="1"/>
  <c r="K1670" i="1"/>
  <c r="J1670" i="1"/>
  <c r="X1669" i="1"/>
  <c r="W1669" i="1"/>
  <c r="T1669" i="1"/>
  <c r="P1669" i="1"/>
  <c r="O1669" i="1"/>
  <c r="N1669" i="1"/>
  <c r="M1669" i="1"/>
  <c r="L1669" i="1"/>
  <c r="K1669" i="1"/>
  <c r="J1669" i="1"/>
  <c r="W1668" i="1"/>
  <c r="X1668" i="1" s="1"/>
  <c r="T1668" i="1"/>
  <c r="P1668" i="1"/>
  <c r="O1668" i="1"/>
  <c r="N1668" i="1"/>
  <c r="M1668" i="1"/>
  <c r="L1668" i="1"/>
  <c r="K1668" i="1"/>
  <c r="J1668" i="1"/>
  <c r="X1667" i="1"/>
  <c r="W1667" i="1"/>
  <c r="T1667" i="1"/>
  <c r="P1667" i="1"/>
  <c r="O1667" i="1"/>
  <c r="N1667" i="1"/>
  <c r="M1667" i="1"/>
  <c r="L1667" i="1"/>
  <c r="K1667" i="1"/>
  <c r="J1667" i="1"/>
  <c r="X1666" i="1"/>
  <c r="W1666" i="1"/>
  <c r="T1666" i="1"/>
  <c r="P1666" i="1"/>
  <c r="O1666" i="1"/>
  <c r="N1666" i="1"/>
  <c r="M1666" i="1"/>
  <c r="L1666" i="1"/>
  <c r="K1666" i="1"/>
  <c r="J1666" i="1"/>
  <c r="X1665" i="1"/>
  <c r="W1665" i="1"/>
  <c r="T1665" i="1"/>
  <c r="P1665" i="1"/>
  <c r="O1665" i="1"/>
  <c r="N1665" i="1"/>
  <c r="M1665" i="1"/>
  <c r="L1665" i="1"/>
  <c r="K1665" i="1"/>
  <c r="J1665" i="1"/>
  <c r="W1664" i="1"/>
  <c r="X1664" i="1" s="1"/>
  <c r="T1664" i="1"/>
  <c r="P1664" i="1"/>
  <c r="O1664" i="1"/>
  <c r="N1664" i="1"/>
  <c r="M1664" i="1"/>
  <c r="L1664" i="1"/>
  <c r="K1664" i="1"/>
  <c r="J1664" i="1"/>
  <c r="X1663" i="1"/>
  <c r="W1663" i="1"/>
  <c r="T1663" i="1"/>
  <c r="P1663" i="1"/>
  <c r="O1663" i="1"/>
  <c r="N1663" i="1"/>
  <c r="M1663" i="1"/>
  <c r="L1663" i="1"/>
  <c r="K1663" i="1"/>
  <c r="J1663" i="1"/>
  <c r="W1662" i="1"/>
  <c r="X1662" i="1" s="1"/>
  <c r="T1662" i="1"/>
  <c r="P1662" i="1"/>
  <c r="O1662" i="1"/>
  <c r="N1662" i="1"/>
  <c r="M1662" i="1"/>
  <c r="L1662" i="1"/>
  <c r="K1662" i="1"/>
  <c r="J1662" i="1"/>
  <c r="X1661" i="1"/>
  <c r="W1661" i="1"/>
  <c r="T1661" i="1"/>
  <c r="P1661" i="1"/>
  <c r="O1661" i="1"/>
  <c r="N1661" i="1"/>
  <c r="M1661" i="1"/>
  <c r="L1661" i="1"/>
  <c r="K1661" i="1"/>
  <c r="J1661" i="1"/>
  <c r="W1660" i="1"/>
  <c r="X1660" i="1" s="1"/>
  <c r="T1660" i="1"/>
  <c r="P1660" i="1"/>
  <c r="O1660" i="1"/>
  <c r="N1660" i="1"/>
  <c r="M1660" i="1"/>
  <c r="L1660" i="1"/>
  <c r="K1660" i="1"/>
  <c r="J1660" i="1"/>
  <c r="X1659" i="1"/>
  <c r="W1659" i="1"/>
  <c r="T1659" i="1"/>
  <c r="P1659" i="1"/>
  <c r="O1659" i="1"/>
  <c r="N1659" i="1"/>
  <c r="M1659" i="1"/>
  <c r="L1659" i="1"/>
  <c r="K1659" i="1"/>
  <c r="J1659" i="1"/>
  <c r="X1658" i="1"/>
  <c r="W1658" i="1"/>
  <c r="T1658" i="1"/>
  <c r="P1658" i="1"/>
  <c r="O1658" i="1"/>
  <c r="N1658" i="1"/>
  <c r="M1658" i="1"/>
  <c r="L1658" i="1"/>
  <c r="K1658" i="1"/>
  <c r="J1658" i="1"/>
  <c r="X1657" i="1"/>
  <c r="W1657" i="1"/>
  <c r="T1657" i="1"/>
  <c r="P1657" i="1"/>
  <c r="O1657" i="1"/>
  <c r="N1657" i="1"/>
  <c r="M1657" i="1"/>
  <c r="L1657" i="1"/>
  <c r="K1657" i="1"/>
  <c r="J1657" i="1"/>
  <c r="W1656" i="1"/>
  <c r="X1656" i="1" s="1"/>
  <c r="T1656" i="1"/>
  <c r="P1656" i="1"/>
  <c r="O1656" i="1"/>
  <c r="N1656" i="1"/>
  <c r="M1656" i="1"/>
  <c r="L1656" i="1"/>
  <c r="K1656" i="1"/>
  <c r="J1656" i="1"/>
  <c r="X1655" i="1"/>
  <c r="W1655" i="1"/>
  <c r="T1655" i="1"/>
  <c r="P1655" i="1"/>
  <c r="O1655" i="1"/>
  <c r="N1655" i="1"/>
  <c r="M1655" i="1"/>
  <c r="L1655" i="1"/>
  <c r="K1655" i="1"/>
  <c r="J1655" i="1"/>
  <c r="W1654" i="1"/>
  <c r="X1654" i="1" s="1"/>
  <c r="T1654" i="1"/>
  <c r="P1654" i="1"/>
  <c r="O1654" i="1"/>
  <c r="N1654" i="1"/>
  <c r="M1654" i="1"/>
  <c r="L1654" i="1"/>
  <c r="K1654" i="1"/>
  <c r="J1654" i="1"/>
  <c r="X1653" i="1"/>
  <c r="W1653" i="1"/>
  <c r="T1653" i="1"/>
  <c r="P1653" i="1"/>
  <c r="O1653" i="1"/>
  <c r="N1653" i="1"/>
  <c r="M1653" i="1"/>
  <c r="L1653" i="1"/>
  <c r="K1653" i="1"/>
  <c r="J1653" i="1"/>
  <c r="W1652" i="1"/>
  <c r="X1652" i="1" s="1"/>
  <c r="T1652" i="1"/>
  <c r="P1652" i="1"/>
  <c r="O1652" i="1"/>
  <c r="N1652" i="1"/>
  <c r="M1652" i="1"/>
  <c r="L1652" i="1"/>
  <c r="K1652" i="1"/>
  <c r="J1652" i="1"/>
  <c r="X1651" i="1"/>
  <c r="W1651" i="1"/>
  <c r="T1651" i="1"/>
  <c r="P1651" i="1"/>
  <c r="O1651" i="1"/>
  <c r="N1651" i="1"/>
  <c r="M1651" i="1"/>
  <c r="L1651" i="1"/>
  <c r="K1651" i="1"/>
  <c r="J1651" i="1"/>
  <c r="W1650" i="1"/>
  <c r="X1650" i="1" s="1"/>
  <c r="T1650" i="1"/>
  <c r="P1650" i="1"/>
  <c r="O1650" i="1"/>
  <c r="N1650" i="1"/>
  <c r="M1650" i="1"/>
  <c r="L1650" i="1"/>
  <c r="K1650" i="1"/>
  <c r="J1650" i="1"/>
  <c r="X1649" i="1"/>
  <c r="W1649" i="1"/>
  <c r="T1649" i="1"/>
  <c r="P1649" i="1"/>
  <c r="O1649" i="1"/>
  <c r="N1649" i="1"/>
  <c r="M1649" i="1"/>
  <c r="L1649" i="1"/>
  <c r="K1649" i="1"/>
  <c r="J1649" i="1"/>
  <c r="W1648" i="1"/>
  <c r="X1648" i="1" s="1"/>
  <c r="T1648" i="1"/>
  <c r="P1648" i="1"/>
  <c r="O1648" i="1"/>
  <c r="N1648" i="1"/>
  <c r="M1648" i="1"/>
  <c r="L1648" i="1"/>
  <c r="K1648" i="1"/>
  <c r="J1648" i="1"/>
  <c r="X1647" i="1"/>
  <c r="W1647" i="1"/>
  <c r="T1647" i="1"/>
  <c r="P1647" i="1"/>
  <c r="O1647" i="1"/>
  <c r="N1647" i="1"/>
  <c r="M1647" i="1"/>
  <c r="L1647" i="1"/>
  <c r="K1647" i="1"/>
  <c r="J1647" i="1"/>
  <c r="W1646" i="1"/>
  <c r="X1646" i="1" s="1"/>
  <c r="T1646" i="1"/>
  <c r="P1646" i="1"/>
  <c r="O1646" i="1"/>
  <c r="N1646" i="1"/>
  <c r="M1646" i="1"/>
  <c r="L1646" i="1"/>
  <c r="K1646" i="1"/>
  <c r="J1646" i="1"/>
  <c r="X1645" i="1"/>
  <c r="W1645" i="1"/>
  <c r="T1645" i="1"/>
  <c r="P1645" i="1"/>
  <c r="O1645" i="1"/>
  <c r="N1645" i="1"/>
  <c r="M1645" i="1"/>
  <c r="L1645" i="1"/>
  <c r="K1645" i="1"/>
  <c r="J1645" i="1"/>
  <c r="W1644" i="1"/>
  <c r="X1644" i="1" s="1"/>
  <c r="T1644" i="1"/>
  <c r="P1644" i="1"/>
  <c r="O1644" i="1"/>
  <c r="N1644" i="1"/>
  <c r="M1644" i="1"/>
  <c r="L1644" i="1"/>
  <c r="K1644" i="1"/>
  <c r="J1644" i="1"/>
  <c r="X1643" i="1"/>
  <c r="W1643" i="1"/>
  <c r="T1643" i="1"/>
  <c r="P1643" i="1"/>
  <c r="O1643" i="1"/>
  <c r="N1643" i="1"/>
  <c r="M1643" i="1"/>
  <c r="L1643" i="1"/>
  <c r="K1643" i="1"/>
  <c r="J1643" i="1"/>
  <c r="X1642" i="1"/>
  <c r="W1642" i="1"/>
  <c r="T1642" i="1"/>
  <c r="P1642" i="1"/>
  <c r="O1642" i="1"/>
  <c r="N1642" i="1"/>
  <c r="M1642" i="1"/>
  <c r="L1642" i="1"/>
  <c r="K1642" i="1"/>
  <c r="J1642" i="1"/>
  <c r="X1641" i="1"/>
  <c r="W1641" i="1"/>
  <c r="T1641" i="1"/>
  <c r="P1641" i="1"/>
  <c r="O1641" i="1"/>
  <c r="N1641" i="1"/>
  <c r="M1641" i="1"/>
  <c r="L1641" i="1"/>
  <c r="K1641" i="1"/>
  <c r="J1641" i="1"/>
  <c r="W1640" i="1"/>
  <c r="X1640" i="1" s="1"/>
  <c r="T1640" i="1"/>
  <c r="P1640" i="1"/>
  <c r="O1640" i="1"/>
  <c r="N1640" i="1"/>
  <c r="M1640" i="1"/>
  <c r="L1640" i="1"/>
  <c r="K1640" i="1"/>
  <c r="J1640" i="1"/>
  <c r="X1639" i="1"/>
  <c r="W1639" i="1"/>
  <c r="T1639" i="1"/>
  <c r="P1639" i="1"/>
  <c r="O1639" i="1"/>
  <c r="N1639" i="1"/>
  <c r="M1639" i="1"/>
  <c r="L1639" i="1"/>
  <c r="K1639" i="1"/>
  <c r="J1639" i="1"/>
  <c r="W1638" i="1"/>
  <c r="X1638" i="1" s="1"/>
  <c r="T1638" i="1"/>
  <c r="P1638" i="1"/>
  <c r="O1638" i="1"/>
  <c r="N1638" i="1"/>
  <c r="M1638" i="1"/>
  <c r="L1638" i="1"/>
  <c r="K1638" i="1"/>
  <c r="J1638" i="1"/>
  <c r="X1637" i="1"/>
  <c r="W1637" i="1"/>
  <c r="T1637" i="1"/>
  <c r="P1637" i="1"/>
  <c r="O1637" i="1"/>
  <c r="N1637" i="1"/>
  <c r="M1637" i="1"/>
  <c r="L1637" i="1"/>
  <c r="K1637" i="1"/>
  <c r="J1637" i="1"/>
  <c r="W1636" i="1"/>
  <c r="X1636" i="1" s="1"/>
  <c r="T1636" i="1"/>
  <c r="P1636" i="1"/>
  <c r="O1636" i="1"/>
  <c r="N1636" i="1"/>
  <c r="M1636" i="1"/>
  <c r="L1636" i="1"/>
  <c r="K1636" i="1"/>
  <c r="J1636" i="1"/>
  <c r="X1635" i="1"/>
  <c r="W1635" i="1"/>
  <c r="T1635" i="1"/>
  <c r="P1635" i="1"/>
  <c r="O1635" i="1"/>
  <c r="N1635" i="1"/>
  <c r="M1635" i="1"/>
  <c r="L1635" i="1"/>
  <c r="K1635" i="1"/>
  <c r="J1635" i="1"/>
  <c r="X1634" i="1"/>
  <c r="W1634" i="1"/>
  <c r="T1634" i="1"/>
  <c r="P1634" i="1"/>
  <c r="O1634" i="1"/>
  <c r="N1634" i="1"/>
  <c r="M1634" i="1"/>
  <c r="L1634" i="1"/>
  <c r="K1634" i="1"/>
  <c r="J1634" i="1"/>
  <c r="X1633" i="1"/>
  <c r="W1633" i="1"/>
  <c r="T1633" i="1"/>
  <c r="P1633" i="1"/>
  <c r="O1633" i="1"/>
  <c r="N1633" i="1"/>
  <c r="M1633" i="1"/>
  <c r="L1633" i="1"/>
  <c r="K1633" i="1"/>
  <c r="J1633" i="1"/>
  <c r="W1632" i="1"/>
  <c r="X1632" i="1" s="1"/>
  <c r="T1632" i="1"/>
  <c r="P1632" i="1"/>
  <c r="O1632" i="1"/>
  <c r="N1632" i="1"/>
  <c r="M1632" i="1"/>
  <c r="L1632" i="1"/>
  <c r="K1632" i="1"/>
  <c r="J1632" i="1"/>
  <c r="X1631" i="1"/>
  <c r="W1631" i="1"/>
  <c r="T1631" i="1"/>
  <c r="P1631" i="1"/>
  <c r="O1631" i="1"/>
  <c r="N1631" i="1"/>
  <c r="M1631" i="1"/>
  <c r="L1631" i="1"/>
  <c r="K1631" i="1"/>
  <c r="J1631" i="1"/>
  <c r="W1630" i="1"/>
  <c r="X1630" i="1" s="1"/>
  <c r="T1630" i="1"/>
  <c r="P1630" i="1"/>
  <c r="O1630" i="1"/>
  <c r="N1630" i="1"/>
  <c r="M1630" i="1"/>
  <c r="L1630" i="1"/>
  <c r="K1630" i="1"/>
  <c r="J1630" i="1"/>
  <c r="X1629" i="1"/>
  <c r="W1629" i="1"/>
  <c r="T1629" i="1"/>
  <c r="P1629" i="1"/>
  <c r="O1629" i="1"/>
  <c r="N1629" i="1"/>
  <c r="M1629" i="1"/>
  <c r="L1629" i="1"/>
  <c r="K1629" i="1"/>
  <c r="J1629" i="1"/>
  <c r="W1628" i="1"/>
  <c r="X1628" i="1" s="1"/>
  <c r="T1628" i="1"/>
  <c r="P1628" i="1"/>
  <c r="O1628" i="1"/>
  <c r="N1628" i="1"/>
  <c r="M1628" i="1"/>
  <c r="L1628" i="1"/>
  <c r="K1628" i="1"/>
  <c r="J1628" i="1"/>
  <c r="X1627" i="1"/>
  <c r="W1627" i="1"/>
  <c r="T1627" i="1"/>
  <c r="P1627" i="1"/>
  <c r="O1627" i="1"/>
  <c r="N1627" i="1"/>
  <c r="M1627" i="1"/>
  <c r="L1627" i="1"/>
  <c r="K1627" i="1"/>
  <c r="J1627" i="1"/>
  <c r="X1626" i="1"/>
  <c r="W1626" i="1"/>
  <c r="T1626" i="1"/>
  <c r="P1626" i="1"/>
  <c r="O1626" i="1"/>
  <c r="N1626" i="1"/>
  <c r="M1626" i="1"/>
  <c r="L1626" i="1"/>
  <c r="K1626" i="1"/>
  <c r="J1626" i="1"/>
  <c r="X1625" i="1"/>
  <c r="W1625" i="1"/>
  <c r="T1625" i="1"/>
  <c r="P1625" i="1"/>
  <c r="O1625" i="1"/>
  <c r="N1625" i="1"/>
  <c r="M1625" i="1"/>
  <c r="L1625" i="1"/>
  <c r="K1625" i="1"/>
  <c r="J1625" i="1"/>
  <c r="W1624" i="1"/>
  <c r="X1624" i="1" s="1"/>
  <c r="T1624" i="1"/>
  <c r="P1624" i="1"/>
  <c r="O1624" i="1"/>
  <c r="N1624" i="1"/>
  <c r="M1624" i="1"/>
  <c r="L1624" i="1"/>
  <c r="K1624" i="1"/>
  <c r="J1624" i="1"/>
  <c r="X1623" i="1"/>
  <c r="W1623" i="1"/>
  <c r="T1623" i="1"/>
  <c r="P1623" i="1"/>
  <c r="O1623" i="1"/>
  <c r="N1623" i="1"/>
  <c r="M1623" i="1"/>
  <c r="L1623" i="1"/>
  <c r="K1623" i="1"/>
  <c r="J1623" i="1"/>
  <c r="W1622" i="1"/>
  <c r="X1622" i="1" s="1"/>
  <c r="T1622" i="1"/>
  <c r="P1622" i="1"/>
  <c r="O1622" i="1"/>
  <c r="N1622" i="1"/>
  <c r="M1622" i="1"/>
  <c r="L1622" i="1"/>
  <c r="K1622" i="1"/>
  <c r="J1622" i="1"/>
  <c r="X1621" i="1"/>
  <c r="W1621" i="1"/>
  <c r="T1621" i="1"/>
  <c r="P1621" i="1"/>
  <c r="O1621" i="1"/>
  <c r="N1621" i="1"/>
  <c r="M1621" i="1"/>
  <c r="L1621" i="1"/>
  <c r="K1621" i="1"/>
  <c r="J1621" i="1"/>
  <c r="W1620" i="1"/>
  <c r="X1620" i="1" s="1"/>
  <c r="T1620" i="1"/>
  <c r="P1620" i="1"/>
  <c r="O1620" i="1"/>
  <c r="N1620" i="1"/>
  <c r="M1620" i="1"/>
  <c r="L1620" i="1"/>
  <c r="K1620" i="1"/>
  <c r="J1620" i="1"/>
  <c r="X1619" i="1"/>
  <c r="W1619" i="1"/>
  <c r="T1619" i="1"/>
  <c r="P1619" i="1"/>
  <c r="O1619" i="1"/>
  <c r="N1619" i="1"/>
  <c r="M1619" i="1"/>
  <c r="L1619" i="1"/>
  <c r="K1619" i="1"/>
  <c r="J1619" i="1"/>
  <c r="W1618" i="1"/>
  <c r="X1618" i="1" s="1"/>
  <c r="T1618" i="1"/>
  <c r="P1618" i="1"/>
  <c r="O1618" i="1"/>
  <c r="N1618" i="1"/>
  <c r="M1618" i="1"/>
  <c r="L1618" i="1"/>
  <c r="K1618" i="1"/>
  <c r="J1618" i="1"/>
  <c r="X1617" i="1"/>
  <c r="W1617" i="1"/>
  <c r="T1617" i="1"/>
  <c r="P1617" i="1"/>
  <c r="O1617" i="1"/>
  <c r="N1617" i="1"/>
  <c r="M1617" i="1"/>
  <c r="L1617" i="1"/>
  <c r="K1617" i="1"/>
  <c r="J1617" i="1"/>
  <c r="W1616" i="1"/>
  <c r="X1616" i="1" s="1"/>
  <c r="T1616" i="1"/>
  <c r="P1616" i="1"/>
  <c r="O1616" i="1"/>
  <c r="N1616" i="1"/>
  <c r="M1616" i="1"/>
  <c r="L1616" i="1"/>
  <c r="K1616" i="1"/>
  <c r="J1616" i="1"/>
  <c r="X1615" i="1"/>
  <c r="W1615" i="1"/>
  <c r="T1615" i="1"/>
  <c r="P1615" i="1"/>
  <c r="O1615" i="1"/>
  <c r="N1615" i="1"/>
  <c r="M1615" i="1"/>
  <c r="L1615" i="1"/>
  <c r="K1615" i="1"/>
  <c r="J1615" i="1"/>
  <c r="W1614" i="1"/>
  <c r="X1614" i="1" s="1"/>
  <c r="T1614" i="1"/>
  <c r="P1614" i="1"/>
  <c r="O1614" i="1"/>
  <c r="N1614" i="1"/>
  <c r="M1614" i="1"/>
  <c r="L1614" i="1"/>
  <c r="K1614" i="1"/>
  <c r="J1614" i="1"/>
  <c r="X1613" i="1"/>
  <c r="W1613" i="1"/>
  <c r="T1613" i="1"/>
  <c r="P1613" i="1"/>
  <c r="O1613" i="1"/>
  <c r="N1613" i="1"/>
  <c r="M1613" i="1"/>
  <c r="L1613" i="1"/>
  <c r="K1613" i="1"/>
  <c r="J1613" i="1"/>
  <c r="W1612" i="1"/>
  <c r="X1612" i="1" s="1"/>
  <c r="T1612" i="1"/>
  <c r="P1612" i="1"/>
  <c r="O1612" i="1"/>
  <c r="N1612" i="1"/>
  <c r="M1612" i="1"/>
  <c r="L1612" i="1"/>
  <c r="K1612" i="1"/>
  <c r="J1612" i="1"/>
  <c r="X1611" i="1"/>
  <c r="W1611" i="1"/>
  <c r="T1611" i="1"/>
  <c r="P1611" i="1"/>
  <c r="O1611" i="1"/>
  <c r="N1611" i="1"/>
  <c r="M1611" i="1"/>
  <c r="L1611" i="1"/>
  <c r="K1611" i="1"/>
  <c r="J1611" i="1"/>
  <c r="X1610" i="1"/>
  <c r="W1610" i="1"/>
  <c r="T1610" i="1"/>
  <c r="P1610" i="1"/>
  <c r="O1610" i="1"/>
  <c r="N1610" i="1"/>
  <c r="M1610" i="1"/>
  <c r="L1610" i="1"/>
  <c r="K1610" i="1"/>
  <c r="J1610" i="1"/>
  <c r="X1609" i="1"/>
  <c r="W1609" i="1"/>
  <c r="T1609" i="1"/>
  <c r="P1609" i="1"/>
  <c r="O1609" i="1"/>
  <c r="N1609" i="1"/>
  <c r="M1609" i="1"/>
  <c r="L1609" i="1"/>
  <c r="K1609" i="1"/>
  <c r="J1609" i="1"/>
  <c r="W1608" i="1"/>
  <c r="X1608" i="1" s="1"/>
  <c r="T1608" i="1"/>
  <c r="P1608" i="1"/>
  <c r="O1608" i="1"/>
  <c r="N1608" i="1"/>
  <c r="M1608" i="1"/>
  <c r="L1608" i="1"/>
  <c r="K1608" i="1"/>
  <c r="J1608" i="1"/>
  <c r="X1607" i="1"/>
  <c r="W1607" i="1"/>
  <c r="T1607" i="1"/>
  <c r="P1607" i="1"/>
  <c r="O1607" i="1"/>
  <c r="N1607" i="1"/>
  <c r="M1607" i="1"/>
  <c r="L1607" i="1"/>
  <c r="K1607" i="1"/>
  <c r="J1607" i="1"/>
  <c r="W1606" i="1"/>
  <c r="X1606" i="1" s="1"/>
  <c r="T1606" i="1"/>
  <c r="P1606" i="1"/>
  <c r="O1606" i="1"/>
  <c r="N1606" i="1"/>
  <c r="M1606" i="1"/>
  <c r="L1606" i="1"/>
  <c r="K1606" i="1"/>
  <c r="J1606" i="1"/>
  <c r="X1605" i="1"/>
  <c r="W1605" i="1"/>
  <c r="T1605" i="1"/>
  <c r="P1605" i="1"/>
  <c r="O1605" i="1"/>
  <c r="N1605" i="1"/>
  <c r="M1605" i="1"/>
  <c r="L1605" i="1"/>
  <c r="K1605" i="1"/>
  <c r="J1605" i="1"/>
  <c r="W1604" i="1"/>
  <c r="X1604" i="1" s="1"/>
  <c r="T1604" i="1"/>
  <c r="P1604" i="1"/>
  <c r="O1604" i="1"/>
  <c r="N1604" i="1"/>
  <c r="M1604" i="1"/>
  <c r="L1604" i="1"/>
  <c r="K1604" i="1"/>
  <c r="J1604" i="1"/>
  <c r="X1603" i="1"/>
  <c r="W1603" i="1"/>
  <c r="T1603" i="1"/>
  <c r="P1603" i="1"/>
  <c r="O1603" i="1"/>
  <c r="N1603" i="1"/>
  <c r="M1603" i="1"/>
  <c r="L1603" i="1"/>
  <c r="K1603" i="1"/>
  <c r="J1603" i="1"/>
  <c r="X1602" i="1"/>
  <c r="W1602" i="1"/>
  <c r="T1602" i="1"/>
  <c r="P1602" i="1"/>
  <c r="O1602" i="1"/>
  <c r="N1602" i="1"/>
  <c r="M1602" i="1"/>
  <c r="L1602" i="1"/>
  <c r="K1602" i="1"/>
  <c r="J1602" i="1"/>
  <c r="X1601" i="1"/>
  <c r="W1601" i="1"/>
  <c r="T1601" i="1"/>
  <c r="P1601" i="1"/>
  <c r="O1601" i="1"/>
  <c r="N1601" i="1"/>
  <c r="M1601" i="1"/>
  <c r="L1601" i="1"/>
  <c r="K1601" i="1"/>
  <c r="J1601" i="1"/>
  <c r="W1600" i="1"/>
  <c r="X1600" i="1" s="1"/>
  <c r="T1600" i="1"/>
  <c r="P1600" i="1"/>
  <c r="O1600" i="1"/>
  <c r="N1600" i="1"/>
  <c r="M1600" i="1"/>
  <c r="L1600" i="1"/>
  <c r="K1600" i="1"/>
  <c r="J1600" i="1"/>
  <c r="X1599" i="1"/>
  <c r="W1599" i="1"/>
  <c r="T1599" i="1"/>
  <c r="P1599" i="1"/>
  <c r="O1599" i="1"/>
  <c r="N1599" i="1"/>
  <c r="M1599" i="1"/>
  <c r="L1599" i="1"/>
  <c r="K1599" i="1"/>
  <c r="J1599" i="1"/>
  <c r="W1598" i="1"/>
  <c r="X1598" i="1" s="1"/>
  <c r="T1598" i="1"/>
  <c r="P1598" i="1"/>
  <c r="O1598" i="1"/>
  <c r="N1598" i="1"/>
  <c r="M1598" i="1"/>
  <c r="L1598" i="1"/>
  <c r="K1598" i="1"/>
  <c r="J1598" i="1"/>
  <c r="X1597" i="1"/>
  <c r="W1597" i="1"/>
  <c r="T1597" i="1"/>
  <c r="P1597" i="1"/>
  <c r="O1597" i="1"/>
  <c r="N1597" i="1"/>
  <c r="M1597" i="1"/>
  <c r="L1597" i="1"/>
  <c r="K1597" i="1"/>
  <c r="J1597" i="1"/>
  <c r="W1596" i="1"/>
  <c r="X1596" i="1" s="1"/>
  <c r="T1596" i="1"/>
  <c r="P1596" i="1"/>
  <c r="O1596" i="1"/>
  <c r="N1596" i="1"/>
  <c r="M1596" i="1"/>
  <c r="L1596" i="1"/>
  <c r="K1596" i="1"/>
  <c r="J1596" i="1"/>
  <c r="X1595" i="1"/>
  <c r="W1595" i="1"/>
  <c r="T1595" i="1"/>
  <c r="P1595" i="1"/>
  <c r="O1595" i="1"/>
  <c r="N1595" i="1"/>
  <c r="M1595" i="1"/>
  <c r="L1595" i="1"/>
  <c r="K1595" i="1"/>
  <c r="J1595" i="1"/>
  <c r="X1594" i="1"/>
  <c r="W1594" i="1"/>
  <c r="T1594" i="1"/>
  <c r="P1594" i="1"/>
  <c r="O1594" i="1"/>
  <c r="N1594" i="1"/>
  <c r="M1594" i="1"/>
  <c r="L1594" i="1"/>
  <c r="K1594" i="1"/>
  <c r="J1594" i="1"/>
  <c r="X1593" i="1"/>
  <c r="W1593" i="1"/>
  <c r="T1593" i="1"/>
  <c r="P1593" i="1"/>
  <c r="O1593" i="1"/>
  <c r="N1593" i="1"/>
  <c r="M1593" i="1"/>
  <c r="L1593" i="1"/>
  <c r="K1593" i="1"/>
  <c r="J1593" i="1"/>
  <c r="W1592" i="1"/>
  <c r="X1592" i="1" s="1"/>
  <c r="T1592" i="1"/>
  <c r="P1592" i="1"/>
  <c r="O1592" i="1"/>
  <c r="N1592" i="1"/>
  <c r="M1592" i="1"/>
  <c r="L1592" i="1"/>
  <c r="K1592" i="1"/>
  <c r="J1592" i="1"/>
  <c r="X1591" i="1"/>
  <c r="W1591" i="1"/>
  <c r="T1591" i="1"/>
  <c r="P1591" i="1"/>
  <c r="O1591" i="1"/>
  <c r="N1591" i="1"/>
  <c r="M1591" i="1"/>
  <c r="L1591" i="1"/>
  <c r="K1591" i="1"/>
  <c r="J1591" i="1"/>
  <c r="W1590" i="1"/>
  <c r="X1590" i="1" s="1"/>
  <c r="T1590" i="1"/>
  <c r="P1590" i="1"/>
  <c r="O1590" i="1"/>
  <c r="N1590" i="1"/>
  <c r="M1590" i="1"/>
  <c r="L1590" i="1"/>
  <c r="K1590" i="1"/>
  <c r="J1590" i="1"/>
  <c r="X1589" i="1"/>
  <c r="W1589" i="1"/>
  <c r="T1589" i="1"/>
  <c r="P1589" i="1"/>
  <c r="O1589" i="1"/>
  <c r="N1589" i="1"/>
  <c r="M1589" i="1"/>
  <c r="L1589" i="1"/>
  <c r="K1589" i="1"/>
  <c r="J1589" i="1"/>
  <c r="W1588" i="1"/>
  <c r="X1588" i="1" s="1"/>
  <c r="T1588" i="1"/>
  <c r="P1588" i="1"/>
  <c r="O1588" i="1"/>
  <c r="N1588" i="1"/>
  <c r="M1588" i="1"/>
  <c r="L1588" i="1"/>
  <c r="K1588" i="1"/>
  <c r="J1588" i="1"/>
  <c r="X1587" i="1"/>
  <c r="W1587" i="1"/>
  <c r="T1587" i="1"/>
  <c r="P1587" i="1"/>
  <c r="O1587" i="1"/>
  <c r="N1587" i="1"/>
  <c r="M1587" i="1"/>
  <c r="L1587" i="1"/>
  <c r="K1587" i="1"/>
  <c r="J1587" i="1"/>
  <c r="W1586" i="1"/>
  <c r="X1586" i="1" s="1"/>
  <c r="T1586" i="1"/>
  <c r="P1586" i="1"/>
  <c r="O1586" i="1"/>
  <c r="N1586" i="1"/>
  <c r="M1586" i="1"/>
  <c r="L1586" i="1"/>
  <c r="K1586" i="1"/>
  <c r="J1586" i="1"/>
  <c r="X1585" i="1"/>
  <c r="W1585" i="1"/>
  <c r="T1585" i="1"/>
  <c r="P1585" i="1"/>
  <c r="O1585" i="1"/>
  <c r="N1585" i="1"/>
  <c r="M1585" i="1"/>
  <c r="L1585" i="1"/>
  <c r="K1585" i="1"/>
  <c r="J1585" i="1"/>
  <c r="W1584" i="1"/>
  <c r="X1584" i="1" s="1"/>
  <c r="T1584" i="1"/>
  <c r="P1584" i="1"/>
  <c r="O1584" i="1"/>
  <c r="N1584" i="1"/>
  <c r="M1584" i="1"/>
  <c r="L1584" i="1"/>
  <c r="K1584" i="1"/>
  <c r="J1584" i="1"/>
  <c r="X1583" i="1"/>
  <c r="W1583" i="1"/>
  <c r="T1583" i="1"/>
  <c r="P1583" i="1"/>
  <c r="O1583" i="1"/>
  <c r="N1583" i="1"/>
  <c r="M1583" i="1"/>
  <c r="L1583" i="1"/>
  <c r="K1583" i="1"/>
  <c r="J1583" i="1"/>
  <c r="W1582" i="1"/>
  <c r="X1582" i="1" s="1"/>
  <c r="T1582" i="1"/>
  <c r="P1582" i="1"/>
  <c r="O1582" i="1"/>
  <c r="N1582" i="1"/>
  <c r="M1582" i="1"/>
  <c r="L1582" i="1"/>
  <c r="K1582" i="1"/>
  <c r="J1582" i="1"/>
  <c r="X1581" i="1"/>
  <c r="W1581" i="1"/>
  <c r="T1581" i="1"/>
  <c r="P1581" i="1"/>
  <c r="O1581" i="1"/>
  <c r="N1581" i="1"/>
  <c r="M1581" i="1"/>
  <c r="L1581" i="1"/>
  <c r="K1581" i="1"/>
  <c r="J1581" i="1"/>
  <c r="W1580" i="1"/>
  <c r="X1580" i="1" s="1"/>
  <c r="T1580" i="1"/>
  <c r="P1580" i="1"/>
  <c r="O1580" i="1"/>
  <c r="N1580" i="1"/>
  <c r="M1580" i="1"/>
  <c r="L1580" i="1"/>
  <c r="K1580" i="1"/>
  <c r="J1580" i="1"/>
  <c r="X1579" i="1"/>
  <c r="W1579" i="1"/>
  <c r="T1579" i="1"/>
  <c r="P1579" i="1"/>
  <c r="O1579" i="1"/>
  <c r="N1579" i="1"/>
  <c r="M1579" i="1"/>
  <c r="L1579" i="1"/>
  <c r="K1579" i="1"/>
  <c r="J1579" i="1"/>
  <c r="X1578" i="1"/>
  <c r="W1578" i="1"/>
  <c r="T1578" i="1"/>
  <c r="P1578" i="1"/>
  <c r="O1578" i="1"/>
  <c r="N1578" i="1"/>
  <c r="M1578" i="1"/>
  <c r="L1578" i="1"/>
  <c r="K1578" i="1"/>
  <c r="J1578" i="1"/>
  <c r="X1577" i="1"/>
  <c r="W1577" i="1"/>
  <c r="T1577" i="1"/>
  <c r="P1577" i="1"/>
  <c r="O1577" i="1"/>
  <c r="N1577" i="1"/>
  <c r="M1577" i="1"/>
  <c r="L1577" i="1"/>
  <c r="K1577" i="1"/>
  <c r="J1577" i="1"/>
  <c r="W1576" i="1"/>
  <c r="X1576" i="1" s="1"/>
  <c r="T1576" i="1"/>
  <c r="P1576" i="1"/>
  <c r="O1576" i="1"/>
  <c r="N1576" i="1"/>
  <c r="M1576" i="1"/>
  <c r="L1576" i="1"/>
  <c r="K1576" i="1"/>
  <c r="J1576" i="1"/>
  <c r="X1575" i="1"/>
  <c r="W1575" i="1"/>
  <c r="T1575" i="1"/>
  <c r="P1575" i="1"/>
  <c r="O1575" i="1"/>
  <c r="N1575" i="1"/>
  <c r="M1575" i="1"/>
  <c r="L1575" i="1"/>
  <c r="K1575" i="1"/>
  <c r="J1575" i="1"/>
  <c r="W1574" i="1"/>
  <c r="X1574" i="1" s="1"/>
  <c r="T1574" i="1"/>
  <c r="P1574" i="1"/>
  <c r="O1574" i="1"/>
  <c r="N1574" i="1"/>
  <c r="M1574" i="1"/>
  <c r="L1574" i="1"/>
  <c r="K1574" i="1"/>
  <c r="J1574" i="1"/>
  <c r="X1573" i="1"/>
  <c r="W1573" i="1"/>
  <c r="T1573" i="1"/>
  <c r="P1573" i="1"/>
  <c r="O1573" i="1"/>
  <c r="N1573" i="1"/>
  <c r="M1573" i="1"/>
  <c r="L1573" i="1"/>
  <c r="K1573" i="1"/>
  <c r="J1573" i="1"/>
  <c r="W1572" i="1"/>
  <c r="X1572" i="1" s="1"/>
  <c r="T1572" i="1"/>
  <c r="P1572" i="1"/>
  <c r="O1572" i="1"/>
  <c r="N1572" i="1"/>
  <c r="M1572" i="1"/>
  <c r="L1572" i="1"/>
  <c r="K1572" i="1"/>
  <c r="J1572" i="1"/>
  <c r="X1571" i="1"/>
  <c r="W1571" i="1"/>
  <c r="T1571" i="1"/>
  <c r="P1571" i="1"/>
  <c r="O1571" i="1"/>
  <c r="N1571" i="1"/>
  <c r="M1571" i="1"/>
  <c r="L1571" i="1"/>
  <c r="K1571" i="1"/>
  <c r="J1571" i="1"/>
  <c r="X1570" i="1"/>
  <c r="W1570" i="1"/>
  <c r="T1570" i="1"/>
  <c r="P1570" i="1"/>
  <c r="O1570" i="1"/>
  <c r="N1570" i="1"/>
  <c r="M1570" i="1"/>
  <c r="L1570" i="1"/>
  <c r="K1570" i="1"/>
  <c r="J1570" i="1"/>
  <c r="X1569" i="1"/>
  <c r="W1569" i="1"/>
  <c r="T1569" i="1"/>
  <c r="P1569" i="1"/>
  <c r="O1569" i="1"/>
  <c r="N1569" i="1"/>
  <c r="M1569" i="1"/>
  <c r="L1569" i="1"/>
  <c r="K1569" i="1"/>
  <c r="J1569" i="1"/>
  <c r="W1568" i="1"/>
  <c r="X1568" i="1" s="1"/>
  <c r="T1568" i="1"/>
  <c r="P1568" i="1"/>
  <c r="O1568" i="1"/>
  <c r="N1568" i="1"/>
  <c r="M1568" i="1"/>
  <c r="L1568" i="1"/>
  <c r="K1568" i="1"/>
  <c r="J1568" i="1"/>
  <c r="X1567" i="1"/>
  <c r="W1567" i="1"/>
  <c r="T1567" i="1"/>
  <c r="P1567" i="1"/>
  <c r="O1567" i="1"/>
  <c r="N1567" i="1"/>
  <c r="M1567" i="1"/>
  <c r="L1567" i="1"/>
  <c r="K1567" i="1"/>
  <c r="J1567" i="1"/>
  <c r="W1566" i="1"/>
  <c r="X1566" i="1" s="1"/>
  <c r="T1566" i="1"/>
  <c r="P1566" i="1"/>
  <c r="O1566" i="1"/>
  <c r="N1566" i="1"/>
  <c r="M1566" i="1"/>
  <c r="L1566" i="1"/>
  <c r="K1566" i="1"/>
  <c r="J1566" i="1"/>
  <c r="X1565" i="1"/>
  <c r="W1565" i="1"/>
  <c r="T1565" i="1"/>
  <c r="P1565" i="1"/>
  <c r="O1565" i="1"/>
  <c r="N1565" i="1"/>
  <c r="M1565" i="1"/>
  <c r="L1565" i="1"/>
  <c r="K1565" i="1"/>
  <c r="J1565" i="1"/>
  <c r="W1564" i="1"/>
  <c r="X1564" i="1" s="1"/>
  <c r="T1564" i="1"/>
  <c r="P1564" i="1"/>
  <c r="O1564" i="1"/>
  <c r="N1564" i="1"/>
  <c r="M1564" i="1"/>
  <c r="L1564" i="1"/>
  <c r="K1564" i="1"/>
  <c r="J1564" i="1"/>
  <c r="X1563" i="1"/>
  <c r="W1563" i="1"/>
  <c r="T1563" i="1"/>
  <c r="P1563" i="1"/>
  <c r="O1563" i="1"/>
  <c r="N1563" i="1"/>
  <c r="M1563" i="1"/>
  <c r="L1563" i="1"/>
  <c r="K1563" i="1"/>
  <c r="J1563" i="1"/>
  <c r="X1562" i="1"/>
  <c r="W1562" i="1"/>
  <c r="T1562" i="1"/>
  <c r="P1562" i="1"/>
  <c r="O1562" i="1"/>
  <c r="N1562" i="1"/>
  <c r="M1562" i="1"/>
  <c r="L1562" i="1"/>
  <c r="K1562" i="1"/>
  <c r="J1562" i="1"/>
  <c r="X1561" i="1"/>
  <c r="W1561" i="1"/>
  <c r="T1561" i="1"/>
  <c r="P1561" i="1"/>
  <c r="O1561" i="1"/>
  <c r="N1561" i="1"/>
  <c r="M1561" i="1"/>
  <c r="L1561" i="1"/>
  <c r="K1561" i="1"/>
  <c r="J1561" i="1"/>
  <c r="W1560" i="1"/>
  <c r="X1560" i="1" s="1"/>
  <c r="T1560" i="1"/>
  <c r="P1560" i="1"/>
  <c r="O1560" i="1"/>
  <c r="N1560" i="1"/>
  <c r="M1560" i="1"/>
  <c r="L1560" i="1"/>
  <c r="K1560" i="1"/>
  <c r="J1560" i="1"/>
  <c r="X1559" i="1"/>
  <c r="W1559" i="1"/>
  <c r="T1559" i="1"/>
  <c r="P1559" i="1"/>
  <c r="O1559" i="1"/>
  <c r="N1559" i="1"/>
  <c r="M1559" i="1"/>
  <c r="L1559" i="1"/>
  <c r="K1559" i="1"/>
  <c r="J1559" i="1"/>
  <c r="W1558" i="1"/>
  <c r="X1558" i="1" s="1"/>
  <c r="T1558" i="1"/>
  <c r="P1558" i="1"/>
  <c r="O1558" i="1"/>
  <c r="N1558" i="1"/>
  <c r="M1558" i="1"/>
  <c r="L1558" i="1"/>
  <c r="K1558" i="1"/>
  <c r="J1558" i="1"/>
  <c r="X1557" i="1"/>
  <c r="W1557" i="1"/>
  <c r="T1557" i="1"/>
  <c r="P1557" i="1"/>
  <c r="O1557" i="1"/>
  <c r="N1557" i="1"/>
  <c r="M1557" i="1"/>
  <c r="L1557" i="1"/>
  <c r="K1557" i="1"/>
  <c r="J1557" i="1"/>
  <c r="W1556" i="1"/>
  <c r="X1556" i="1" s="1"/>
  <c r="T1556" i="1"/>
  <c r="P1556" i="1"/>
  <c r="O1556" i="1"/>
  <c r="N1556" i="1"/>
  <c r="M1556" i="1"/>
  <c r="L1556" i="1"/>
  <c r="K1556" i="1"/>
  <c r="J1556" i="1"/>
  <c r="X1555" i="1"/>
  <c r="W1555" i="1"/>
  <c r="T1555" i="1"/>
  <c r="P1555" i="1"/>
  <c r="O1555" i="1"/>
  <c r="N1555" i="1"/>
  <c r="M1555" i="1"/>
  <c r="L1555" i="1"/>
  <c r="K1555" i="1"/>
  <c r="J1555" i="1"/>
  <c r="W1554" i="1"/>
  <c r="X1554" i="1" s="1"/>
  <c r="T1554" i="1"/>
  <c r="P1554" i="1"/>
  <c r="O1554" i="1"/>
  <c r="N1554" i="1"/>
  <c r="M1554" i="1"/>
  <c r="L1554" i="1"/>
  <c r="K1554" i="1"/>
  <c r="J1554" i="1"/>
  <c r="X1553" i="1"/>
  <c r="W1553" i="1"/>
  <c r="T1553" i="1"/>
  <c r="P1553" i="1"/>
  <c r="O1553" i="1"/>
  <c r="N1553" i="1"/>
  <c r="M1553" i="1"/>
  <c r="L1553" i="1"/>
  <c r="K1553" i="1"/>
  <c r="J1553" i="1"/>
  <c r="W1552" i="1"/>
  <c r="X1552" i="1" s="1"/>
  <c r="T1552" i="1"/>
  <c r="P1552" i="1"/>
  <c r="O1552" i="1"/>
  <c r="N1552" i="1"/>
  <c r="M1552" i="1"/>
  <c r="L1552" i="1"/>
  <c r="K1552" i="1"/>
  <c r="J1552" i="1"/>
  <c r="X1551" i="1"/>
  <c r="W1551" i="1"/>
  <c r="T1551" i="1"/>
  <c r="P1551" i="1"/>
  <c r="O1551" i="1"/>
  <c r="N1551" i="1"/>
  <c r="M1551" i="1"/>
  <c r="L1551" i="1"/>
  <c r="K1551" i="1"/>
  <c r="J1551" i="1"/>
  <c r="W1550" i="1"/>
  <c r="X1550" i="1" s="1"/>
  <c r="T1550" i="1"/>
  <c r="P1550" i="1"/>
  <c r="O1550" i="1"/>
  <c r="N1550" i="1"/>
  <c r="M1550" i="1"/>
  <c r="L1550" i="1"/>
  <c r="K1550" i="1"/>
  <c r="J1550" i="1"/>
  <c r="X1549" i="1"/>
  <c r="W1549" i="1"/>
  <c r="T1549" i="1"/>
  <c r="P1549" i="1"/>
  <c r="O1549" i="1"/>
  <c r="N1549" i="1"/>
  <c r="M1549" i="1"/>
  <c r="L1549" i="1"/>
  <c r="K1549" i="1"/>
  <c r="J1549" i="1"/>
  <c r="W1548" i="1"/>
  <c r="X1548" i="1" s="1"/>
  <c r="T1548" i="1"/>
  <c r="P1548" i="1"/>
  <c r="O1548" i="1"/>
  <c r="N1548" i="1"/>
  <c r="M1548" i="1"/>
  <c r="L1548" i="1"/>
  <c r="K1548" i="1"/>
  <c r="J1548" i="1"/>
  <c r="X1547" i="1"/>
  <c r="W1547" i="1"/>
  <c r="T1547" i="1"/>
  <c r="P1547" i="1"/>
  <c r="O1547" i="1"/>
  <c r="N1547" i="1"/>
  <c r="M1547" i="1"/>
  <c r="L1547" i="1"/>
  <c r="K1547" i="1"/>
  <c r="J1547" i="1"/>
  <c r="W1546" i="1"/>
  <c r="X1546" i="1" s="1"/>
  <c r="T1546" i="1"/>
  <c r="P1546" i="1"/>
  <c r="O1546" i="1"/>
  <c r="N1546" i="1"/>
  <c r="M1546" i="1"/>
  <c r="L1546" i="1"/>
  <c r="K1546" i="1"/>
  <c r="J1546" i="1"/>
  <c r="X1545" i="1"/>
  <c r="W1545" i="1"/>
  <c r="T1545" i="1"/>
  <c r="P1545" i="1"/>
  <c r="O1545" i="1"/>
  <c r="N1545" i="1"/>
  <c r="M1545" i="1"/>
  <c r="L1545" i="1"/>
  <c r="K1545" i="1"/>
  <c r="J1545" i="1"/>
  <c r="W1544" i="1"/>
  <c r="X1544" i="1" s="1"/>
  <c r="T1544" i="1"/>
  <c r="P1544" i="1"/>
  <c r="O1544" i="1"/>
  <c r="N1544" i="1"/>
  <c r="M1544" i="1"/>
  <c r="L1544" i="1"/>
  <c r="K1544" i="1"/>
  <c r="J1544" i="1"/>
  <c r="X1543" i="1"/>
  <c r="W1543" i="1"/>
  <c r="T1543" i="1"/>
  <c r="P1543" i="1"/>
  <c r="O1543" i="1"/>
  <c r="N1543" i="1"/>
  <c r="M1543" i="1"/>
  <c r="L1543" i="1"/>
  <c r="K1543" i="1"/>
  <c r="J1543" i="1"/>
  <c r="W1542" i="1"/>
  <c r="X1542" i="1" s="1"/>
  <c r="T1542" i="1"/>
  <c r="P1542" i="1"/>
  <c r="O1542" i="1"/>
  <c r="N1542" i="1"/>
  <c r="M1542" i="1"/>
  <c r="L1542" i="1"/>
  <c r="K1542" i="1"/>
  <c r="J1542" i="1"/>
  <c r="X1541" i="1"/>
  <c r="W1541" i="1"/>
  <c r="T1541" i="1"/>
  <c r="P1541" i="1"/>
  <c r="O1541" i="1"/>
  <c r="N1541" i="1"/>
  <c r="M1541" i="1"/>
  <c r="L1541" i="1"/>
  <c r="K1541" i="1"/>
  <c r="J1541" i="1"/>
  <c r="W1540" i="1"/>
  <c r="X1540" i="1" s="1"/>
  <c r="T1540" i="1"/>
  <c r="P1540" i="1"/>
  <c r="O1540" i="1"/>
  <c r="N1540" i="1"/>
  <c r="M1540" i="1"/>
  <c r="L1540" i="1"/>
  <c r="K1540" i="1"/>
  <c r="J1540" i="1"/>
  <c r="X1539" i="1"/>
  <c r="W1539" i="1"/>
  <c r="T1539" i="1"/>
  <c r="P1539" i="1"/>
  <c r="O1539" i="1"/>
  <c r="N1539" i="1"/>
  <c r="M1539" i="1"/>
  <c r="L1539" i="1"/>
  <c r="K1539" i="1"/>
  <c r="J1539" i="1"/>
  <c r="W1538" i="1"/>
  <c r="X1538" i="1" s="1"/>
  <c r="T1538" i="1"/>
  <c r="P1538" i="1"/>
  <c r="O1538" i="1"/>
  <c r="N1538" i="1"/>
  <c r="M1538" i="1"/>
  <c r="L1538" i="1"/>
  <c r="K1538" i="1"/>
  <c r="J1538" i="1"/>
  <c r="X1537" i="1"/>
  <c r="W1537" i="1"/>
  <c r="T1537" i="1"/>
  <c r="P1537" i="1"/>
  <c r="O1537" i="1"/>
  <c r="N1537" i="1"/>
  <c r="M1537" i="1"/>
  <c r="L1537" i="1"/>
  <c r="K1537" i="1"/>
  <c r="J1537" i="1"/>
  <c r="W1536" i="1"/>
  <c r="X1536" i="1" s="1"/>
  <c r="T1536" i="1"/>
  <c r="P1536" i="1"/>
  <c r="O1536" i="1"/>
  <c r="N1536" i="1"/>
  <c r="M1536" i="1"/>
  <c r="L1536" i="1"/>
  <c r="K1536" i="1"/>
  <c r="J1536" i="1"/>
  <c r="X1535" i="1"/>
  <c r="W1535" i="1"/>
  <c r="T1535" i="1"/>
  <c r="P1535" i="1"/>
  <c r="O1535" i="1"/>
  <c r="N1535" i="1"/>
  <c r="M1535" i="1"/>
  <c r="L1535" i="1"/>
  <c r="K1535" i="1"/>
  <c r="J1535" i="1"/>
  <c r="W1534" i="1"/>
  <c r="X1534" i="1" s="1"/>
  <c r="T1534" i="1"/>
  <c r="P1534" i="1"/>
  <c r="O1534" i="1"/>
  <c r="N1534" i="1"/>
  <c r="M1534" i="1"/>
  <c r="L1534" i="1"/>
  <c r="K1534" i="1"/>
  <c r="J1534" i="1"/>
  <c r="X1533" i="1"/>
  <c r="W1533" i="1"/>
  <c r="T1533" i="1"/>
  <c r="P1533" i="1"/>
  <c r="O1533" i="1"/>
  <c r="N1533" i="1"/>
  <c r="M1533" i="1"/>
  <c r="L1533" i="1"/>
  <c r="K1533" i="1"/>
  <c r="J1533" i="1"/>
  <c r="W1532" i="1"/>
  <c r="X1532" i="1" s="1"/>
  <c r="T1532" i="1"/>
  <c r="P1532" i="1"/>
  <c r="O1532" i="1"/>
  <c r="N1532" i="1"/>
  <c r="M1532" i="1"/>
  <c r="L1532" i="1"/>
  <c r="K1532" i="1"/>
  <c r="J1532" i="1"/>
  <c r="X1531" i="1"/>
  <c r="W1531" i="1"/>
  <c r="T1531" i="1"/>
  <c r="P1531" i="1"/>
  <c r="O1531" i="1"/>
  <c r="N1531" i="1"/>
  <c r="M1531" i="1"/>
  <c r="L1531" i="1"/>
  <c r="K1531" i="1"/>
  <c r="J1531" i="1"/>
  <c r="W1530" i="1"/>
  <c r="X1530" i="1" s="1"/>
  <c r="T1530" i="1"/>
  <c r="P1530" i="1"/>
  <c r="O1530" i="1"/>
  <c r="N1530" i="1"/>
  <c r="M1530" i="1"/>
  <c r="L1530" i="1"/>
  <c r="K1530" i="1"/>
  <c r="J1530" i="1"/>
  <c r="X1529" i="1"/>
  <c r="W1529" i="1"/>
  <c r="T1529" i="1"/>
  <c r="P1529" i="1"/>
  <c r="O1529" i="1"/>
  <c r="N1529" i="1"/>
  <c r="M1529" i="1"/>
  <c r="L1529" i="1"/>
  <c r="K1529" i="1"/>
  <c r="J1529" i="1"/>
  <c r="W1528" i="1"/>
  <c r="X1528" i="1" s="1"/>
  <c r="T1528" i="1"/>
  <c r="P1528" i="1"/>
  <c r="O1528" i="1"/>
  <c r="N1528" i="1"/>
  <c r="M1528" i="1"/>
  <c r="L1528" i="1"/>
  <c r="K1528" i="1"/>
  <c r="J1528" i="1"/>
  <c r="X1527" i="1"/>
  <c r="W1527" i="1"/>
  <c r="T1527" i="1"/>
  <c r="P1527" i="1"/>
  <c r="O1527" i="1"/>
  <c r="N1527" i="1"/>
  <c r="M1527" i="1"/>
  <c r="L1527" i="1"/>
  <c r="K1527" i="1"/>
  <c r="J1527" i="1"/>
  <c r="W1526" i="1"/>
  <c r="X1526" i="1" s="1"/>
  <c r="T1526" i="1"/>
  <c r="P1526" i="1"/>
  <c r="O1526" i="1"/>
  <c r="N1526" i="1"/>
  <c r="M1526" i="1"/>
  <c r="L1526" i="1"/>
  <c r="K1526" i="1"/>
  <c r="J1526" i="1"/>
  <c r="X1525" i="1"/>
  <c r="W1525" i="1"/>
  <c r="T1525" i="1"/>
  <c r="P1525" i="1"/>
  <c r="O1525" i="1"/>
  <c r="N1525" i="1"/>
  <c r="M1525" i="1"/>
  <c r="L1525" i="1"/>
  <c r="K1525" i="1"/>
  <c r="J1525" i="1"/>
  <c r="W1524" i="1"/>
  <c r="X1524" i="1" s="1"/>
  <c r="T1524" i="1"/>
  <c r="P1524" i="1"/>
  <c r="O1524" i="1"/>
  <c r="N1524" i="1"/>
  <c r="M1524" i="1"/>
  <c r="L1524" i="1"/>
  <c r="K1524" i="1"/>
  <c r="J1524" i="1"/>
  <c r="X1523" i="1"/>
  <c r="W1523" i="1"/>
  <c r="T1523" i="1"/>
  <c r="P1523" i="1"/>
  <c r="O1523" i="1"/>
  <c r="N1523" i="1"/>
  <c r="M1523" i="1"/>
  <c r="L1523" i="1"/>
  <c r="K1523" i="1"/>
  <c r="J1523" i="1"/>
  <c r="W1522" i="1"/>
  <c r="X1522" i="1" s="1"/>
  <c r="T1522" i="1"/>
  <c r="P1522" i="1"/>
  <c r="O1522" i="1"/>
  <c r="N1522" i="1"/>
  <c r="M1522" i="1"/>
  <c r="L1522" i="1"/>
  <c r="K1522" i="1"/>
  <c r="J1522" i="1"/>
  <c r="X1521" i="1"/>
  <c r="W1521" i="1"/>
  <c r="T1521" i="1"/>
  <c r="P1521" i="1"/>
  <c r="O1521" i="1"/>
  <c r="N1521" i="1"/>
  <c r="M1521" i="1"/>
  <c r="L1521" i="1"/>
  <c r="K1521" i="1"/>
  <c r="J1521" i="1"/>
  <c r="W1520" i="1"/>
  <c r="X1520" i="1" s="1"/>
  <c r="T1520" i="1"/>
  <c r="P1520" i="1"/>
  <c r="O1520" i="1"/>
  <c r="N1520" i="1"/>
  <c r="M1520" i="1"/>
  <c r="L1520" i="1"/>
  <c r="K1520" i="1"/>
  <c r="J1520" i="1"/>
  <c r="X1519" i="1"/>
  <c r="W1519" i="1"/>
  <c r="T1519" i="1"/>
  <c r="P1519" i="1"/>
  <c r="O1519" i="1"/>
  <c r="N1519" i="1"/>
  <c r="M1519" i="1"/>
  <c r="L1519" i="1"/>
  <c r="K1519" i="1"/>
  <c r="J1519" i="1"/>
  <c r="W1518" i="1"/>
  <c r="X1518" i="1" s="1"/>
  <c r="T1518" i="1"/>
  <c r="P1518" i="1"/>
  <c r="O1518" i="1"/>
  <c r="N1518" i="1"/>
  <c r="M1518" i="1"/>
  <c r="L1518" i="1"/>
  <c r="K1518" i="1"/>
  <c r="J1518" i="1"/>
  <c r="X1517" i="1"/>
  <c r="W1517" i="1"/>
  <c r="T1517" i="1"/>
  <c r="P1517" i="1"/>
  <c r="O1517" i="1"/>
  <c r="N1517" i="1"/>
  <c r="M1517" i="1"/>
  <c r="L1517" i="1"/>
  <c r="K1517" i="1"/>
  <c r="J1517" i="1"/>
  <c r="W1516" i="1"/>
  <c r="X1516" i="1" s="1"/>
  <c r="T1516" i="1"/>
  <c r="P1516" i="1"/>
  <c r="O1516" i="1"/>
  <c r="N1516" i="1"/>
  <c r="M1516" i="1"/>
  <c r="L1516" i="1"/>
  <c r="K1516" i="1"/>
  <c r="J1516" i="1"/>
  <c r="X1515" i="1"/>
  <c r="W1515" i="1"/>
  <c r="T1515" i="1"/>
  <c r="P1515" i="1"/>
  <c r="O1515" i="1"/>
  <c r="N1515" i="1"/>
  <c r="M1515" i="1"/>
  <c r="L1515" i="1"/>
  <c r="K1515" i="1"/>
  <c r="J1515" i="1"/>
  <c r="W1514" i="1"/>
  <c r="X1514" i="1" s="1"/>
  <c r="T1514" i="1"/>
  <c r="P1514" i="1"/>
  <c r="O1514" i="1"/>
  <c r="N1514" i="1"/>
  <c r="M1514" i="1"/>
  <c r="L1514" i="1"/>
  <c r="K1514" i="1"/>
  <c r="J1514" i="1"/>
  <c r="X1513" i="1"/>
  <c r="W1513" i="1"/>
  <c r="T1513" i="1"/>
  <c r="P1513" i="1"/>
  <c r="O1513" i="1"/>
  <c r="N1513" i="1"/>
  <c r="M1513" i="1"/>
  <c r="L1513" i="1"/>
  <c r="K1513" i="1"/>
  <c r="J1513" i="1"/>
  <c r="W1512" i="1"/>
  <c r="X1512" i="1" s="1"/>
  <c r="T1512" i="1"/>
  <c r="P1512" i="1"/>
  <c r="O1512" i="1"/>
  <c r="N1512" i="1"/>
  <c r="M1512" i="1"/>
  <c r="L1512" i="1"/>
  <c r="K1512" i="1"/>
  <c r="J1512" i="1"/>
  <c r="X1511" i="1"/>
  <c r="W1511" i="1"/>
  <c r="T1511" i="1"/>
  <c r="P1511" i="1"/>
  <c r="O1511" i="1"/>
  <c r="N1511" i="1"/>
  <c r="M1511" i="1"/>
  <c r="L1511" i="1"/>
  <c r="K1511" i="1"/>
  <c r="J1511" i="1"/>
  <c r="W1510" i="1"/>
  <c r="X1510" i="1" s="1"/>
  <c r="T1510" i="1"/>
  <c r="P1510" i="1"/>
  <c r="O1510" i="1"/>
  <c r="N1510" i="1"/>
  <c r="M1510" i="1"/>
  <c r="L1510" i="1"/>
  <c r="K1510" i="1"/>
  <c r="J1510" i="1"/>
  <c r="X1509" i="1"/>
  <c r="W1509" i="1"/>
  <c r="T1509" i="1"/>
  <c r="P1509" i="1"/>
  <c r="O1509" i="1"/>
  <c r="N1509" i="1"/>
  <c r="M1509" i="1"/>
  <c r="L1509" i="1"/>
  <c r="K1509" i="1"/>
  <c r="J1509" i="1"/>
  <c r="W1508" i="1"/>
  <c r="X1508" i="1" s="1"/>
  <c r="T1508" i="1"/>
  <c r="P1508" i="1"/>
  <c r="O1508" i="1"/>
  <c r="N1508" i="1"/>
  <c r="M1508" i="1"/>
  <c r="L1508" i="1"/>
  <c r="K1508" i="1"/>
  <c r="J1508" i="1"/>
  <c r="X1507" i="1"/>
  <c r="W1507" i="1"/>
  <c r="T1507" i="1"/>
  <c r="P1507" i="1"/>
  <c r="O1507" i="1"/>
  <c r="N1507" i="1"/>
  <c r="M1507" i="1"/>
  <c r="L1507" i="1"/>
  <c r="K1507" i="1"/>
  <c r="J1507" i="1"/>
  <c r="W1506" i="1"/>
  <c r="X1506" i="1" s="1"/>
  <c r="T1506" i="1"/>
  <c r="P1506" i="1"/>
  <c r="O1506" i="1"/>
  <c r="N1506" i="1"/>
  <c r="M1506" i="1"/>
  <c r="L1506" i="1"/>
  <c r="K1506" i="1"/>
  <c r="J1506" i="1"/>
  <c r="X1505" i="1"/>
  <c r="W1505" i="1"/>
  <c r="T1505" i="1"/>
  <c r="P1505" i="1"/>
  <c r="O1505" i="1"/>
  <c r="N1505" i="1"/>
  <c r="M1505" i="1"/>
  <c r="L1505" i="1"/>
  <c r="K1505" i="1"/>
  <c r="J1505" i="1"/>
  <c r="W1504" i="1"/>
  <c r="X1504" i="1" s="1"/>
  <c r="T1504" i="1"/>
  <c r="P1504" i="1"/>
  <c r="O1504" i="1"/>
  <c r="N1504" i="1"/>
  <c r="M1504" i="1"/>
  <c r="L1504" i="1"/>
  <c r="K1504" i="1"/>
  <c r="J1504" i="1"/>
  <c r="X1503" i="1"/>
  <c r="W1503" i="1"/>
  <c r="T1503" i="1"/>
  <c r="P1503" i="1"/>
  <c r="O1503" i="1"/>
  <c r="N1503" i="1"/>
  <c r="M1503" i="1"/>
  <c r="L1503" i="1"/>
  <c r="K1503" i="1"/>
  <c r="J1503" i="1"/>
  <c r="W1502" i="1"/>
  <c r="X1502" i="1" s="1"/>
  <c r="T1502" i="1"/>
  <c r="P1502" i="1"/>
  <c r="O1502" i="1"/>
  <c r="N1502" i="1"/>
  <c r="M1502" i="1"/>
  <c r="L1502" i="1"/>
  <c r="K1502" i="1"/>
  <c r="J1502" i="1"/>
  <c r="X1501" i="1"/>
  <c r="W1501" i="1"/>
  <c r="T1501" i="1"/>
  <c r="P1501" i="1"/>
  <c r="O1501" i="1"/>
  <c r="N1501" i="1"/>
  <c r="M1501" i="1"/>
  <c r="L1501" i="1"/>
  <c r="K1501" i="1"/>
  <c r="J1501" i="1"/>
  <c r="W1500" i="1"/>
  <c r="X1500" i="1" s="1"/>
  <c r="T1500" i="1"/>
  <c r="P1500" i="1"/>
  <c r="O1500" i="1"/>
  <c r="N1500" i="1"/>
  <c r="M1500" i="1"/>
  <c r="L1500" i="1"/>
  <c r="K1500" i="1"/>
  <c r="J1500" i="1"/>
  <c r="X1499" i="1"/>
  <c r="W1499" i="1"/>
  <c r="T1499" i="1"/>
  <c r="P1499" i="1"/>
  <c r="O1499" i="1"/>
  <c r="N1499" i="1"/>
  <c r="M1499" i="1"/>
  <c r="L1499" i="1"/>
  <c r="K1499" i="1"/>
  <c r="J1499" i="1"/>
  <c r="W1498" i="1"/>
  <c r="X1498" i="1" s="1"/>
  <c r="T1498" i="1"/>
  <c r="P1498" i="1"/>
  <c r="O1498" i="1"/>
  <c r="N1498" i="1"/>
  <c r="M1498" i="1"/>
  <c r="L1498" i="1"/>
  <c r="K1498" i="1"/>
  <c r="J1498" i="1"/>
  <c r="X1497" i="1"/>
  <c r="W1497" i="1"/>
  <c r="T1497" i="1"/>
  <c r="P1497" i="1"/>
  <c r="O1497" i="1"/>
  <c r="N1497" i="1"/>
  <c r="M1497" i="1"/>
  <c r="L1497" i="1"/>
  <c r="K1497" i="1"/>
  <c r="J1497" i="1"/>
  <c r="W1496" i="1"/>
  <c r="X1496" i="1" s="1"/>
  <c r="T1496" i="1"/>
  <c r="P1496" i="1"/>
  <c r="O1496" i="1"/>
  <c r="N1496" i="1"/>
  <c r="M1496" i="1"/>
  <c r="L1496" i="1"/>
  <c r="K1496" i="1"/>
  <c r="J1496" i="1"/>
  <c r="X1495" i="1"/>
  <c r="W1495" i="1"/>
  <c r="T1495" i="1"/>
  <c r="P1495" i="1"/>
  <c r="O1495" i="1"/>
  <c r="N1495" i="1"/>
  <c r="M1495" i="1"/>
  <c r="L1495" i="1"/>
  <c r="K1495" i="1"/>
  <c r="J1495" i="1"/>
  <c r="W1494" i="1"/>
  <c r="X1494" i="1" s="1"/>
  <c r="T1494" i="1"/>
  <c r="P1494" i="1"/>
  <c r="O1494" i="1"/>
  <c r="N1494" i="1"/>
  <c r="M1494" i="1"/>
  <c r="L1494" i="1"/>
  <c r="K1494" i="1"/>
  <c r="J1494" i="1"/>
  <c r="X1493" i="1"/>
  <c r="W1493" i="1"/>
  <c r="T1493" i="1"/>
  <c r="P1493" i="1"/>
  <c r="O1493" i="1"/>
  <c r="N1493" i="1"/>
  <c r="M1493" i="1"/>
  <c r="L1493" i="1"/>
  <c r="K1493" i="1"/>
  <c r="J1493" i="1"/>
  <c r="W1492" i="1"/>
  <c r="X1492" i="1" s="1"/>
  <c r="T1492" i="1"/>
  <c r="P1492" i="1"/>
  <c r="O1492" i="1"/>
  <c r="N1492" i="1"/>
  <c r="M1492" i="1"/>
  <c r="L1492" i="1"/>
  <c r="K1492" i="1"/>
  <c r="J1492" i="1"/>
  <c r="X1491" i="1"/>
  <c r="W1491" i="1"/>
  <c r="T1491" i="1"/>
  <c r="P1491" i="1"/>
  <c r="O1491" i="1"/>
  <c r="N1491" i="1"/>
  <c r="M1491" i="1"/>
  <c r="L1491" i="1"/>
  <c r="K1491" i="1"/>
  <c r="J1491" i="1"/>
  <c r="W1490" i="1"/>
  <c r="X1490" i="1" s="1"/>
  <c r="T1490" i="1"/>
  <c r="P1490" i="1"/>
  <c r="O1490" i="1"/>
  <c r="N1490" i="1"/>
  <c r="M1490" i="1"/>
  <c r="L1490" i="1"/>
  <c r="K1490" i="1"/>
  <c r="J1490" i="1"/>
  <c r="X1489" i="1"/>
  <c r="W1489" i="1"/>
  <c r="T1489" i="1"/>
  <c r="P1489" i="1"/>
  <c r="O1489" i="1"/>
  <c r="N1489" i="1"/>
  <c r="M1489" i="1"/>
  <c r="L1489" i="1"/>
  <c r="K1489" i="1"/>
  <c r="J1489" i="1"/>
  <c r="W1488" i="1"/>
  <c r="X1488" i="1" s="1"/>
  <c r="T1488" i="1"/>
  <c r="P1488" i="1"/>
  <c r="O1488" i="1"/>
  <c r="N1488" i="1"/>
  <c r="M1488" i="1"/>
  <c r="L1488" i="1"/>
  <c r="K1488" i="1"/>
  <c r="J1488" i="1"/>
  <c r="X1487" i="1"/>
  <c r="W1487" i="1"/>
  <c r="T1487" i="1"/>
  <c r="P1487" i="1"/>
  <c r="O1487" i="1"/>
  <c r="N1487" i="1"/>
  <c r="M1487" i="1"/>
  <c r="L1487" i="1"/>
  <c r="K1487" i="1"/>
  <c r="J1487" i="1"/>
  <c r="W1486" i="1"/>
  <c r="X1486" i="1" s="1"/>
  <c r="T1486" i="1"/>
  <c r="P1486" i="1"/>
  <c r="O1486" i="1"/>
  <c r="N1486" i="1"/>
  <c r="M1486" i="1"/>
  <c r="L1486" i="1"/>
  <c r="K1486" i="1"/>
  <c r="J1486" i="1"/>
  <c r="X1485" i="1"/>
  <c r="W1485" i="1"/>
  <c r="T1485" i="1"/>
  <c r="P1485" i="1"/>
  <c r="O1485" i="1"/>
  <c r="N1485" i="1"/>
  <c r="M1485" i="1"/>
  <c r="L1485" i="1"/>
  <c r="K1485" i="1"/>
  <c r="J1485" i="1"/>
  <c r="W1484" i="1"/>
  <c r="X1484" i="1" s="1"/>
  <c r="T1484" i="1"/>
  <c r="P1484" i="1"/>
  <c r="O1484" i="1"/>
  <c r="N1484" i="1"/>
  <c r="M1484" i="1"/>
  <c r="L1484" i="1"/>
  <c r="K1484" i="1"/>
  <c r="J1484" i="1"/>
  <c r="X1483" i="1"/>
  <c r="W1483" i="1"/>
  <c r="T1483" i="1"/>
  <c r="P1483" i="1"/>
  <c r="O1483" i="1"/>
  <c r="N1483" i="1"/>
  <c r="M1483" i="1"/>
  <c r="L1483" i="1"/>
  <c r="K1483" i="1"/>
  <c r="J1483" i="1"/>
  <c r="W1482" i="1"/>
  <c r="X1482" i="1" s="1"/>
  <c r="T1482" i="1"/>
  <c r="P1482" i="1"/>
  <c r="O1482" i="1"/>
  <c r="N1482" i="1"/>
  <c r="M1482" i="1"/>
  <c r="L1482" i="1"/>
  <c r="K1482" i="1"/>
  <c r="J1482" i="1"/>
  <c r="X1481" i="1"/>
  <c r="W1481" i="1"/>
  <c r="T1481" i="1"/>
  <c r="P1481" i="1"/>
  <c r="O1481" i="1"/>
  <c r="N1481" i="1"/>
  <c r="M1481" i="1"/>
  <c r="L1481" i="1"/>
  <c r="K1481" i="1"/>
  <c r="J1481" i="1"/>
  <c r="W1480" i="1"/>
  <c r="X1480" i="1" s="1"/>
  <c r="T1480" i="1"/>
  <c r="P1480" i="1"/>
  <c r="O1480" i="1"/>
  <c r="N1480" i="1"/>
  <c r="M1480" i="1"/>
  <c r="L1480" i="1"/>
  <c r="K1480" i="1"/>
  <c r="J1480" i="1"/>
  <c r="X1479" i="1"/>
  <c r="W1479" i="1"/>
  <c r="T1479" i="1"/>
  <c r="P1479" i="1"/>
  <c r="O1479" i="1"/>
  <c r="N1479" i="1"/>
  <c r="M1479" i="1"/>
  <c r="L1479" i="1"/>
  <c r="K1479" i="1"/>
  <c r="J1479" i="1"/>
  <c r="W1478" i="1"/>
  <c r="X1478" i="1" s="1"/>
  <c r="T1478" i="1"/>
  <c r="P1478" i="1"/>
  <c r="O1478" i="1"/>
  <c r="N1478" i="1"/>
  <c r="M1478" i="1"/>
  <c r="L1478" i="1"/>
  <c r="K1478" i="1"/>
  <c r="J1478" i="1"/>
  <c r="X1477" i="1"/>
  <c r="W1477" i="1"/>
  <c r="T1477" i="1"/>
  <c r="P1477" i="1"/>
  <c r="O1477" i="1"/>
  <c r="N1477" i="1"/>
  <c r="M1477" i="1"/>
  <c r="L1477" i="1"/>
  <c r="K1477" i="1"/>
  <c r="J1477" i="1"/>
  <c r="W1476" i="1"/>
  <c r="X1476" i="1" s="1"/>
  <c r="T1476" i="1"/>
  <c r="P1476" i="1"/>
  <c r="O1476" i="1"/>
  <c r="N1476" i="1"/>
  <c r="M1476" i="1"/>
  <c r="L1476" i="1"/>
  <c r="K1476" i="1"/>
  <c r="J1476" i="1"/>
  <c r="X1475" i="1"/>
  <c r="W1475" i="1"/>
  <c r="T1475" i="1"/>
  <c r="P1475" i="1"/>
  <c r="O1475" i="1"/>
  <c r="N1475" i="1"/>
  <c r="M1475" i="1"/>
  <c r="L1475" i="1"/>
  <c r="K1475" i="1"/>
  <c r="J1475" i="1"/>
  <c r="W1474" i="1"/>
  <c r="X1474" i="1" s="1"/>
  <c r="T1474" i="1"/>
  <c r="P1474" i="1"/>
  <c r="O1474" i="1"/>
  <c r="N1474" i="1"/>
  <c r="M1474" i="1"/>
  <c r="L1474" i="1"/>
  <c r="K1474" i="1"/>
  <c r="J1474" i="1"/>
  <c r="X1473" i="1"/>
  <c r="W1473" i="1"/>
  <c r="T1473" i="1"/>
  <c r="P1473" i="1"/>
  <c r="O1473" i="1"/>
  <c r="N1473" i="1"/>
  <c r="M1473" i="1"/>
  <c r="L1473" i="1"/>
  <c r="K1473" i="1"/>
  <c r="J1473" i="1"/>
  <c r="W1472" i="1"/>
  <c r="X1472" i="1" s="1"/>
  <c r="T1472" i="1"/>
  <c r="P1472" i="1"/>
  <c r="O1472" i="1"/>
  <c r="N1472" i="1"/>
  <c r="M1472" i="1"/>
  <c r="L1472" i="1"/>
  <c r="K1472" i="1"/>
  <c r="J1472" i="1"/>
  <c r="X1471" i="1"/>
  <c r="W1471" i="1"/>
  <c r="T1471" i="1"/>
  <c r="P1471" i="1"/>
  <c r="O1471" i="1"/>
  <c r="N1471" i="1"/>
  <c r="M1471" i="1"/>
  <c r="L1471" i="1"/>
  <c r="K1471" i="1"/>
  <c r="J1471" i="1"/>
  <c r="W1470" i="1"/>
  <c r="X1470" i="1" s="1"/>
  <c r="T1470" i="1"/>
  <c r="P1470" i="1"/>
  <c r="O1470" i="1"/>
  <c r="N1470" i="1"/>
  <c r="M1470" i="1"/>
  <c r="L1470" i="1"/>
  <c r="K1470" i="1"/>
  <c r="J1470" i="1"/>
  <c r="X1469" i="1"/>
  <c r="W1469" i="1"/>
  <c r="T1469" i="1"/>
  <c r="P1469" i="1"/>
  <c r="O1469" i="1"/>
  <c r="N1469" i="1"/>
  <c r="M1469" i="1"/>
  <c r="L1469" i="1"/>
  <c r="K1469" i="1"/>
  <c r="J1469" i="1"/>
  <c r="W1468" i="1"/>
  <c r="X1468" i="1" s="1"/>
  <c r="T1468" i="1"/>
  <c r="P1468" i="1"/>
  <c r="O1468" i="1"/>
  <c r="N1468" i="1"/>
  <c r="M1468" i="1"/>
  <c r="L1468" i="1"/>
  <c r="K1468" i="1"/>
  <c r="J1468" i="1"/>
  <c r="X1467" i="1"/>
  <c r="W1467" i="1"/>
  <c r="T1467" i="1"/>
  <c r="P1467" i="1"/>
  <c r="O1467" i="1"/>
  <c r="N1467" i="1"/>
  <c r="M1467" i="1"/>
  <c r="L1467" i="1"/>
  <c r="K1467" i="1"/>
  <c r="J1467" i="1"/>
  <c r="W1466" i="1"/>
  <c r="X1466" i="1" s="1"/>
  <c r="T1466" i="1"/>
  <c r="P1466" i="1"/>
  <c r="O1466" i="1"/>
  <c r="N1466" i="1"/>
  <c r="M1466" i="1"/>
  <c r="L1466" i="1"/>
  <c r="K1466" i="1"/>
  <c r="J1466" i="1"/>
  <c r="X1465" i="1"/>
  <c r="W1465" i="1"/>
  <c r="T1465" i="1"/>
  <c r="P1465" i="1"/>
  <c r="O1465" i="1"/>
  <c r="N1465" i="1"/>
  <c r="M1465" i="1"/>
  <c r="L1465" i="1"/>
  <c r="K1465" i="1"/>
  <c r="J1465" i="1"/>
  <c r="W1464" i="1"/>
  <c r="X1464" i="1" s="1"/>
  <c r="T1464" i="1"/>
  <c r="P1464" i="1"/>
  <c r="O1464" i="1"/>
  <c r="N1464" i="1"/>
  <c r="M1464" i="1"/>
  <c r="L1464" i="1"/>
  <c r="K1464" i="1"/>
  <c r="J1464" i="1"/>
  <c r="X1463" i="1"/>
  <c r="W1463" i="1"/>
  <c r="T1463" i="1"/>
  <c r="P1463" i="1"/>
  <c r="O1463" i="1"/>
  <c r="N1463" i="1"/>
  <c r="M1463" i="1"/>
  <c r="L1463" i="1"/>
  <c r="K1463" i="1"/>
  <c r="J1463" i="1"/>
  <c r="W1462" i="1"/>
  <c r="X1462" i="1" s="1"/>
  <c r="T1462" i="1"/>
  <c r="P1462" i="1"/>
  <c r="O1462" i="1"/>
  <c r="N1462" i="1"/>
  <c r="M1462" i="1"/>
  <c r="L1462" i="1"/>
  <c r="K1462" i="1"/>
  <c r="J1462" i="1"/>
  <c r="X1461" i="1"/>
  <c r="W1461" i="1"/>
  <c r="T1461" i="1"/>
  <c r="P1461" i="1"/>
  <c r="O1461" i="1"/>
  <c r="N1461" i="1"/>
  <c r="M1461" i="1"/>
  <c r="L1461" i="1"/>
  <c r="K1461" i="1"/>
  <c r="J1461" i="1"/>
  <c r="W1460" i="1"/>
  <c r="X1460" i="1" s="1"/>
  <c r="T1460" i="1"/>
  <c r="P1460" i="1"/>
  <c r="O1460" i="1"/>
  <c r="N1460" i="1"/>
  <c r="M1460" i="1"/>
  <c r="L1460" i="1"/>
  <c r="K1460" i="1"/>
  <c r="J1460" i="1"/>
  <c r="X1459" i="1"/>
  <c r="W1459" i="1"/>
  <c r="T1459" i="1"/>
  <c r="P1459" i="1"/>
  <c r="O1459" i="1"/>
  <c r="N1459" i="1"/>
  <c r="M1459" i="1"/>
  <c r="L1459" i="1"/>
  <c r="K1459" i="1"/>
  <c r="J1459" i="1"/>
  <c r="W1458" i="1"/>
  <c r="X1458" i="1" s="1"/>
  <c r="T1458" i="1"/>
  <c r="P1458" i="1"/>
  <c r="O1458" i="1"/>
  <c r="N1458" i="1"/>
  <c r="M1458" i="1"/>
  <c r="L1458" i="1"/>
  <c r="K1458" i="1"/>
  <c r="J1458" i="1"/>
  <c r="X1457" i="1"/>
  <c r="W1457" i="1"/>
  <c r="T1457" i="1"/>
  <c r="P1457" i="1"/>
  <c r="O1457" i="1"/>
  <c r="N1457" i="1"/>
  <c r="M1457" i="1"/>
  <c r="L1457" i="1"/>
  <c r="K1457" i="1"/>
  <c r="J1457" i="1"/>
  <c r="W1456" i="1"/>
  <c r="X1456" i="1" s="1"/>
  <c r="T1456" i="1"/>
  <c r="P1456" i="1"/>
  <c r="O1456" i="1"/>
  <c r="N1456" i="1"/>
  <c r="M1456" i="1"/>
  <c r="L1456" i="1"/>
  <c r="K1456" i="1"/>
  <c r="J1456" i="1"/>
  <c r="X1455" i="1"/>
  <c r="W1455" i="1"/>
  <c r="T1455" i="1"/>
  <c r="P1455" i="1"/>
  <c r="O1455" i="1"/>
  <c r="N1455" i="1"/>
  <c r="M1455" i="1"/>
  <c r="L1455" i="1"/>
  <c r="K1455" i="1"/>
  <c r="J1455" i="1"/>
  <c r="W1454" i="1"/>
  <c r="X1454" i="1" s="1"/>
  <c r="T1454" i="1"/>
  <c r="P1454" i="1"/>
  <c r="O1454" i="1"/>
  <c r="N1454" i="1"/>
  <c r="M1454" i="1"/>
  <c r="L1454" i="1"/>
  <c r="K1454" i="1"/>
  <c r="J1454" i="1"/>
  <c r="X1453" i="1"/>
  <c r="W1453" i="1"/>
  <c r="T1453" i="1"/>
  <c r="P1453" i="1"/>
  <c r="O1453" i="1"/>
  <c r="N1453" i="1"/>
  <c r="M1453" i="1"/>
  <c r="L1453" i="1"/>
  <c r="K1453" i="1"/>
  <c r="J1453" i="1"/>
  <c r="W1452" i="1"/>
  <c r="X1452" i="1" s="1"/>
  <c r="T1452" i="1"/>
  <c r="P1452" i="1"/>
  <c r="O1452" i="1"/>
  <c r="N1452" i="1"/>
  <c r="M1452" i="1"/>
  <c r="L1452" i="1"/>
  <c r="K1452" i="1"/>
  <c r="J1452" i="1"/>
  <c r="X1451" i="1"/>
  <c r="W1451" i="1"/>
  <c r="T1451" i="1"/>
  <c r="P1451" i="1"/>
  <c r="O1451" i="1"/>
  <c r="N1451" i="1"/>
  <c r="M1451" i="1"/>
  <c r="L1451" i="1"/>
  <c r="K1451" i="1"/>
  <c r="J1451" i="1"/>
  <c r="W1450" i="1"/>
  <c r="X1450" i="1" s="1"/>
  <c r="T1450" i="1"/>
  <c r="P1450" i="1"/>
  <c r="O1450" i="1"/>
  <c r="N1450" i="1"/>
  <c r="M1450" i="1"/>
  <c r="L1450" i="1"/>
  <c r="K1450" i="1"/>
  <c r="J1450" i="1"/>
  <c r="X1449" i="1"/>
  <c r="W1449" i="1"/>
  <c r="T1449" i="1"/>
  <c r="P1449" i="1"/>
  <c r="O1449" i="1"/>
  <c r="N1449" i="1"/>
  <c r="M1449" i="1"/>
  <c r="L1449" i="1"/>
  <c r="K1449" i="1"/>
  <c r="J1449" i="1"/>
  <c r="W1448" i="1"/>
  <c r="X1448" i="1" s="1"/>
  <c r="T1448" i="1"/>
  <c r="P1448" i="1"/>
  <c r="O1448" i="1"/>
  <c r="N1448" i="1"/>
  <c r="M1448" i="1"/>
  <c r="L1448" i="1"/>
  <c r="K1448" i="1"/>
  <c r="J1448" i="1"/>
  <c r="X1447" i="1"/>
  <c r="W1447" i="1"/>
  <c r="T1447" i="1"/>
  <c r="P1447" i="1"/>
  <c r="O1447" i="1"/>
  <c r="N1447" i="1"/>
  <c r="M1447" i="1"/>
  <c r="L1447" i="1"/>
  <c r="K1447" i="1"/>
  <c r="J1447" i="1"/>
  <c r="W1446" i="1"/>
  <c r="X1446" i="1" s="1"/>
  <c r="T1446" i="1"/>
  <c r="P1446" i="1"/>
  <c r="O1446" i="1"/>
  <c r="N1446" i="1"/>
  <c r="M1446" i="1"/>
  <c r="L1446" i="1"/>
  <c r="K1446" i="1"/>
  <c r="J1446" i="1"/>
  <c r="X1445" i="1"/>
  <c r="W1445" i="1"/>
  <c r="T1445" i="1"/>
  <c r="P1445" i="1"/>
  <c r="O1445" i="1"/>
  <c r="N1445" i="1"/>
  <c r="M1445" i="1"/>
  <c r="L1445" i="1"/>
  <c r="K1445" i="1"/>
  <c r="J1445" i="1"/>
  <c r="W1444" i="1"/>
  <c r="X1444" i="1" s="1"/>
  <c r="T1444" i="1"/>
  <c r="P1444" i="1"/>
  <c r="O1444" i="1"/>
  <c r="N1444" i="1"/>
  <c r="M1444" i="1"/>
  <c r="L1444" i="1"/>
  <c r="K1444" i="1"/>
  <c r="J1444" i="1"/>
  <c r="X1443" i="1"/>
  <c r="W1443" i="1"/>
  <c r="T1443" i="1"/>
  <c r="P1443" i="1"/>
  <c r="O1443" i="1"/>
  <c r="N1443" i="1"/>
  <c r="M1443" i="1"/>
  <c r="L1443" i="1"/>
  <c r="K1443" i="1"/>
  <c r="J1443" i="1"/>
  <c r="W1442" i="1"/>
  <c r="X1442" i="1" s="1"/>
  <c r="T1442" i="1"/>
  <c r="P1442" i="1"/>
  <c r="O1442" i="1"/>
  <c r="N1442" i="1"/>
  <c r="M1442" i="1"/>
  <c r="L1442" i="1"/>
  <c r="K1442" i="1"/>
  <c r="J1442" i="1"/>
  <c r="X1441" i="1"/>
  <c r="W1441" i="1"/>
  <c r="T1441" i="1"/>
  <c r="P1441" i="1"/>
  <c r="O1441" i="1"/>
  <c r="N1441" i="1"/>
  <c r="M1441" i="1"/>
  <c r="L1441" i="1"/>
  <c r="K1441" i="1"/>
  <c r="J1441" i="1"/>
  <c r="W1440" i="1"/>
  <c r="X1440" i="1" s="1"/>
  <c r="T1440" i="1"/>
  <c r="P1440" i="1"/>
  <c r="O1440" i="1"/>
  <c r="N1440" i="1"/>
  <c r="M1440" i="1"/>
  <c r="L1440" i="1"/>
  <c r="K1440" i="1"/>
  <c r="J1440" i="1"/>
  <c r="X1439" i="1"/>
  <c r="W1439" i="1"/>
  <c r="T1439" i="1"/>
  <c r="P1439" i="1"/>
  <c r="O1439" i="1"/>
  <c r="N1439" i="1"/>
  <c r="M1439" i="1"/>
  <c r="L1439" i="1"/>
  <c r="K1439" i="1"/>
  <c r="J1439" i="1"/>
  <c r="W1438" i="1"/>
  <c r="X1438" i="1" s="1"/>
  <c r="T1438" i="1"/>
  <c r="P1438" i="1"/>
  <c r="O1438" i="1"/>
  <c r="N1438" i="1"/>
  <c r="M1438" i="1"/>
  <c r="L1438" i="1"/>
  <c r="K1438" i="1"/>
  <c r="J1438" i="1"/>
  <c r="X1437" i="1"/>
  <c r="W1437" i="1"/>
  <c r="T1437" i="1"/>
  <c r="P1437" i="1"/>
  <c r="O1437" i="1"/>
  <c r="N1437" i="1"/>
  <c r="M1437" i="1"/>
  <c r="L1437" i="1"/>
  <c r="K1437" i="1"/>
  <c r="J1437" i="1"/>
  <c r="W1436" i="1"/>
  <c r="X1436" i="1" s="1"/>
  <c r="T1436" i="1"/>
  <c r="P1436" i="1"/>
  <c r="O1436" i="1"/>
  <c r="N1436" i="1"/>
  <c r="M1436" i="1"/>
  <c r="L1436" i="1"/>
  <c r="K1436" i="1"/>
  <c r="J1436" i="1"/>
  <c r="X1435" i="1"/>
  <c r="W1435" i="1"/>
  <c r="T1435" i="1"/>
  <c r="P1435" i="1"/>
  <c r="O1435" i="1"/>
  <c r="N1435" i="1"/>
  <c r="M1435" i="1"/>
  <c r="L1435" i="1"/>
  <c r="K1435" i="1"/>
  <c r="J1435" i="1"/>
  <c r="W1434" i="1"/>
  <c r="X1434" i="1" s="1"/>
  <c r="T1434" i="1"/>
  <c r="P1434" i="1"/>
  <c r="O1434" i="1"/>
  <c r="N1434" i="1"/>
  <c r="M1434" i="1"/>
  <c r="L1434" i="1"/>
  <c r="K1434" i="1"/>
  <c r="J1434" i="1"/>
  <c r="X1433" i="1"/>
  <c r="W1433" i="1"/>
  <c r="T1433" i="1"/>
  <c r="P1433" i="1"/>
  <c r="O1433" i="1"/>
  <c r="N1433" i="1"/>
  <c r="M1433" i="1"/>
  <c r="L1433" i="1"/>
  <c r="K1433" i="1"/>
  <c r="J1433" i="1"/>
  <c r="W1432" i="1"/>
  <c r="X1432" i="1" s="1"/>
  <c r="T1432" i="1"/>
  <c r="P1432" i="1"/>
  <c r="O1432" i="1"/>
  <c r="N1432" i="1"/>
  <c r="M1432" i="1"/>
  <c r="L1432" i="1"/>
  <c r="K1432" i="1"/>
  <c r="J1432" i="1"/>
  <c r="X1431" i="1"/>
  <c r="W1431" i="1"/>
  <c r="T1431" i="1"/>
  <c r="P1431" i="1"/>
  <c r="O1431" i="1"/>
  <c r="N1431" i="1"/>
  <c r="M1431" i="1"/>
  <c r="L1431" i="1"/>
  <c r="K1431" i="1"/>
  <c r="J1431" i="1"/>
  <c r="W1430" i="1"/>
  <c r="X1430" i="1" s="1"/>
  <c r="T1430" i="1"/>
  <c r="P1430" i="1"/>
  <c r="O1430" i="1"/>
  <c r="N1430" i="1"/>
  <c r="M1430" i="1"/>
  <c r="L1430" i="1"/>
  <c r="K1430" i="1"/>
  <c r="J1430" i="1"/>
  <c r="X1429" i="1"/>
  <c r="W1429" i="1"/>
  <c r="T1429" i="1"/>
  <c r="P1429" i="1"/>
  <c r="O1429" i="1"/>
  <c r="N1429" i="1"/>
  <c r="M1429" i="1"/>
  <c r="L1429" i="1"/>
  <c r="K1429" i="1"/>
  <c r="J1429" i="1"/>
  <c r="W1428" i="1"/>
  <c r="X1428" i="1" s="1"/>
  <c r="T1428" i="1"/>
  <c r="P1428" i="1"/>
  <c r="O1428" i="1"/>
  <c r="N1428" i="1"/>
  <c r="M1428" i="1"/>
  <c r="L1428" i="1"/>
  <c r="K1428" i="1"/>
  <c r="J1428" i="1"/>
  <c r="X1427" i="1"/>
  <c r="W1427" i="1"/>
  <c r="T1427" i="1"/>
  <c r="P1427" i="1"/>
  <c r="O1427" i="1"/>
  <c r="N1427" i="1"/>
  <c r="M1427" i="1"/>
  <c r="L1427" i="1"/>
  <c r="K1427" i="1"/>
  <c r="J1427" i="1"/>
  <c r="W1426" i="1"/>
  <c r="X1426" i="1" s="1"/>
  <c r="T1426" i="1"/>
  <c r="P1426" i="1"/>
  <c r="O1426" i="1"/>
  <c r="N1426" i="1"/>
  <c r="M1426" i="1"/>
  <c r="L1426" i="1"/>
  <c r="K1426" i="1"/>
  <c r="J1426" i="1"/>
  <c r="X1425" i="1"/>
  <c r="W1425" i="1"/>
  <c r="T1425" i="1"/>
  <c r="P1425" i="1"/>
  <c r="O1425" i="1"/>
  <c r="N1425" i="1"/>
  <c r="M1425" i="1"/>
  <c r="L1425" i="1"/>
  <c r="K1425" i="1"/>
  <c r="J1425" i="1"/>
  <c r="W1424" i="1"/>
  <c r="X1424" i="1" s="1"/>
  <c r="T1424" i="1"/>
  <c r="P1424" i="1"/>
  <c r="O1424" i="1"/>
  <c r="N1424" i="1"/>
  <c r="M1424" i="1"/>
  <c r="L1424" i="1"/>
  <c r="K1424" i="1"/>
  <c r="J1424" i="1"/>
  <c r="X1423" i="1"/>
  <c r="W1423" i="1"/>
  <c r="T1423" i="1"/>
  <c r="P1423" i="1"/>
  <c r="O1423" i="1"/>
  <c r="N1423" i="1"/>
  <c r="M1423" i="1"/>
  <c r="L1423" i="1"/>
  <c r="K1423" i="1"/>
  <c r="J1423" i="1"/>
  <c r="W1422" i="1"/>
  <c r="X1422" i="1" s="1"/>
  <c r="T1422" i="1"/>
  <c r="P1422" i="1"/>
  <c r="O1422" i="1"/>
  <c r="N1422" i="1"/>
  <c r="M1422" i="1"/>
  <c r="L1422" i="1"/>
  <c r="K1422" i="1"/>
  <c r="J1422" i="1"/>
  <c r="X1421" i="1"/>
  <c r="W1421" i="1"/>
  <c r="T1421" i="1"/>
  <c r="P1421" i="1"/>
  <c r="O1421" i="1"/>
  <c r="N1421" i="1"/>
  <c r="M1421" i="1"/>
  <c r="L1421" i="1"/>
  <c r="K1421" i="1"/>
  <c r="J1421" i="1"/>
  <c r="W1420" i="1"/>
  <c r="X1420" i="1" s="1"/>
  <c r="T1420" i="1"/>
  <c r="P1420" i="1"/>
  <c r="O1420" i="1"/>
  <c r="N1420" i="1"/>
  <c r="M1420" i="1"/>
  <c r="L1420" i="1"/>
  <c r="K1420" i="1"/>
  <c r="J1420" i="1"/>
  <c r="X1419" i="1"/>
  <c r="W1419" i="1"/>
  <c r="T1419" i="1"/>
  <c r="P1419" i="1"/>
  <c r="O1419" i="1"/>
  <c r="N1419" i="1"/>
  <c r="M1419" i="1"/>
  <c r="L1419" i="1"/>
  <c r="K1419" i="1"/>
  <c r="J1419" i="1"/>
  <c r="W1418" i="1"/>
  <c r="X1418" i="1" s="1"/>
  <c r="T1418" i="1"/>
  <c r="P1418" i="1"/>
  <c r="O1418" i="1"/>
  <c r="N1418" i="1"/>
  <c r="M1418" i="1"/>
  <c r="L1418" i="1"/>
  <c r="K1418" i="1"/>
  <c r="J1418" i="1"/>
  <c r="X1417" i="1"/>
  <c r="W1417" i="1"/>
  <c r="T1417" i="1"/>
  <c r="P1417" i="1"/>
  <c r="O1417" i="1"/>
  <c r="N1417" i="1"/>
  <c r="M1417" i="1"/>
  <c r="L1417" i="1"/>
  <c r="K1417" i="1"/>
  <c r="J1417" i="1"/>
  <c r="W1416" i="1"/>
  <c r="X1416" i="1" s="1"/>
  <c r="T1416" i="1"/>
  <c r="P1416" i="1"/>
  <c r="O1416" i="1"/>
  <c r="N1416" i="1"/>
  <c r="M1416" i="1"/>
  <c r="L1416" i="1"/>
  <c r="K1416" i="1"/>
  <c r="J1416" i="1"/>
  <c r="X1415" i="1"/>
  <c r="W1415" i="1"/>
  <c r="T1415" i="1"/>
  <c r="P1415" i="1"/>
  <c r="O1415" i="1"/>
  <c r="N1415" i="1"/>
  <c r="M1415" i="1"/>
  <c r="L1415" i="1"/>
  <c r="K1415" i="1"/>
  <c r="J1415" i="1"/>
  <c r="W1414" i="1"/>
  <c r="X1414" i="1" s="1"/>
  <c r="T1414" i="1"/>
  <c r="P1414" i="1"/>
  <c r="O1414" i="1"/>
  <c r="N1414" i="1"/>
  <c r="M1414" i="1"/>
  <c r="L1414" i="1"/>
  <c r="K1414" i="1"/>
  <c r="J1414" i="1"/>
  <c r="X1413" i="1"/>
  <c r="W1413" i="1"/>
  <c r="T1413" i="1"/>
  <c r="P1413" i="1"/>
  <c r="O1413" i="1"/>
  <c r="N1413" i="1"/>
  <c r="M1413" i="1"/>
  <c r="L1413" i="1"/>
  <c r="K1413" i="1"/>
  <c r="J1413" i="1"/>
  <c r="W1412" i="1"/>
  <c r="X1412" i="1" s="1"/>
  <c r="T1412" i="1"/>
  <c r="P1412" i="1"/>
  <c r="O1412" i="1"/>
  <c r="N1412" i="1"/>
  <c r="M1412" i="1"/>
  <c r="L1412" i="1"/>
  <c r="K1412" i="1"/>
  <c r="J1412" i="1"/>
  <c r="X1411" i="1"/>
  <c r="W1411" i="1"/>
  <c r="T1411" i="1"/>
  <c r="P1411" i="1"/>
  <c r="O1411" i="1"/>
  <c r="N1411" i="1"/>
  <c r="M1411" i="1"/>
  <c r="L1411" i="1"/>
  <c r="K1411" i="1"/>
  <c r="J1411" i="1"/>
  <c r="W1410" i="1"/>
  <c r="X1410" i="1" s="1"/>
  <c r="T1410" i="1"/>
  <c r="P1410" i="1"/>
  <c r="O1410" i="1"/>
  <c r="N1410" i="1"/>
  <c r="M1410" i="1"/>
  <c r="L1410" i="1"/>
  <c r="K1410" i="1"/>
  <c r="J1410" i="1"/>
  <c r="X1409" i="1"/>
  <c r="W1409" i="1"/>
  <c r="T1409" i="1"/>
  <c r="P1409" i="1"/>
  <c r="O1409" i="1"/>
  <c r="N1409" i="1"/>
  <c r="M1409" i="1"/>
  <c r="L1409" i="1"/>
  <c r="K1409" i="1"/>
  <c r="J1409" i="1"/>
  <c r="W1408" i="1"/>
  <c r="X1408" i="1" s="1"/>
  <c r="T1408" i="1"/>
  <c r="P1408" i="1"/>
  <c r="O1408" i="1"/>
  <c r="N1408" i="1"/>
  <c r="M1408" i="1"/>
  <c r="L1408" i="1"/>
  <c r="K1408" i="1"/>
  <c r="J1408" i="1"/>
  <c r="X1407" i="1"/>
  <c r="W1407" i="1"/>
  <c r="T1407" i="1"/>
  <c r="P1407" i="1"/>
  <c r="O1407" i="1"/>
  <c r="N1407" i="1"/>
  <c r="M1407" i="1"/>
  <c r="L1407" i="1"/>
  <c r="K1407" i="1"/>
  <c r="J1407" i="1"/>
  <c r="W1406" i="1"/>
  <c r="X1406" i="1" s="1"/>
  <c r="T1406" i="1"/>
  <c r="P1406" i="1"/>
  <c r="O1406" i="1"/>
  <c r="N1406" i="1"/>
  <c r="M1406" i="1"/>
  <c r="L1406" i="1"/>
  <c r="K1406" i="1"/>
  <c r="J1406" i="1"/>
  <c r="X1405" i="1"/>
  <c r="W1405" i="1"/>
  <c r="T1405" i="1"/>
  <c r="P1405" i="1"/>
  <c r="O1405" i="1"/>
  <c r="N1405" i="1"/>
  <c r="M1405" i="1"/>
  <c r="L1405" i="1"/>
  <c r="K1405" i="1"/>
  <c r="J1405" i="1"/>
  <c r="W1404" i="1"/>
  <c r="X1404" i="1" s="1"/>
  <c r="T1404" i="1"/>
  <c r="P1404" i="1"/>
  <c r="O1404" i="1"/>
  <c r="N1404" i="1"/>
  <c r="M1404" i="1"/>
  <c r="L1404" i="1"/>
  <c r="K1404" i="1"/>
  <c r="J1404" i="1"/>
  <c r="X1403" i="1"/>
  <c r="W1403" i="1"/>
  <c r="T1403" i="1"/>
  <c r="P1403" i="1"/>
  <c r="O1403" i="1"/>
  <c r="N1403" i="1"/>
  <c r="M1403" i="1"/>
  <c r="L1403" i="1"/>
  <c r="K1403" i="1"/>
  <c r="J1403" i="1"/>
  <c r="W1402" i="1"/>
  <c r="X1402" i="1" s="1"/>
  <c r="T1402" i="1"/>
  <c r="P1402" i="1"/>
  <c r="O1402" i="1"/>
  <c r="N1402" i="1"/>
  <c r="M1402" i="1"/>
  <c r="L1402" i="1"/>
  <c r="K1402" i="1"/>
  <c r="J1402" i="1"/>
  <c r="X1401" i="1"/>
  <c r="W1401" i="1"/>
  <c r="T1401" i="1"/>
  <c r="P1401" i="1"/>
  <c r="O1401" i="1"/>
  <c r="N1401" i="1"/>
  <c r="M1401" i="1"/>
  <c r="L1401" i="1"/>
  <c r="K1401" i="1"/>
  <c r="J1401" i="1"/>
  <c r="W1400" i="1"/>
  <c r="X1400" i="1" s="1"/>
  <c r="T1400" i="1"/>
  <c r="P1400" i="1"/>
  <c r="O1400" i="1"/>
  <c r="N1400" i="1"/>
  <c r="M1400" i="1"/>
  <c r="L1400" i="1"/>
  <c r="K1400" i="1"/>
  <c r="J1400" i="1"/>
  <c r="X1399" i="1"/>
  <c r="W1399" i="1"/>
  <c r="T1399" i="1"/>
  <c r="P1399" i="1"/>
  <c r="O1399" i="1"/>
  <c r="N1399" i="1"/>
  <c r="M1399" i="1"/>
  <c r="L1399" i="1"/>
  <c r="K1399" i="1"/>
  <c r="J1399" i="1"/>
  <c r="W1398" i="1"/>
  <c r="X1398" i="1" s="1"/>
  <c r="T1398" i="1"/>
  <c r="P1398" i="1"/>
  <c r="O1398" i="1"/>
  <c r="N1398" i="1"/>
  <c r="M1398" i="1"/>
  <c r="L1398" i="1"/>
  <c r="K1398" i="1"/>
  <c r="J1398" i="1"/>
  <c r="X1397" i="1"/>
  <c r="W1397" i="1"/>
  <c r="T1397" i="1"/>
  <c r="P1397" i="1"/>
  <c r="O1397" i="1"/>
  <c r="N1397" i="1"/>
  <c r="M1397" i="1"/>
  <c r="L1397" i="1"/>
  <c r="K1397" i="1"/>
  <c r="J1397" i="1"/>
  <c r="W1396" i="1"/>
  <c r="X1396" i="1" s="1"/>
  <c r="T1396" i="1"/>
  <c r="P1396" i="1"/>
  <c r="O1396" i="1"/>
  <c r="N1396" i="1"/>
  <c r="M1396" i="1"/>
  <c r="L1396" i="1"/>
  <c r="K1396" i="1"/>
  <c r="J1396" i="1"/>
  <c r="X1395" i="1"/>
  <c r="W1395" i="1"/>
  <c r="T1395" i="1"/>
  <c r="P1395" i="1"/>
  <c r="O1395" i="1"/>
  <c r="N1395" i="1"/>
  <c r="M1395" i="1"/>
  <c r="L1395" i="1"/>
  <c r="K1395" i="1"/>
  <c r="J1395" i="1"/>
  <c r="W1394" i="1"/>
  <c r="X1394" i="1" s="1"/>
  <c r="T1394" i="1"/>
  <c r="P1394" i="1"/>
  <c r="O1394" i="1"/>
  <c r="N1394" i="1"/>
  <c r="M1394" i="1"/>
  <c r="L1394" i="1"/>
  <c r="K1394" i="1"/>
  <c r="J1394" i="1"/>
  <c r="X1393" i="1"/>
  <c r="W1393" i="1"/>
  <c r="T1393" i="1"/>
  <c r="P1393" i="1"/>
  <c r="O1393" i="1"/>
  <c r="N1393" i="1"/>
  <c r="M1393" i="1"/>
  <c r="L1393" i="1"/>
  <c r="K1393" i="1"/>
  <c r="J1393" i="1"/>
  <c r="W1392" i="1"/>
  <c r="X1392" i="1" s="1"/>
  <c r="T1392" i="1"/>
  <c r="P1392" i="1"/>
  <c r="O1392" i="1"/>
  <c r="N1392" i="1"/>
  <c r="M1392" i="1"/>
  <c r="L1392" i="1"/>
  <c r="K1392" i="1"/>
  <c r="J1392" i="1"/>
  <c r="X1391" i="1"/>
  <c r="W1391" i="1"/>
  <c r="T1391" i="1"/>
  <c r="P1391" i="1"/>
  <c r="O1391" i="1"/>
  <c r="N1391" i="1"/>
  <c r="M1391" i="1"/>
  <c r="L1391" i="1"/>
  <c r="K1391" i="1"/>
  <c r="J1391" i="1"/>
  <c r="W1390" i="1"/>
  <c r="X1390" i="1" s="1"/>
  <c r="T1390" i="1"/>
  <c r="P1390" i="1"/>
  <c r="O1390" i="1"/>
  <c r="N1390" i="1"/>
  <c r="M1390" i="1"/>
  <c r="L1390" i="1"/>
  <c r="K1390" i="1"/>
  <c r="J1390" i="1"/>
  <c r="X1389" i="1"/>
  <c r="W1389" i="1"/>
  <c r="T1389" i="1"/>
  <c r="P1389" i="1"/>
  <c r="O1389" i="1"/>
  <c r="N1389" i="1"/>
  <c r="M1389" i="1"/>
  <c r="L1389" i="1"/>
  <c r="K1389" i="1"/>
  <c r="J1389" i="1"/>
  <c r="W1388" i="1"/>
  <c r="X1388" i="1" s="1"/>
  <c r="T1388" i="1"/>
  <c r="P1388" i="1"/>
  <c r="O1388" i="1"/>
  <c r="N1388" i="1"/>
  <c r="M1388" i="1"/>
  <c r="L1388" i="1"/>
  <c r="K1388" i="1"/>
  <c r="J1388" i="1"/>
  <c r="X1387" i="1"/>
  <c r="W1387" i="1"/>
  <c r="T1387" i="1"/>
  <c r="P1387" i="1"/>
  <c r="O1387" i="1"/>
  <c r="N1387" i="1"/>
  <c r="M1387" i="1"/>
  <c r="L1387" i="1"/>
  <c r="K1387" i="1"/>
  <c r="J1387" i="1"/>
  <c r="W1386" i="1"/>
  <c r="X1386" i="1" s="1"/>
  <c r="T1386" i="1"/>
  <c r="P1386" i="1"/>
  <c r="O1386" i="1"/>
  <c r="N1386" i="1"/>
  <c r="M1386" i="1"/>
  <c r="L1386" i="1"/>
  <c r="K1386" i="1"/>
  <c r="J1386" i="1"/>
  <c r="X1385" i="1"/>
  <c r="W1385" i="1"/>
  <c r="T1385" i="1"/>
  <c r="P1385" i="1"/>
  <c r="O1385" i="1"/>
  <c r="N1385" i="1"/>
  <c r="M1385" i="1"/>
  <c r="L1385" i="1"/>
  <c r="K1385" i="1"/>
  <c r="J1385" i="1"/>
  <c r="W1384" i="1"/>
  <c r="X1384" i="1" s="1"/>
  <c r="T1384" i="1"/>
  <c r="P1384" i="1"/>
  <c r="O1384" i="1"/>
  <c r="N1384" i="1"/>
  <c r="M1384" i="1"/>
  <c r="L1384" i="1"/>
  <c r="K1384" i="1"/>
  <c r="J1384" i="1"/>
  <c r="X1383" i="1"/>
  <c r="W1383" i="1"/>
  <c r="T1383" i="1"/>
  <c r="P1383" i="1"/>
  <c r="O1383" i="1"/>
  <c r="N1383" i="1"/>
  <c r="M1383" i="1"/>
  <c r="L1383" i="1"/>
  <c r="K1383" i="1"/>
  <c r="J1383" i="1"/>
  <c r="W1382" i="1"/>
  <c r="X1382" i="1" s="1"/>
  <c r="T1382" i="1"/>
  <c r="P1382" i="1"/>
  <c r="O1382" i="1"/>
  <c r="N1382" i="1"/>
  <c r="M1382" i="1"/>
  <c r="L1382" i="1"/>
  <c r="K1382" i="1"/>
  <c r="J1382" i="1"/>
  <c r="X1381" i="1"/>
  <c r="W1381" i="1"/>
  <c r="T1381" i="1"/>
  <c r="P1381" i="1"/>
  <c r="O1381" i="1"/>
  <c r="N1381" i="1"/>
  <c r="M1381" i="1"/>
  <c r="L1381" i="1"/>
  <c r="K1381" i="1"/>
  <c r="J1381" i="1"/>
  <c r="W1380" i="1"/>
  <c r="X1380" i="1" s="1"/>
  <c r="T1380" i="1"/>
  <c r="P1380" i="1"/>
  <c r="O1380" i="1"/>
  <c r="N1380" i="1"/>
  <c r="M1380" i="1"/>
  <c r="L1380" i="1"/>
  <c r="K1380" i="1"/>
  <c r="J1380" i="1"/>
  <c r="X1379" i="1"/>
  <c r="W1379" i="1"/>
  <c r="T1379" i="1"/>
  <c r="P1379" i="1"/>
  <c r="O1379" i="1"/>
  <c r="N1379" i="1"/>
  <c r="M1379" i="1"/>
  <c r="L1379" i="1"/>
  <c r="K1379" i="1"/>
  <c r="J1379" i="1"/>
  <c r="W1378" i="1"/>
  <c r="X1378" i="1" s="1"/>
  <c r="T1378" i="1"/>
  <c r="P1378" i="1"/>
  <c r="O1378" i="1"/>
  <c r="N1378" i="1"/>
  <c r="M1378" i="1"/>
  <c r="L1378" i="1"/>
  <c r="K1378" i="1"/>
  <c r="J1378" i="1"/>
  <c r="X1377" i="1"/>
  <c r="W1377" i="1"/>
  <c r="T1377" i="1"/>
  <c r="P1377" i="1"/>
  <c r="O1377" i="1"/>
  <c r="N1377" i="1"/>
  <c r="M1377" i="1"/>
  <c r="L1377" i="1"/>
  <c r="K1377" i="1"/>
  <c r="J1377" i="1"/>
  <c r="W1376" i="1"/>
  <c r="X1376" i="1" s="1"/>
  <c r="T1376" i="1"/>
  <c r="P1376" i="1"/>
  <c r="O1376" i="1"/>
  <c r="N1376" i="1"/>
  <c r="M1376" i="1"/>
  <c r="L1376" i="1"/>
  <c r="K1376" i="1"/>
  <c r="J1376" i="1"/>
  <c r="X1375" i="1"/>
  <c r="W1375" i="1"/>
  <c r="T1375" i="1"/>
  <c r="P1375" i="1"/>
  <c r="O1375" i="1"/>
  <c r="N1375" i="1"/>
  <c r="M1375" i="1"/>
  <c r="L1375" i="1"/>
  <c r="K1375" i="1"/>
  <c r="J1375" i="1"/>
  <c r="W1374" i="1"/>
  <c r="X1374" i="1" s="1"/>
  <c r="T1374" i="1"/>
  <c r="P1374" i="1"/>
  <c r="O1374" i="1"/>
  <c r="N1374" i="1"/>
  <c r="M1374" i="1"/>
  <c r="L1374" i="1"/>
  <c r="K1374" i="1"/>
  <c r="J1374" i="1"/>
  <c r="X1373" i="1"/>
  <c r="W1373" i="1"/>
  <c r="T1373" i="1"/>
  <c r="P1373" i="1"/>
  <c r="O1373" i="1"/>
  <c r="N1373" i="1"/>
  <c r="M1373" i="1"/>
  <c r="L1373" i="1"/>
  <c r="K1373" i="1"/>
  <c r="J1373" i="1"/>
  <c r="W1372" i="1"/>
  <c r="X1372" i="1" s="1"/>
  <c r="T1372" i="1"/>
  <c r="P1372" i="1"/>
  <c r="O1372" i="1"/>
  <c r="N1372" i="1"/>
  <c r="M1372" i="1"/>
  <c r="L1372" i="1"/>
  <c r="K1372" i="1"/>
  <c r="J1372" i="1"/>
  <c r="X1371" i="1"/>
  <c r="W1371" i="1"/>
  <c r="T1371" i="1"/>
  <c r="P1371" i="1"/>
  <c r="O1371" i="1"/>
  <c r="N1371" i="1"/>
  <c r="M1371" i="1"/>
  <c r="L1371" i="1"/>
  <c r="K1371" i="1"/>
  <c r="J1371" i="1"/>
  <c r="W1370" i="1"/>
  <c r="X1370" i="1" s="1"/>
  <c r="T1370" i="1"/>
  <c r="P1370" i="1"/>
  <c r="O1370" i="1"/>
  <c r="N1370" i="1"/>
  <c r="M1370" i="1"/>
  <c r="L1370" i="1"/>
  <c r="K1370" i="1"/>
  <c r="J1370" i="1"/>
  <c r="X1369" i="1"/>
  <c r="W1369" i="1"/>
  <c r="T1369" i="1"/>
  <c r="P1369" i="1"/>
  <c r="O1369" i="1"/>
  <c r="N1369" i="1"/>
  <c r="M1369" i="1"/>
  <c r="L1369" i="1"/>
  <c r="K1369" i="1"/>
  <c r="J1369" i="1"/>
  <c r="W1368" i="1"/>
  <c r="X1368" i="1" s="1"/>
  <c r="T1368" i="1"/>
  <c r="P1368" i="1"/>
  <c r="O1368" i="1"/>
  <c r="N1368" i="1"/>
  <c r="M1368" i="1"/>
  <c r="L1368" i="1"/>
  <c r="K1368" i="1"/>
  <c r="J1368" i="1"/>
  <c r="X1367" i="1"/>
  <c r="W1367" i="1"/>
  <c r="T1367" i="1"/>
  <c r="P1367" i="1"/>
  <c r="O1367" i="1"/>
  <c r="N1367" i="1"/>
  <c r="M1367" i="1"/>
  <c r="L1367" i="1"/>
  <c r="K1367" i="1"/>
  <c r="J1367" i="1"/>
  <c r="W1366" i="1"/>
  <c r="X1366" i="1" s="1"/>
  <c r="T1366" i="1"/>
  <c r="P1366" i="1"/>
  <c r="O1366" i="1"/>
  <c r="N1366" i="1"/>
  <c r="M1366" i="1"/>
  <c r="L1366" i="1"/>
  <c r="K1366" i="1"/>
  <c r="J1366" i="1"/>
  <c r="X1365" i="1"/>
  <c r="W1365" i="1"/>
  <c r="T1365" i="1"/>
  <c r="P1365" i="1"/>
  <c r="O1365" i="1"/>
  <c r="N1365" i="1"/>
  <c r="M1365" i="1"/>
  <c r="L1365" i="1"/>
  <c r="K1365" i="1"/>
  <c r="J1365" i="1"/>
  <c r="W1364" i="1"/>
  <c r="X1364" i="1" s="1"/>
  <c r="T1364" i="1"/>
  <c r="P1364" i="1"/>
  <c r="O1364" i="1"/>
  <c r="N1364" i="1"/>
  <c r="M1364" i="1"/>
  <c r="L1364" i="1"/>
  <c r="K1364" i="1"/>
  <c r="J1364" i="1"/>
  <c r="X1363" i="1"/>
  <c r="W1363" i="1"/>
  <c r="T1363" i="1"/>
  <c r="P1363" i="1"/>
  <c r="O1363" i="1"/>
  <c r="N1363" i="1"/>
  <c r="M1363" i="1"/>
  <c r="L1363" i="1"/>
  <c r="K1363" i="1"/>
  <c r="J1363" i="1"/>
  <c r="W1362" i="1"/>
  <c r="X1362" i="1" s="1"/>
  <c r="T1362" i="1"/>
  <c r="P1362" i="1"/>
  <c r="O1362" i="1"/>
  <c r="N1362" i="1"/>
  <c r="M1362" i="1"/>
  <c r="L1362" i="1"/>
  <c r="K1362" i="1"/>
  <c r="J1362" i="1"/>
  <c r="X1361" i="1"/>
  <c r="W1361" i="1"/>
  <c r="T1361" i="1"/>
  <c r="P1361" i="1"/>
  <c r="O1361" i="1"/>
  <c r="N1361" i="1"/>
  <c r="M1361" i="1"/>
  <c r="L1361" i="1"/>
  <c r="K1361" i="1"/>
  <c r="J1361" i="1"/>
  <c r="W1360" i="1"/>
  <c r="X1360" i="1" s="1"/>
  <c r="T1360" i="1"/>
  <c r="P1360" i="1"/>
  <c r="O1360" i="1"/>
  <c r="N1360" i="1"/>
  <c r="M1360" i="1"/>
  <c r="L1360" i="1"/>
  <c r="K1360" i="1"/>
  <c r="J1360" i="1"/>
  <c r="X1359" i="1"/>
  <c r="W1359" i="1"/>
  <c r="T1359" i="1"/>
  <c r="P1359" i="1"/>
  <c r="O1359" i="1"/>
  <c r="N1359" i="1"/>
  <c r="M1359" i="1"/>
  <c r="L1359" i="1"/>
  <c r="K1359" i="1"/>
  <c r="J1359" i="1"/>
  <c r="W1358" i="1"/>
  <c r="X1358" i="1" s="1"/>
  <c r="T1358" i="1"/>
  <c r="P1358" i="1"/>
  <c r="O1358" i="1"/>
  <c r="N1358" i="1"/>
  <c r="M1358" i="1"/>
  <c r="L1358" i="1"/>
  <c r="K1358" i="1"/>
  <c r="J1358" i="1"/>
  <c r="X1357" i="1"/>
  <c r="W1357" i="1"/>
  <c r="T1357" i="1"/>
  <c r="P1357" i="1"/>
  <c r="O1357" i="1"/>
  <c r="N1357" i="1"/>
  <c r="M1357" i="1"/>
  <c r="L1357" i="1"/>
  <c r="K1357" i="1"/>
  <c r="J1357" i="1"/>
  <c r="W1356" i="1"/>
  <c r="X1356" i="1" s="1"/>
  <c r="T1356" i="1"/>
  <c r="P1356" i="1"/>
  <c r="O1356" i="1"/>
  <c r="N1356" i="1"/>
  <c r="M1356" i="1"/>
  <c r="L1356" i="1"/>
  <c r="K1356" i="1"/>
  <c r="J1356" i="1"/>
  <c r="X1355" i="1"/>
  <c r="W1355" i="1"/>
  <c r="T1355" i="1"/>
  <c r="P1355" i="1"/>
  <c r="O1355" i="1"/>
  <c r="N1355" i="1"/>
  <c r="M1355" i="1"/>
  <c r="L1355" i="1"/>
  <c r="K1355" i="1"/>
  <c r="J1355" i="1"/>
  <c r="W1354" i="1"/>
  <c r="X1354" i="1" s="1"/>
  <c r="T1354" i="1"/>
  <c r="P1354" i="1"/>
  <c r="O1354" i="1"/>
  <c r="N1354" i="1"/>
  <c r="M1354" i="1"/>
  <c r="L1354" i="1"/>
  <c r="K1354" i="1"/>
  <c r="J1354" i="1"/>
  <c r="X1353" i="1"/>
  <c r="W1353" i="1"/>
  <c r="T1353" i="1"/>
  <c r="P1353" i="1"/>
  <c r="O1353" i="1"/>
  <c r="N1353" i="1"/>
  <c r="M1353" i="1"/>
  <c r="L1353" i="1"/>
  <c r="K1353" i="1"/>
  <c r="J1353" i="1"/>
  <c r="W1352" i="1"/>
  <c r="X1352" i="1" s="1"/>
  <c r="T1352" i="1"/>
  <c r="P1352" i="1"/>
  <c r="O1352" i="1"/>
  <c r="N1352" i="1"/>
  <c r="M1352" i="1"/>
  <c r="L1352" i="1"/>
  <c r="K1352" i="1"/>
  <c r="J1352" i="1"/>
  <c r="X1351" i="1"/>
  <c r="W1351" i="1"/>
  <c r="T1351" i="1"/>
  <c r="P1351" i="1"/>
  <c r="O1351" i="1"/>
  <c r="N1351" i="1"/>
  <c r="M1351" i="1"/>
  <c r="L1351" i="1"/>
  <c r="K1351" i="1"/>
  <c r="J1351" i="1"/>
  <c r="W1350" i="1"/>
  <c r="X1350" i="1" s="1"/>
  <c r="T1350" i="1"/>
  <c r="P1350" i="1"/>
  <c r="O1350" i="1"/>
  <c r="N1350" i="1"/>
  <c r="M1350" i="1"/>
  <c r="L1350" i="1"/>
  <c r="K1350" i="1"/>
  <c r="J1350" i="1"/>
  <c r="X1349" i="1"/>
  <c r="W1349" i="1"/>
  <c r="T1349" i="1"/>
  <c r="P1349" i="1"/>
  <c r="O1349" i="1"/>
  <c r="N1349" i="1"/>
  <c r="M1349" i="1"/>
  <c r="L1349" i="1"/>
  <c r="K1349" i="1"/>
  <c r="J1349" i="1"/>
  <c r="W1348" i="1"/>
  <c r="X1348" i="1" s="1"/>
  <c r="T1348" i="1"/>
  <c r="P1348" i="1"/>
  <c r="O1348" i="1"/>
  <c r="N1348" i="1"/>
  <c r="M1348" i="1"/>
  <c r="L1348" i="1"/>
  <c r="K1348" i="1"/>
  <c r="J1348" i="1"/>
  <c r="X1347" i="1"/>
  <c r="W1347" i="1"/>
  <c r="T1347" i="1"/>
  <c r="P1347" i="1"/>
  <c r="O1347" i="1"/>
  <c r="N1347" i="1"/>
  <c r="M1347" i="1"/>
  <c r="L1347" i="1"/>
  <c r="K1347" i="1"/>
  <c r="J1347" i="1"/>
  <c r="W1346" i="1"/>
  <c r="X1346" i="1" s="1"/>
  <c r="T1346" i="1"/>
  <c r="P1346" i="1"/>
  <c r="O1346" i="1"/>
  <c r="N1346" i="1"/>
  <c r="M1346" i="1"/>
  <c r="L1346" i="1"/>
  <c r="K1346" i="1"/>
  <c r="J1346" i="1"/>
  <c r="X1345" i="1"/>
  <c r="W1345" i="1"/>
  <c r="T1345" i="1"/>
  <c r="P1345" i="1"/>
  <c r="O1345" i="1"/>
  <c r="N1345" i="1"/>
  <c r="M1345" i="1"/>
  <c r="L1345" i="1"/>
  <c r="K1345" i="1"/>
  <c r="J1345" i="1"/>
  <c r="W1344" i="1"/>
  <c r="X1344" i="1" s="1"/>
  <c r="T1344" i="1"/>
  <c r="P1344" i="1"/>
  <c r="O1344" i="1"/>
  <c r="N1344" i="1"/>
  <c r="M1344" i="1"/>
  <c r="L1344" i="1"/>
  <c r="K1344" i="1"/>
  <c r="J1344" i="1"/>
  <c r="X1343" i="1"/>
  <c r="W1343" i="1"/>
  <c r="T1343" i="1"/>
  <c r="P1343" i="1"/>
  <c r="O1343" i="1"/>
  <c r="N1343" i="1"/>
  <c r="M1343" i="1"/>
  <c r="L1343" i="1"/>
  <c r="K1343" i="1"/>
  <c r="J1343" i="1"/>
  <c r="W1342" i="1"/>
  <c r="X1342" i="1" s="1"/>
  <c r="T1342" i="1"/>
  <c r="P1342" i="1"/>
  <c r="O1342" i="1"/>
  <c r="N1342" i="1"/>
  <c r="M1342" i="1"/>
  <c r="L1342" i="1"/>
  <c r="K1342" i="1"/>
  <c r="J1342" i="1"/>
  <c r="X1341" i="1"/>
  <c r="W1341" i="1"/>
  <c r="T1341" i="1"/>
  <c r="P1341" i="1"/>
  <c r="O1341" i="1"/>
  <c r="N1341" i="1"/>
  <c r="M1341" i="1"/>
  <c r="L1341" i="1"/>
  <c r="K1341" i="1"/>
  <c r="J1341" i="1"/>
  <c r="W1340" i="1"/>
  <c r="X1340" i="1" s="1"/>
  <c r="T1340" i="1"/>
  <c r="P1340" i="1"/>
  <c r="O1340" i="1"/>
  <c r="N1340" i="1"/>
  <c r="M1340" i="1"/>
  <c r="L1340" i="1"/>
  <c r="K1340" i="1"/>
  <c r="J1340" i="1"/>
  <c r="X1339" i="1"/>
  <c r="W1339" i="1"/>
  <c r="T1339" i="1"/>
  <c r="P1339" i="1"/>
  <c r="O1339" i="1"/>
  <c r="N1339" i="1"/>
  <c r="M1339" i="1"/>
  <c r="L1339" i="1"/>
  <c r="K1339" i="1"/>
  <c r="J1339" i="1"/>
  <c r="W1338" i="1"/>
  <c r="X1338" i="1" s="1"/>
  <c r="T1338" i="1"/>
  <c r="P1338" i="1"/>
  <c r="O1338" i="1"/>
  <c r="N1338" i="1"/>
  <c r="M1338" i="1"/>
  <c r="L1338" i="1"/>
  <c r="K1338" i="1"/>
  <c r="J1338" i="1"/>
  <c r="X1337" i="1"/>
  <c r="W1337" i="1"/>
  <c r="T1337" i="1"/>
  <c r="P1337" i="1"/>
  <c r="O1337" i="1"/>
  <c r="N1337" i="1"/>
  <c r="M1337" i="1"/>
  <c r="L1337" i="1"/>
  <c r="K1337" i="1"/>
  <c r="J1337" i="1"/>
  <c r="W1336" i="1"/>
  <c r="X1336" i="1" s="1"/>
  <c r="T1336" i="1"/>
  <c r="P1336" i="1"/>
  <c r="O1336" i="1"/>
  <c r="N1336" i="1"/>
  <c r="M1336" i="1"/>
  <c r="L1336" i="1"/>
  <c r="K1336" i="1"/>
  <c r="J1336" i="1"/>
  <c r="X1335" i="1"/>
  <c r="W1335" i="1"/>
  <c r="T1335" i="1"/>
  <c r="P1335" i="1"/>
  <c r="O1335" i="1"/>
  <c r="N1335" i="1"/>
  <c r="M1335" i="1"/>
  <c r="L1335" i="1"/>
  <c r="K1335" i="1"/>
  <c r="J1335" i="1"/>
  <c r="W1334" i="1"/>
  <c r="X1334" i="1" s="1"/>
  <c r="T1334" i="1"/>
  <c r="P1334" i="1"/>
  <c r="O1334" i="1"/>
  <c r="N1334" i="1"/>
  <c r="M1334" i="1"/>
  <c r="L1334" i="1"/>
  <c r="K1334" i="1"/>
  <c r="J1334" i="1"/>
  <c r="X1333" i="1"/>
  <c r="W1333" i="1"/>
  <c r="T1333" i="1"/>
  <c r="P1333" i="1"/>
  <c r="O1333" i="1"/>
  <c r="N1333" i="1"/>
  <c r="M1333" i="1"/>
  <c r="L1333" i="1"/>
  <c r="K1333" i="1"/>
  <c r="J1333" i="1"/>
  <c r="W1332" i="1"/>
  <c r="X1332" i="1" s="1"/>
  <c r="T1332" i="1"/>
  <c r="P1332" i="1"/>
  <c r="O1332" i="1"/>
  <c r="N1332" i="1"/>
  <c r="M1332" i="1"/>
  <c r="L1332" i="1"/>
  <c r="K1332" i="1"/>
  <c r="J1332" i="1"/>
  <c r="X1331" i="1"/>
  <c r="W1331" i="1"/>
  <c r="T1331" i="1"/>
  <c r="P1331" i="1"/>
  <c r="O1331" i="1"/>
  <c r="N1331" i="1"/>
  <c r="M1331" i="1"/>
  <c r="L1331" i="1"/>
  <c r="K1331" i="1"/>
  <c r="J1331" i="1"/>
  <c r="W1330" i="1"/>
  <c r="X1330" i="1" s="1"/>
  <c r="T1330" i="1"/>
  <c r="P1330" i="1"/>
  <c r="O1330" i="1"/>
  <c r="N1330" i="1"/>
  <c r="M1330" i="1"/>
  <c r="L1330" i="1"/>
  <c r="K1330" i="1"/>
  <c r="J1330" i="1"/>
  <c r="X1329" i="1"/>
  <c r="W1329" i="1"/>
  <c r="T1329" i="1"/>
  <c r="P1329" i="1"/>
  <c r="O1329" i="1"/>
  <c r="N1329" i="1"/>
  <c r="M1329" i="1"/>
  <c r="L1329" i="1"/>
  <c r="K1329" i="1"/>
  <c r="J1329" i="1"/>
  <c r="W1328" i="1"/>
  <c r="X1328" i="1" s="1"/>
  <c r="T1328" i="1"/>
  <c r="P1328" i="1"/>
  <c r="O1328" i="1"/>
  <c r="N1328" i="1"/>
  <c r="M1328" i="1"/>
  <c r="L1328" i="1"/>
  <c r="K1328" i="1"/>
  <c r="J1328" i="1"/>
  <c r="X1327" i="1"/>
  <c r="W1327" i="1"/>
  <c r="T1327" i="1"/>
  <c r="P1327" i="1"/>
  <c r="O1327" i="1"/>
  <c r="N1327" i="1"/>
  <c r="M1327" i="1"/>
  <c r="L1327" i="1"/>
  <c r="K1327" i="1"/>
  <c r="J1327" i="1"/>
  <c r="W1326" i="1"/>
  <c r="X1326" i="1" s="1"/>
  <c r="T1326" i="1"/>
  <c r="P1326" i="1"/>
  <c r="O1326" i="1"/>
  <c r="N1326" i="1"/>
  <c r="M1326" i="1"/>
  <c r="L1326" i="1"/>
  <c r="K1326" i="1"/>
  <c r="J1326" i="1"/>
  <c r="X1325" i="1"/>
  <c r="W1325" i="1"/>
  <c r="T1325" i="1"/>
  <c r="P1325" i="1"/>
  <c r="O1325" i="1"/>
  <c r="N1325" i="1"/>
  <c r="M1325" i="1"/>
  <c r="L1325" i="1"/>
  <c r="K1325" i="1"/>
  <c r="J1325" i="1"/>
  <c r="W1324" i="1"/>
  <c r="X1324" i="1" s="1"/>
  <c r="T1324" i="1"/>
  <c r="P1324" i="1"/>
  <c r="O1324" i="1"/>
  <c r="N1324" i="1"/>
  <c r="M1324" i="1"/>
  <c r="L1324" i="1"/>
  <c r="K1324" i="1"/>
  <c r="J1324" i="1"/>
  <c r="X1323" i="1"/>
  <c r="W1323" i="1"/>
  <c r="T1323" i="1"/>
  <c r="P1323" i="1"/>
  <c r="O1323" i="1"/>
  <c r="N1323" i="1"/>
  <c r="M1323" i="1"/>
  <c r="L1323" i="1"/>
  <c r="K1323" i="1"/>
  <c r="J1323" i="1"/>
  <c r="W1322" i="1"/>
  <c r="X1322" i="1" s="1"/>
  <c r="T1322" i="1"/>
  <c r="P1322" i="1"/>
  <c r="O1322" i="1"/>
  <c r="N1322" i="1"/>
  <c r="M1322" i="1"/>
  <c r="L1322" i="1"/>
  <c r="K1322" i="1"/>
  <c r="J1322" i="1"/>
  <c r="X1321" i="1"/>
  <c r="W1321" i="1"/>
  <c r="T1321" i="1"/>
  <c r="P1321" i="1"/>
  <c r="O1321" i="1"/>
  <c r="N1321" i="1"/>
  <c r="M1321" i="1"/>
  <c r="L1321" i="1"/>
  <c r="K1321" i="1"/>
  <c r="J1321" i="1"/>
  <c r="W1320" i="1"/>
  <c r="X1320" i="1" s="1"/>
  <c r="T1320" i="1"/>
  <c r="P1320" i="1"/>
  <c r="O1320" i="1"/>
  <c r="N1320" i="1"/>
  <c r="M1320" i="1"/>
  <c r="L1320" i="1"/>
  <c r="K1320" i="1"/>
  <c r="J1320" i="1"/>
  <c r="X1319" i="1"/>
  <c r="W1319" i="1"/>
  <c r="T1319" i="1"/>
  <c r="P1319" i="1"/>
  <c r="O1319" i="1"/>
  <c r="N1319" i="1"/>
  <c r="M1319" i="1"/>
  <c r="L1319" i="1"/>
  <c r="K1319" i="1"/>
  <c r="J1319" i="1"/>
  <c r="W1318" i="1"/>
  <c r="X1318" i="1" s="1"/>
  <c r="T1318" i="1"/>
  <c r="P1318" i="1"/>
  <c r="O1318" i="1"/>
  <c r="N1318" i="1"/>
  <c r="M1318" i="1"/>
  <c r="L1318" i="1"/>
  <c r="K1318" i="1"/>
  <c r="J1318" i="1"/>
  <c r="X1317" i="1"/>
  <c r="W1317" i="1"/>
  <c r="T1317" i="1"/>
  <c r="P1317" i="1"/>
  <c r="O1317" i="1"/>
  <c r="N1317" i="1"/>
  <c r="M1317" i="1"/>
  <c r="L1317" i="1"/>
  <c r="K1317" i="1"/>
  <c r="J1317" i="1"/>
  <c r="W1316" i="1"/>
  <c r="X1316" i="1" s="1"/>
  <c r="T1316" i="1"/>
  <c r="P1316" i="1"/>
  <c r="O1316" i="1"/>
  <c r="N1316" i="1"/>
  <c r="M1316" i="1"/>
  <c r="L1316" i="1"/>
  <c r="K1316" i="1"/>
  <c r="J1316" i="1"/>
  <c r="X1315" i="1"/>
  <c r="W1315" i="1"/>
  <c r="T1315" i="1"/>
  <c r="P1315" i="1"/>
  <c r="O1315" i="1"/>
  <c r="N1315" i="1"/>
  <c r="M1315" i="1"/>
  <c r="L1315" i="1"/>
  <c r="K1315" i="1"/>
  <c r="J1315" i="1"/>
  <c r="W1314" i="1"/>
  <c r="X1314" i="1" s="1"/>
  <c r="T1314" i="1"/>
  <c r="P1314" i="1"/>
  <c r="O1314" i="1"/>
  <c r="N1314" i="1"/>
  <c r="M1314" i="1"/>
  <c r="L1314" i="1"/>
  <c r="K1314" i="1"/>
  <c r="J1314" i="1"/>
  <c r="X1313" i="1"/>
  <c r="W1313" i="1"/>
  <c r="T1313" i="1"/>
  <c r="P1313" i="1"/>
  <c r="O1313" i="1"/>
  <c r="N1313" i="1"/>
  <c r="M1313" i="1"/>
  <c r="L1313" i="1"/>
  <c r="K1313" i="1"/>
  <c r="J1313" i="1"/>
  <c r="W1312" i="1"/>
  <c r="X1312" i="1" s="1"/>
  <c r="T1312" i="1"/>
  <c r="P1312" i="1"/>
  <c r="O1312" i="1"/>
  <c r="N1312" i="1"/>
  <c r="M1312" i="1"/>
  <c r="L1312" i="1"/>
  <c r="K1312" i="1"/>
  <c r="J1312" i="1"/>
  <c r="X1311" i="1"/>
  <c r="W1311" i="1"/>
  <c r="T1311" i="1"/>
  <c r="P1311" i="1"/>
  <c r="O1311" i="1"/>
  <c r="N1311" i="1"/>
  <c r="M1311" i="1"/>
  <c r="L1311" i="1"/>
  <c r="K1311" i="1"/>
  <c r="J1311" i="1"/>
  <c r="W1310" i="1"/>
  <c r="X1310" i="1" s="1"/>
  <c r="T1310" i="1"/>
  <c r="P1310" i="1"/>
  <c r="O1310" i="1"/>
  <c r="N1310" i="1"/>
  <c r="M1310" i="1"/>
  <c r="L1310" i="1"/>
  <c r="K1310" i="1"/>
  <c r="J1310" i="1"/>
  <c r="X1309" i="1"/>
  <c r="W1309" i="1"/>
  <c r="T1309" i="1"/>
  <c r="P1309" i="1"/>
  <c r="O1309" i="1"/>
  <c r="N1309" i="1"/>
  <c r="M1309" i="1"/>
  <c r="L1309" i="1"/>
  <c r="K1309" i="1"/>
  <c r="J1309" i="1"/>
  <c r="W1308" i="1"/>
  <c r="X1308" i="1" s="1"/>
  <c r="T1308" i="1"/>
  <c r="P1308" i="1"/>
  <c r="O1308" i="1"/>
  <c r="N1308" i="1"/>
  <c r="M1308" i="1"/>
  <c r="L1308" i="1"/>
  <c r="K1308" i="1"/>
  <c r="J1308" i="1"/>
  <c r="X1307" i="1"/>
  <c r="W1307" i="1"/>
  <c r="T1307" i="1"/>
  <c r="P1307" i="1"/>
  <c r="O1307" i="1"/>
  <c r="N1307" i="1"/>
  <c r="M1307" i="1"/>
  <c r="L1307" i="1"/>
  <c r="K1307" i="1"/>
  <c r="J1307" i="1"/>
  <c r="W1306" i="1"/>
  <c r="X1306" i="1" s="1"/>
  <c r="T1306" i="1"/>
  <c r="P1306" i="1"/>
  <c r="O1306" i="1"/>
  <c r="N1306" i="1"/>
  <c r="M1306" i="1"/>
  <c r="L1306" i="1"/>
  <c r="K1306" i="1"/>
  <c r="J1306" i="1"/>
  <c r="X1305" i="1"/>
  <c r="W1305" i="1"/>
  <c r="T1305" i="1"/>
  <c r="P1305" i="1"/>
  <c r="O1305" i="1"/>
  <c r="N1305" i="1"/>
  <c r="M1305" i="1"/>
  <c r="L1305" i="1"/>
  <c r="K1305" i="1"/>
  <c r="J1305" i="1"/>
  <c r="W1304" i="1"/>
  <c r="X1304" i="1" s="1"/>
  <c r="T1304" i="1"/>
  <c r="P1304" i="1"/>
  <c r="O1304" i="1"/>
  <c r="N1304" i="1"/>
  <c r="M1304" i="1"/>
  <c r="L1304" i="1"/>
  <c r="K1304" i="1"/>
  <c r="J1304" i="1"/>
  <c r="X1303" i="1"/>
  <c r="W1303" i="1"/>
  <c r="T1303" i="1"/>
  <c r="P1303" i="1"/>
  <c r="O1303" i="1"/>
  <c r="N1303" i="1"/>
  <c r="M1303" i="1"/>
  <c r="L1303" i="1"/>
  <c r="K1303" i="1"/>
  <c r="J1303" i="1"/>
  <c r="W1302" i="1"/>
  <c r="X1302" i="1" s="1"/>
  <c r="T1302" i="1"/>
  <c r="P1302" i="1"/>
  <c r="O1302" i="1"/>
  <c r="N1302" i="1"/>
  <c r="M1302" i="1"/>
  <c r="L1302" i="1"/>
  <c r="K1302" i="1"/>
  <c r="J1302" i="1"/>
  <c r="X1301" i="1"/>
  <c r="W1301" i="1"/>
  <c r="T1301" i="1"/>
  <c r="P1301" i="1"/>
  <c r="O1301" i="1"/>
  <c r="N1301" i="1"/>
  <c r="M1301" i="1"/>
  <c r="L1301" i="1"/>
  <c r="K1301" i="1"/>
  <c r="J1301" i="1"/>
  <c r="W1300" i="1"/>
  <c r="X1300" i="1" s="1"/>
  <c r="T1300" i="1"/>
  <c r="P1300" i="1"/>
  <c r="O1300" i="1"/>
  <c r="N1300" i="1"/>
  <c r="M1300" i="1"/>
  <c r="L1300" i="1"/>
  <c r="K1300" i="1"/>
  <c r="J1300" i="1"/>
  <c r="X1299" i="1"/>
  <c r="W1299" i="1"/>
  <c r="T1299" i="1"/>
  <c r="P1299" i="1"/>
  <c r="O1299" i="1"/>
  <c r="N1299" i="1"/>
  <c r="M1299" i="1"/>
  <c r="L1299" i="1"/>
  <c r="K1299" i="1"/>
  <c r="J1299" i="1"/>
  <c r="W1298" i="1"/>
  <c r="X1298" i="1" s="1"/>
  <c r="T1298" i="1"/>
  <c r="P1298" i="1"/>
  <c r="O1298" i="1"/>
  <c r="N1298" i="1"/>
  <c r="M1298" i="1"/>
  <c r="L1298" i="1"/>
  <c r="K1298" i="1"/>
  <c r="J1298" i="1"/>
  <c r="X1297" i="1"/>
  <c r="W1297" i="1"/>
  <c r="T1297" i="1"/>
  <c r="P1297" i="1"/>
  <c r="O1297" i="1"/>
  <c r="N1297" i="1"/>
  <c r="M1297" i="1"/>
  <c r="L1297" i="1"/>
  <c r="K1297" i="1"/>
  <c r="J1297" i="1"/>
  <c r="W1296" i="1"/>
  <c r="X1296" i="1" s="1"/>
  <c r="T1296" i="1"/>
  <c r="P1296" i="1"/>
  <c r="O1296" i="1"/>
  <c r="N1296" i="1"/>
  <c r="M1296" i="1"/>
  <c r="L1296" i="1"/>
  <c r="K1296" i="1"/>
  <c r="J1296" i="1"/>
  <c r="X1295" i="1"/>
  <c r="W1295" i="1"/>
  <c r="T1295" i="1"/>
  <c r="P1295" i="1"/>
  <c r="O1295" i="1"/>
  <c r="N1295" i="1"/>
  <c r="M1295" i="1"/>
  <c r="L1295" i="1"/>
  <c r="K1295" i="1"/>
  <c r="J1295" i="1"/>
  <c r="W1294" i="1"/>
  <c r="X1294" i="1" s="1"/>
  <c r="T1294" i="1"/>
  <c r="P1294" i="1"/>
  <c r="O1294" i="1"/>
  <c r="N1294" i="1"/>
  <c r="M1294" i="1"/>
  <c r="L1294" i="1"/>
  <c r="K1294" i="1"/>
  <c r="J1294" i="1"/>
  <c r="X1293" i="1"/>
  <c r="W1293" i="1"/>
  <c r="T1293" i="1"/>
  <c r="P1293" i="1"/>
  <c r="O1293" i="1"/>
  <c r="N1293" i="1"/>
  <c r="M1293" i="1"/>
  <c r="L1293" i="1"/>
  <c r="K1293" i="1"/>
  <c r="J1293" i="1"/>
  <c r="W1292" i="1"/>
  <c r="X1292" i="1" s="1"/>
  <c r="T1292" i="1"/>
  <c r="P1292" i="1"/>
  <c r="O1292" i="1"/>
  <c r="N1292" i="1"/>
  <c r="M1292" i="1"/>
  <c r="L1292" i="1"/>
  <c r="K1292" i="1"/>
  <c r="J1292" i="1"/>
  <c r="X1291" i="1"/>
  <c r="W1291" i="1"/>
  <c r="T1291" i="1"/>
  <c r="P1291" i="1"/>
  <c r="O1291" i="1"/>
  <c r="N1291" i="1"/>
  <c r="M1291" i="1"/>
  <c r="L1291" i="1"/>
  <c r="K1291" i="1"/>
  <c r="J1291" i="1"/>
  <c r="W1290" i="1"/>
  <c r="X1290" i="1" s="1"/>
  <c r="T1290" i="1"/>
  <c r="P1290" i="1"/>
  <c r="O1290" i="1"/>
  <c r="N1290" i="1"/>
  <c r="M1290" i="1"/>
  <c r="L1290" i="1"/>
  <c r="K1290" i="1"/>
  <c r="J1290" i="1"/>
  <c r="X1289" i="1"/>
  <c r="W1289" i="1"/>
  <c r="T1289" i="1"/>
  <c r="P1289" i="1"/>
  <c r="O1289" i="1"/>
  <c r="N1289" i="1"/>
  <c r="M1289" i="1"/>
  <c r="L1289" i="1"/>
  <c r="K1289" i="1"/>
  <c r="J1289" i="1"/>
  <c r="W1288" i="1"/>
  <c r="X1288" i="1" s="1"/>
  <c r="T1288" i="1"/>
  <c r="P1288" i="1"/>
  <c r="O1288" i="1"/>
  <c r="N1288" i="1"/>
  <c r="M1288" i="1"/>
  <c r="L1288" i="1"/>
  <c r="K1288" i="1"/>
  <c r="J1288" i="1"/>
  <c r="X1287" i="1"/>
  <c r="W1287" i="1"/>
  <c r="T1287" i="1"/>
  <c r="P1287" i="1"/>
  <c r="O1287" i="1"/>
  <c r="N1287" i="1"/>
  <c r="M1287" i="1"/>
  <c r="L1287" i="1"/>
  <c r="K1287" i="1"/>
  <c r="J1287" i="1"/>
  <c r="W1286" i="1"/>
  <c r="X1286" i="1" s="1"/>
  <c r="T1286" i="1"/>
  <c r="P1286" i="1"/>
  <c r="O1286" i="1"/>
  <c r="N1286" i="1"/>
  <c r="M1286" i="1"/>
  <c r="L1286" i="1"/>
  <c r="K1286" i="1"/>
  <c r="J1286" i="1"/>
  <c r="X1285" i="1"/>
  <c r="W1285" i="1"/>
  <c r="T1285" i="1"/>
  <c r="P1285" i="1"/>
  <c r="O1285" i="1"/>
  <c r="N1285" i="1"/>
  <c r="M1285" i="1"/>
  <c r="L1285" i="1"/>
  <c r="K1285" i="1"/>
  <c r="J1285" i="1"/>
  <c r="W1284" i="1"/>
  <c r="X1284" i="1" s="1"/>
  <c r="T1284" i="1"/>
  <c r="P1284" i="1"/>
  <c r="O1284" i="1"/>
  <c r="N1284" i="1"/>
  <c r="M1284" i="1"/>
  <c r="L1284" i="1"/>
  <c r="K1284" i="1"/>
  <c r="J1284" i="1"/>
  <c r="X1283" i="1"/>
  <c r="W1283" i="1"/>
  <c r="T1283" i="1"/>
  <c r="P1283" i="1"/>
  <c r="O1283" i="1"/>
  <c r="N1283" i="1"/>
  <c r="M1283" i="1"/>
  <c r="L1283" i="1"/>
  <c r="K1283" i="1"/>
  <c r="J1283" i="1"/>
  <c r="W1282" i="1"/>
  <c r="X1282" i="1" s="1"/>
  <c r="T1282" i="1"/>
  <c r="P1282" i="1"/>
  <c r="O1282" i="1"/>
  <c r="N1282" i="1"/>
  <c r="M1282" i="1"/>
  <c r="L1282" i="1"/>
  <c r="K1282" i="1"/>
  <c r="J1282" i="1"/>
  <c r="X1281" i="1"/>
  <c r="W1281" i="1"/>
  <c r="T1281" i="1"/>
  <c r="P1281" i="1"/>
  <c r="O1281" i="1"/>
  <c r="N1281" i="1"/>
  <c r="M1281" i="1"/>
  <c r="L1281" i="1"/>
  <c r="K1281" i="1"/>
  <c r="J1281" i="1"/>
  <c r="W1280" i="1"/>
  <c r="X1280" i="1" s="1"/>
  <c r="T1280" i="1"/>
  <c r="P1280" i="1"/>
  <c r="O1280" i="1"/>
  <c r="N1280" i="1"/>
  <c r="M1280" i="1"/>
  <c r="L1280" i="1"/>
  <c r="K1280" i="1"/>
  <c r="J1280" i="1"/>
  <c r="X1279" i="1"/>
  <c r="W1279" i="1"/>
  <c r="T1279" i="1"/>
  <c r="P1279" i="1"/>
  <c r="O1279" i="1"/>
  <c r="N1279" i="1"/>
  <c r="M1279" i="1"/>
  <c r="L1279" i="1"/>
  <c r="K1279" i="1"/>
  <c r="J1279" i="1"/>
  <c r="W1278" i="1"/>
  <c r="X1278" i="1" s="1"/>
  <c r="T1278" i="1"/>
  <c r="P1278" i="1"/>
  <c r="O1278" i="1"/>
  <c r="N1278" i="1"/>
  <c r="M1278" i="1"/>
  <c r="L1278" i="1"/>
  <c r="K1278" i="1"/>
  <c r="J1278" i="1"/>
  <c r="X1277" i="1"/>
  <c r="W1277" i="1"/>
  <c r="T1277" i="1"/>
  <c r="P1277" i="1"/>
  <c r="O1277" i="1"/>
  <c r="N1277" i="1"/>
  <c r="M1277" i="1"/>
  <c r="L1277" i="1"/>
  <c r="K1277" i="1"/>
  <c r="J1277" i="1"/>
  <c r="W1276" i="1"/>
  <c r="X1276" i="1" s="1"/>
  <c r="T1276" i="1"/>
  <c r="P1276" i="1"/>
  <c r="O1276" i="1"/>
  <c r="N1276" i="1"/>
  <c r="M1276" i="1"/>
  <c r="L1276" i="1"/>
  <c r="K1276" i="1"/>
  <c r="J1276" i="1"/>
  <c r="X1275" i="1"/>
  <c r="W1275" i="1"/>
  <c r="T1275" i="1"/>
  <c r="P1275" i="1"/>
  <c r="O1275" i="1"/>
  <c r="N1275" i="1"/>
  <c r="M1275" i="1"/>
  <c r="L1275" i="1"/>
  <c r="K1275" i="1"/>
  <c r="J1275" i="1"/>
  <c r="W1274" i="1"/>
  <c r="X1274" i="1" s="1"/>
  <c r="T1274" i="1"/>
  <c r="P1274" i="1"/>
  <c r="O1274" i="1"/>
  <c r="N1274" i="1"/>
  <c r="M1274" i="1"/>
  <c r="L1274" i="1"/>
  <c r="K1274" i="1"/>
  <c r="J1274" i="1"/>
  <c r="X1273" i="1"/>
  <c r="W1273" i="1"/>
  <c r="T1273" i="1"/>
  <c r="P1273" i="1"/>
  <c r="O1273" i="1"/>
  <c r="N1273" i="1"/>
  <c r="M1273" i="1"/>
  <c r="L1273" i="1"/>
  <c r="K1273" i="1"/>
  <c r="J1273" i="1"/>
  <c r="W1272" i="1"/>
  <c r="X1272" i="1" s="1"/>
  <c r="T1272" i="1"/>
  <c r="P1272" i="1"/>
  <c r="O1272" i="1"/>
  <c r="N1272" i="1"/>
  <c r="M1272" i="1"/>
  <c r="L1272" i="1"/>
  <c r="K1272" i="1"/>
  <c r="J1272" i="1"/>
  <c r="X1271" i="1"/>
  <c r="W1271" i="1"/>
  <c r="T1271" i="1"/>
  <c r="P1271" i="1"/>
  <c r="O1271" i="1"/>
  <c r="N1271" i="1"/>
  <c r="M1271" i="1"/>
  <c r="L1271" i="1"/>
  <c r="K1271" i="1"/>
  <c r="J1271" i="1"/>
  <c r="W1270" i="1"/>
  <c r="X1270" i="1" s="1"/>
  <c r="T1270" i="1"/>
  <c r="P1270" i="1"/>
  <c r="O1270" i="1"/>
  <c r="N1270" i="1"/>
  <c r="M1270" i="1"/>
  <c r="L1270" i="1"/>
  <c r="K1270" i="1"/>
  <c r="J1270" i="1"/>
  <c r="X1269" i="1"/>
  <c r="W1269" i="1"/>
  <c r="T1269" i="1"/>
  <c r="P1269" i="1"/>
  <c r="O1269" i="1"/>
  <c r="N1269" i="1"/>
  <c r="M1269" i="1"/>
  <c r="L1269" i="1"/>
  <c r="K1269" i="1"/>
  <c r="J1269" i="1"/>
  <c r="W1268" i="1"/>
  <c r="X1268" i="1" s="1"/>
  <c r="T1268" i="1"/>
  <c r="P1268" i="1"/>
  <c r="O1268" i="1"/>
  <c r="N1268" i="1"/>
  <c r="M1268" i="1"/>
  <c r="L1268" i="1"/>
  <c r="K1268" i="1"/>
  <c r="J1268" i="1"/>
  <c r="X1267" i="1"/>
  <c r="W1267" i="1"/>
  <c r="T1267" i="1"/>
  <c r="P1267" i="1"/>
  <c r="O1267" i="1"/>
  <c r="N1267" i="1"/>
  <c r="M1267" i="1"/>
  <c r="L1267" i="1"/>
  <c r="K1267" i="1"/>
  <c r="J1267" i="1"/>
  <c r="W1266" i="1"/>
  <c r="X1266" i="1" s="1"/>
  <c r="T1266" i="1"/>
  <c r="P1266" i="1"/>
  <c r="O1266" i="1"/>
  <c r="N1266" i="1"/>
  <c r="M1266" i="1"/>
  <c r="L1266" i="1"/>
  <c r="K1266" i="1"/>
  <c r="J1266" i="1"/>
  <c r="X1265" i="1"/>
  <c r="W1265" i="1"/>
  <c r="T1265" i="1"/>
  <c r="P1265" i="1"/>
  <c r="O1265" i="1"/>
  <c r="N1265" i="1"/>
  <c r="M1265" i="1"/>
  <c r="L1265" i="1"/>
  <c r="K1265" i="1"/>
  <c r="J1265" i="1"/>
  <c r="W1264" i="1"/>
  <c r="X1264" i="1" s="1"/>
  <c r="T1264" i="1"/>
  <c r="P1264" i="1"/>
  <c r="O1264" i="1"/>
  <c r="N1264" i="1"/>
  <c r="M1264" i="1"/>
  <c r="L1264" i="1"/>
  <c r="K1264" i="1"/>
  <c r="J1264" i="1"/>
  <c r="X1263" i="1"/>
  <c r="W1263" i="1"/>
  <c r="T1263" i="1"/>
  <c r="P1263" i="1"/>
  <c r="O1263" i="1"/>
  <c r="N1263" i="1"/>
  <c r="M1263" i="1"/>
  <c r="L1263" i="1"/>
  <c r="K1263" i="1"/>
  <c r="J1263" i="1"/>
  <c r="W1262" i="1"/>
  <c r="X1262" i="1" s="1"/>
  <c r="T1262" i="1"/>
  <c r="P1262" i="1"/>
  <c r="O1262" i="1"/>
  <c r="N1262" i="1"/>
  <c r="M1262" i="1"/>
  <c r="L1262" i="1"/>
  <c r="K1262" i="1"/>
  <c r="J1262" i="1"/>
  <c r="X1261" i="1"/>
  <c r="W1261" i="1"/>
  <c r="T1261" i="1"/>
  <c r="P1261" i="1"/>
  <c r="O1261" i="1"/>
  <c r="N1261" i="1"/>
  <c r="M1261" i="1"/>
  <c r="L1261" i="1"/>
  <c r="K1261" i="1"/>
  <c r="J1261" i="1"/>
  <c r="W1260" i="1"/>
  <c r="X1260" i="1" s="1"/>
  <c r="T1260" i="1"/>
  <c r="P1260" i="1"/>
  <c r="O1260" i="1"/>
  <c r="N1260" i="1"/>
  <c r="M1260" i="1"/>
  <c r="L1260" i="1"/>
  <c r="K1260" i="1"/>
  <c r="J1260" i="1"/>
  <c r="X1259" i="1"/>
  <c r="W1259" i="1"/>
  <c r="T1259" i="1"/>
  <c r="P1259" i="1"/>
  <c r="O1259" i="1"/>
  <c r="N1259" i="1"/>
  <c r="M1259" i="1"/>
  <c r="L1259" i="1"/>
  <c r="K1259" i="1"/>
  <c r="J1259" i="1"/>
  <c r="W1258" i="1"/>
  <c r="X1258" i="1" s="1"/>
  <c r="T1258" i="1"/>
  <c r="P1258" i="1"/>
  <c r="O1258" i="1"/>
  <c r="N1258" i="1"/>
  <c r="M1258" i="1"/>
  <c r="L1258" i="1"/>
  <c r="K1258" i="1"/>
  <c r="J1258" i="1"/>
  <c r="X1257" i="1"/>
  <c r="W1257" i="1"/>
  <c r="T1257" i="1"/>
  <c r="P1257" i="1"/>
  <c r="O1257" i="1"/>
  <c r="N1257" i="1"/>
  <c r="M1257" i="1"/>
  <c r="L1257" i="1"/>
  <c r="K1257" i="1"/>
  <c r="J1257" i="1"/>
  <c r="W1256" i="1"/>
  <c r="X1256" i="1" s="1"/>
  <c r="T1256" i="1"/>
  <c r="P1256" i="1"/>
  <c r="O1256" i="1"/>
  <c r="N1256" i="1"/>
  <c r="M1256" i="1"/>
  <c r="L1256" i="1"/>
  <c r="K1256" i="1"/>
  <c r="J1256" i="1"/>
  <c r="X1255" i="1"/>
  <c r="W1255" i="1"/>
  <c r="T1255" i="1"/>
  <c r="P1255" i="1"/>
  <c r="O1255" i="1"/>
  <c r="N1255" i="1"/>
  <c r="M1255" i="1"/>
  <c r="L1255" i="1"/>
  <c r="K1255" i="1"/>
  <c r="J1255" i="1"/>
  <c r="W1254" i="1"/>
  <c r="X1254" i="1" s="1"/>
  <c r="T1254" i="1"/>
  <c r="P1254" i="1"/>
  <c r="O1254" i="1"/>
  <c r="N1254" i="1"/>
  <c r="M1254" i="1"/>
  <c r="L1254" i="1"/>
  <c r="K1254" i="1"/>
  <c r="J1254" i="1"/>
  <c r="X1253" i="1"/>
  <c r="W1253" i="1"/>
  <c r="T1253" i="1"/>
  <c r="P1253" i="1"/>
  <c r="O1253" i="1"/>
  <c r="N1253" i="1"/>
  <c r="M1253" i="1"/>
  <c r="L1253" i="1"/>
  <c r="K1253" i="1"/>
  <c r="J1253" i="1"/>
  <c r="W1252" i="1"/>
  <c r="X1252" i="1" s="1"/>
  <c r="T1252" i="1"/>
  <c r="P1252" i="1"/>
  <c r="O1252" i="1"/>
  <c r="N1252" i="1"/>
  <c r="M1252" i="1"/>
  <c r="L1252" i="1"/>
  <c r="K1252" i="1"/>
  <c r="J1252" i="1"/>
  <c r="X1251" i="1"/>
  <c r="W1251" i="1"/>
  <c r="T1251" i="1"/>
  <c r="P1251" i="1"/>
  <c r="O1251" i="1"/>
  <c r="N1251" i="1"/>
  <c r="M1251" i="1"/>
  <c r="L1251" i="1"/>
  <c r="K1251" i="1"/>
  <c r="J1251" i="1"/>
  <c r="W1250" i="1"/>
  <c r="X1250" i="1" s="1"/>
  <c r="T1250" i="1"/>
  <c r="P1250" i="1"/>
  <c r="O1250" i="1"/>
  <c r="N1250" i="1"/>
  <c r="M1250" i="1"/>
  <c r="L1250" i="1"/>
  <c r="K1250" i="1"/>
  <c r="J1250" i="1"/>
  <c r="X1249" i="1"/>
  <c r="W1249" i="1"/>
  <c r="T1249" i="1"/>
  <c r="P1249" i="1"/>
  <c r="O1249" i="1"/>
  <c r="N1249" i="1"/>
  <c r="M1249" i="1"/>
  <c r="L1249" i="1"/>
  <c r="K1249" i="1"/>
  <c r="J1249" i="1"/>
  <c r="W1248" i="1"/>
  <c r="X1248" i="1" s="1"/>
  <c r="T1248" i="1"/>
  <c r="P1248" i="1"/>
  <c r="O1248" i="1"/>
  <c r="N1248" i="1"/>
  <c r="M1248" i="1"/>
  <c r="L1248" i="1"/>
  <c r="K1248" i="1"/>
  <c r="J1248" i="1"/>
  <c r="X1247" i="1"/>
  <c r="W1247" i="1"/>
  <c r="T1247" i="1"/>
  <c r="P1247" i="1"/>
  <c r="O1247" i="1"/>
  <c r="N1247" i="1"/>
  <c r="M1247" i="1"/>
  <c r="L1247" i="1"/>
  <c r="K1247" i="1"/>
  <c r="J1247" i="1"/>
  <c r="W1246" i="1"/>
  <c r="X1246" i="1" s="1"/>
  <c r="T1246" i="1"/>
  <c r="P1246" i="1"/>
  <c r="O1246" i="1"/>
  <c r="N1246" i="1"/>
  <c r="M1246" i="1"/>
  <c r="L1246" i="1"/>
  <c r="K1246" i="1"/>
  <c r="J1246" i="1"/>
  <c r="X1245" i="1"/>
  <c r="W1245" i="1"/>
  <c r="T1245" i="1"/>
  <c r="P1245" i="1"/>
  <c r="O1245" i="1"/>
  <c r="N1245" i="1"/>
  <c r="M1245" i="1"/>
  <c r="L1245" i="1"/>
  <c r="K1245" i="1"/>
  <c r="J1245" i="1"/>
  <c r="W1244" i="1"/>
  <c r="X1244" i="1" s="1"/>
  <c r="T1244" i="1"/>
  <c r="P1244" i="1"/>
  <c r="O1244" i="1"/>
  <c r="N1244" i="1"/>
  <c r="M1244" i="1"/>
  <c r="L1244" i="1"/>
  <c r="K1244" i="1"/>
  <c r="J1244" i="1"/>
  <c r="X1243" i="1"/>
  <c r="W1243" i="1"/>
  <c r="T1243" i="1"/>
  <c r="P1243" i="1"/>
  <c r="O1243" i="1"/>
  <c r="N1243" i="1"/>
  <c r="M1243" i="1"/>
  <c r="L1243" i="1"/>
  <c r="K1243" i="1"/>
  <c r="J1243" i="1"/>
  <c r="W1242" i="1"/>
  <c r="X1242" i="1" s="1"/>
  <c r="T1242" i="1"/>
  <c r="P1242" i="1"/>
  <c r="O1242" i="1"/>
  <c r="N1242" i="1"/>
  <c r="M1242" i="1"/>
  <c r="L1242" i="1"/>
  <c r="K1242" i="1"/>
  <c r="J1242" i="1"/>
  <c r="X1241" i="1"/>
  <c r="W1241" i="1"/>
  <c r="T1241" i="1"/>
  <c r="P1241" i="1"/>
  <c r="O1241" i="1"/>
  <c r="N1241" i="1"/>
  <c r="M1241" i="1"/>
  <c r="L1241" i="1"/>
  <c r="K1241" i="1"/>
  <c r="J1241" i="1"/>
  <c r="W1240" i="1"/>
  <c r="X1240" i="1" s="1"/>
  <c r="T1240" i="1"/>
  <c r="P1240" i="1"/>
  <c r="O1240" i="1"/>
  <c r="N1240" i="1"/>
  <c r="M1240" i="1"/>
  <c r="L1240" i="1"/>
  <c r="K1240" i="1"/>
  <c r="J1240" i="1"/>
  <c r="X1239" i="1"/>
  <c r="W1239" i="1"/>
  <c r="T1239" i="1"/>
  <c r="P1239" i="1"/>
  <c r="O1239" i="1"/>
  <c r="N1239" i="1"/>
  <c r="M1239" i="1"/>
  <c r="L1239" i="1"/>
  <c r="K1239" i="1"/>
  <c r="J1239" i="1"/>
  <c r="W1238" i="1"/>
  <c r="X1238" i="1" s="1"/>
  <c r="T1238" i="1"/>
  <c r="P1238" i="1"/>
  <c r="O1238" i="1"/>
  <c r="N1238" i="1"/>
  <c r="M1238" i="1"/>
  <c r="L1238" i="1"/>
  <c r="K1238" i="1"/>
  <c r="J1238" i="1"/>
  <c r="X1237" i="1"/>
  <c r="W1237" i="1"/>
  <c r="T1237" i="1"/>
  <c r="P1237" i="1"/>
  <c r="O1237" i="1"/>
  <c r="N1237" i="1"/>
  <c r="M1237" i="1"/>
  <c r="L1237" i="1"/>
  <c r="K1237" i="1"/>
  <c r="J1237" i="1"/>
  <c r="X1236" i="1"/>
  <c r="W1236" i="1"/>
  <c r="T1236" i="1"/>
  <c r="P1236" i="1"/>
  <c r="O1236" i="1"/>
  <c r="N1236" i="1"/>
  <c r="M1236" i="1"/>
  <c r="L1236" i="1"/>
  <c r="K1236" i="1"/>
  <c r="J1236" i="1"/>
  <c r="X1235" i="1"/>
  <c r="W1235" i="1"/>
  <c r="T1235" i="1"/>
  <c r="P1235" i="1"/>
  <c r="O1235" i="1"/>
  <c r="N1235" i="1"/>
  <c r="M1235" i="1"/>
  <c r="L1235" i="1"/>
  <c r="K1235" i="1"/>
  <c r="J1235" i="1"/>
  <c r="X1234" i="1"/>
  <c r="W1234" i="1"/>
  <c r="T1234" i="1"/>
  <c r="P1234" i="1"/>
  <c r="O1234" i="1"/>
  <c r="N1234" i="1"/>
  <c r="M1234" i="1"/>
  <c r="L1234" i="1"/>
  <c r="K1234" i="1"/>
  <c r="J1234" i="1"/>
  <c r="X1233" i="1"/>
  <c r="W1233" i="1"/>
  <c r="T1233" i="1"/>
  <c r="P1233" i="1"/>
  <c r="O1233" i="1"/>
  <c r="N1233" i="1"/>
  <c r="M1233" i="1"/>
  <c r="L1233" i="1"/>
  <c r="K1233" i="1"/>
  <c r="J1233" i="1"/>
  <c r="X1232" i="1"/>
  <c r="W1232" i="1"/>
  <c r="T1232" i="1"/>
  <c r="P1232" i="1"/>
  <c r="O1232" i="1"/>
  <c r="N1232" i="1"/>
  <c r="M1232" i="1"/>
  <c r="L1232" i="1"/>
  <c r="K1232" i="1"/>
  <c r="J1232" i="1"/>
  <c r="X1231" i="1"/>
  <c r="W1231" i="1"/>
  <c r="T1231" i="1"/>
  <c r="P1231" i="1"/>
  <c r="O1231" i="1"/>
  <c r="N1231" i="1"/>
  <c r="M1231" i="1"/>
  <c r="L1231" i="1"/>
  <c r="K1231" i="1"/>
  <c r="J1231" i="1"/>
  <c r="X1230" i="1"/>
  <c r="W1230" i="1"/>
  <c r="T1230" i="1"/>
  <c r="P1230" i="1"/>
  <c r="O1230" i="1"/>
  <c r="N1230" i="1"/>
  <c r="M1230" i="1"/>
  <c r="L1230" i="1"/>
  <c r="K1230" i="1"/>
  <c r="J1230" i="1"/>
  <c r="X1229" i="1"/>
  <c r="W1229" i="1"/>
  <c r="T1229" i="1"/>
  <c r="P1229" i="1"/>
  <c r="O1229" i="1"/>
  <c r="N1229" i="1"/>
  <c r="M1229" i="1"/>
  <c r="L1229" i="1"/>
  <c r="K1229" i="1"/>
  <c r="J1229" i="1"/>
  <c r="X1228" i="1"/>
  <c r="W1228" i="1"/>
  <c r="T1228" i="1"/>
  <c r="P1228" i="1"/>
  <c r="O1228" i="1"/>
  <c r="N1228" i="1"/>
  <c r="M1228" i="1"/>
  <c r="L1228" i="1"/>
  <c r="K1228" i="1"/>
  <c r="J1228" i="1"/>
  <c r="X1227" i="1"/>
  <c r="W1227" i="1"/>
  <c r="T1227" i="1"/>
  <c r="P1227" i="1"/>
  <c r="O1227" i="1"/>
  <c r="N1227" i="1"/>
  <c r="M1227" i="1"/>
  <c r="L1227" i="1"/>
  <c r="K1227" i="1"/>
  <c r="J1227" i="1"/>
  <c r="X1226" i="1"/>
  <c r="W1226" i="1"/>
  <c r="T1226" i="1"/>
  <c r="P1226" i="1"/>
  <c r="O1226" i="1"/>
  <c r="N1226" i="1"/>
  <c r="M1226" i="1"/>
  <c r="L1226" i="1"/>
  <c r="K1226" i="1"/>
  <c r="J1226" i="1"/>
  <c r="X1225" i="1"/>
  <c r="W1225" i="1"/>
  <c r="T1225" i="1"/>
  <c r="P1225" i="1"/>
  <c r="O1225" i="1"/>
  <c r="N1225" i="1"/>
  <c r="M1225" i="1"/>
  <c r="L1225" i="1"/>
  <c r="K1225" i="1"/>
  <c r="J1225" i="1"/>
  <c r="X1224" i="1"/>
  <c r="W1224" i="1"/>
  <c r="T1224" i="1"/>
  <c r="P1224" i="1"/>
  <c r="O1224" i="1"/>
  <c r="N1224" i="1"/>
  <c r="M1224" i="1"/>
  <c r="L1224" i="1"/>
  <c r="K1224" i="1"/>
  <c r="J1224" i="1"/>
  <c r="X1223" i="1"/>
  <c r="W1223" i="1"/>
  <c r="T1223" i="1"/>
  <c r="P1223" i="1"/>
  <c r="O1223" i="1"/>
  <c r="N1223" i="1"/>
  <c r="M1223" i="1"/>
  <c r="L1223" i="1"/>
  <c r="K1223" i="1"/>
  <c r="J1223" i="1"/>
  <c r="X1222" i="1"/>
  <c r="W1222" i="1"/>
  <c r="T1222" i="1"/>
  <c r="P1222" i="1"/>
  <c r="O1222" i="1"/>
  <c r="N1222" i="1"/>
  <c r="M1222" i="1"/>
  <c r="L1222" i="1"/>
  <c r="K1222" i="1"/>
  <c r="J1222" i="1"/>
  <c r="X1221" i="1"/>
  <c r="W1221" i="1"/>
  <c r="T1221" i="1"/>
  <c r="P1221" i="1"/>
  <c r="O1221" i="1"/>
  <c r="N1221" i="1"/>
  <c r="M1221" i="1"/>
  <c r="L1221" i="1"/>
  <c r="K1221" i="1"/>
  <c r="J1221" i="1"/>
  <c r="X1220" i="1"/>
  <c r="W1220" i="1"/>
  <c r="T1220" i="1"/>
  <c r="P1220" i="1"/>
  <c r="O1220" i="1"/>
  <c r="N1220" i="1"/>
  <c r="M1220" i="1"/>
  <c r="L1220" i="1"/>
  <c r="K1220" i="1"/>
  <c r="J1220" i="1"/>
  <c r="X1219" i="1"/>
  <c r="W1219" i="1"/>
  <c r="T1219" i="1"/>
  <c r="P1219" i="1"/>
  <c r="O1219" i="1"/>
  <c r="N1219" i="1"/>
  <c r="M1219" i="1"/>
  <c r="L1219" i="1"/>
  <c r="K1219" i="1"/>
  <c r="J1219" i="1"/>
  <c r="X1218" i="1"/>
  <c r="W1218" i="1"/>
  <c r="T1218" i="1"/>
  <c r="P1218" i="1"/>
  <c r="O1218" i="1"/>
  <c r="N1218" i="1"/>
  <c r="M1218" i="1"/>
  <c r="L1218" i="1"/>
  <c r="K1218" i="1"/>
  <c r="J1218" i="1"/>
  <c r="X1217" i="1"/>
  <c r="W1217" i="1"/>
  <c r="T1217" i="1"/>
  <c r="P1217" i="1"/>
  <c r="O1217" i="1"/>
  <c r="N1217" i="1"/>
  <c r="M1217" i="1"/>
  <c r="L1217" i="1"/>
  <c r="K1217" i="1"/>
  <c r="J1217" i="1"/>
  <c r="X1216" i="1"/>
  <c r="W1216" i="1"/>
  <c r="T1216" i="1"/>
  <c r="P1216" i="1"/>
  <c r="O1216" i="1"/>
  <c r="N1216" i="1"/>
  <c r="M1216" i="1"/>
  <c r="L1216" i="1"/>
  <c r="K1216" i="1"/>
  <c r="J1216" i="1"/>
  <c r="X1215" i="1"/>
  <c r="W1215" i="1"/>
  <c r="T1215" i="1"/>
  <c r="P1215" i="1"/>
  <c r="O1215" i="1"/>
  <c r="N1215" i="1"/>
  <c r="M1215" i="1"/>
  <c r="L1215" i="1"/>
  <c r="K1215" i="1"/>
  <c r="J1215" i="1"/>
  <c r="X1214" i="1"/>
  <c r="W1214" i="1"/>
  <c r="T1214" i="1"/>
  <c r="P1214" i="1"/>
  <c r="O1214" i="1"/>
  <c r="N1214" i="1"/>
  <c r="M1214" i="1"/>
  <c r="L1214" i="1"/>
  <c r="K1214" i="1"/>
  <c r="J1214" i="1"/>
  <c r="X1213" i="1"/>
  <c r="W1213" i="1"/>
  <c r="T1213" i="1"/>
  <c r="P1213" i="1"/>
  <c r="O1213" i="1"/>
  <c r="N1213" i="1"/>
  <c r="M1213" i="1"/>
  <c r="L1213" i="1"/>
  <c r="K1213" i="1"/>
  <c r="J1213" i="1"/>
  <c r="X1212" i="1"/>
  <c r="W1212" i="1"/>
  <c r="T1212" i="1"/>
  <c r="P1212" i="1"/>
  <c r="O1212" i="1"/>
  <c r="N1212" i="1"/>
  <c r="M1212" i="1"/>
  <c r="L1212" i="1"/>
  <c r="K1212" i="1"/>
  <c r="J1212" i="1"/>
  <c r="X1211" i="1"/>
  <c r="W1211" i="1"/>
  <c r="T1211" i="1"/>
  <c r="P1211" i="1"/>
  <c r="O1211" i="1"/>
  <c r="N1211" i="1"/>
  <c r="M1211" i="1"/>
  <c r="L1211" i="1"/>
  <c r="K1211" i="1"/>
  <c r="J1211" i="1"/>
  <c r="X1210" i="1"/>
  <c r="W1210" i="1"/>
  <c r="T1210" i="1"/>
  <c r="P1210" i="1"/>
  <c r="O1210" i="1"/>
  <c r="N1210" i="1"/>
  <c r="M1210" i="1"/>
  <c r="L1210" i="1"/>
  <c r="K1210" i="1"/>
  <c r="J1210" i="1"/>
  <c r="X1209" i="1"/>
  <c r="W1209" i="1"/>
  <c r="T1209" i="1"/>
  <c r="P1209" i="1"/>
  <c r="O1209" i="1"/>
  <c r="N1209" i="1"/>
  <c r="M1209" i="1"/>
  <c r="L1209" i="1"/>
  <c r="K1209" i="1"/>
  <c r="J1209" i="1"/>
  <c r="X1208" i="1"/>
  <c r="W1208" i="1"/>
  <c r="T1208" i="1"/>
  <c r="P1208" i="1"/>
  <c r="O1208" i="1"/>
  <c r="N1208" i="1"/>
  <c r="M1208" i="1"/>
  <c r="L1208" i="1"/>
  <c r="K1208" i="1"/>
  <c r="J1208" i="1"/>
  <c r="X1207" i="1"/>
  <c r="W1207" i="1"/>
  <c r="T1207" i="1"/>
  <c r="P1207" i="1"/>
  <c r="O1207" i="1"/>
  <c r="N1207" i="1"/>
  <c r="M1207" i="1"/>
  <c r="L1207" i="1"/>
  <c r="K1207" i="1"/>
  <c r="J1207" i="1"/>
  <c r="X1206" i="1"/>
  <c r="W1206" i="1"/>
  <c r="T1206" i="1"/>
  <c r="P1206" i="1"/>
  <c r="O1206" i="1"/>
  <c r="N1206" i="1"/>
  <c r="M1206" i="1"/>
  <c r="L1206" i="1"/>
  <c r="K1206" i="1"/>
  <c r="J1206" i="1"/>
  <c r="X1205" i="1"/>
  <c r="W1205" i="1"/>
  <c r="T1205" i="1"/>
  <c r="P1205" i="1"/>
  <c r="O1205" i="1"/>
  <c r="N1205" i="1"/>
  <c r="M1205" i="1"/>
  <c r="L1205" i="1"/>
  <c r="K1205" i="1"/>
  <c r="J1205" i="1"/>
  <c r="X1204" i="1"/>
  <c r="W1204" i="1"/>
  <c r="T1204" i="1"/>
  <c r="P1204" i="1"/>
  <c r="O1204" i="1"/>
  <c r="N1204" i="1"/>
  <c r="M1204" i="1"/>
  <c r="L1204" i="1"/>
  <c r="K1204" i="1"/>
  <c r="J1204" i="1"/>
  <c r="X1203" i="1"/>
  <c r="W1203" i="1"/>
  <c r="T1203" i="1"/>
  <c r="P1203" i="1"/>
  <c r="O1203" i="1"/>
  <c r="N1203" i="1"/>
  <c r="M1203" i="1"/>
  <c r="L1203" i="1"/>
  <c r="K1203" i="1"/>
  <c r="J1203" i="1"/>
  <c r="X1202" i="1"/>
  <c r="W1202" i="1"/>
  <c r="T1202" i="1"/>
  <c r="P1202" i="1"/>
  <c r="O1202" i="1"/>
  <c r="N1202" i="1"/>
  <c r="M1202" i="1"/>
  <c r="L1202" i="1"/>
  <c r="K1202" i="1"/>
  <c r="J1202" i="1"/>
  <c r="X1201" i="1"/>
  <c r="W1201" i="1"/>
  <c r="T1201" i="1"/>
  <c r="P1201" i="1"/>
  <c r="O1201" i="1"/>
  <c r="N1201" i="1"/>
  <c r="M1201" i="1"/>
  <c r="L1201" i="1"/>
  <c r="K1201" i="1"/>
  <c r="J1201" i="1"/>
  <c r="X1200" i="1"/>
  <c r="W1200" i="1"/>
  <c r="T1200" i="1"/>
  <c r="P1200" i="1"/>
  <c r="O1200" i="1"/>
  <c r="N1200" i="1"/>
  <c r="M1200" i="1"/>
  <c r="L1200" i="1"/>
  <c r="K1200" i="1"/>
  <c r="J1200" i="1"/>
  <c r="X1199" i="1"/>
  <c r="W1199" i="1"/>
  <c r="T1199" i="1"/>
  <c r="P1199" i="1"/>
  <c r="O1199" i="1"/>
  <c r="N1199" i="1"/>
  <c r="M1199" i="1"/>
  <c r="L1199" i="1"/>
  <c r="K1199" i="1"/>
  <c r="J1199" i="1"/>
  <c r="X1198" i="1"/>
  <c r="W1198" i="1"/>
  <c r="T1198" i="1"/>
  <c r="P1198" i="1"/>
  <c r="O1198" i="1"/>
  <c r="N1198" i="1"/>
  <c r="M1198" i="1"/>
  <c r="L1198" i="1"/>
  <c r="K1198" i="1"/>
  <c r="J1198" i="1"/>
  <c r="X1197" i="1"/>
  <c r="W1197" i="1"/>
  <c r="T1197" i="1"/>
  <c r="P1197" i="1"/>
  <c r="O1197" i="1"/>
  <c r="N1197" i="1"/>
  <c r="M1197" i="1"/>
  <c r="L1197" i="1"/>
  <c r="K1197" i="1"/>
  <c r="J1197" i="1"/>
  <c r="X1196" i="1"/>
  <c r="W1196" i="1"/>
  <c r="T1196" i="1"/>
  <c r="P1196" i="1"/>
  <c r="O1196" i="1"/>
  <c r="N1196" i="1"/>
  <c r="M1196" i="1"/>
  <c r="L1196" i="1"/>
  <c r="K1196" i="1"/>
  <c r="J1196" i="1"/>
  <c r="X1195" i="1"/>
  <c r="W1195" i="1"/>
  <c r="T1195" i="1"/>
  <c r="P1195" i="1"/>
  <c r="O1195" i="1"/>
  <c r="N1195" i="1"/>
  <c r="M1195" i="1"/>
  <c r="L1195" i="1"/>
  <c r="K1195" i="1"/>
  <c r="J1195" i="1"/>
  <c r="X1194" i="1"/>
  <c r="W1194" i="1"/>
  <c r="T1194" i="1"/>
  <c r="P1194" i="1"/>
  <c r="O1194" i="1"/>
  <c r="N1194" i="1"/>
  <c r="M1194" i="1"/>
  <c r="L1194" i="1"/>
  <c r="K1194" i="1"/>
  <c r="J1194" i="1"/>
  <c r="X1193" i="1"/>
  <c r="W1193" i="1"/>
  <c r="T1193" i="1"/>
  <c r="P1193" i="1"/>
  <c r="O1193" i="1"/>
  <c r="N1193" i="1"/>
  <c r="M1193" i="1"/>
  <c r="L1193" i="1"/>
  <c r="K1193" i="1"/>
  <c r="J1193" i="1"/>
  <c r="X1192" i="1"/>
  <c r="W1192" i="1"/>
  <c r="T1192" i="1"/>
  <c r="P1192" i="1"/>
  <c r="O1192" i="1"/>
  <c r="N1192" i="1"/>
  <c r="M1192" i="1"/>
  <c r="L1192" i="1"/>
  <c r="K1192" i="1"/>
  <c r="J1192" i="1"/>
  <c r="X1191" i="1"/>
  <c r="W1191" i="1"/>
  <c r="T1191" i="1"/>
  <c r="P1191" i="1"/>
  <c r="O1191" i="1"/>
  <c r="N1191" i="1"/>
  <c r="M1191" i="1"/>
  <c r="L1191" i="1"/>
  <c r="K1191" i="1"/>
  <c r="J1191" i="1"/>
  <c r="X1190" i="1"/>
  <c r="W1190" i="1"/>
  <c r="T1190" i="1"/>
  <c r="P1190" i="1"/>
  <c r="O1190" i="1"/>
  <c r="N1190" i="1"/>
  <c r="M1190" i="1"/>
  <c r="L1190" i="1"/>
  <c r="K1190" i="1"/>
  <c r="J1190" i="1"/>
  <c r="X1189" i="1"/>
  <c r="W1189" i="1"/>
  <c r="T1189" i="1"/>
  <c r="P1189" i="1"/>
  <c r="O1189" i="1"/>
  <c r="N1189" i="1"/>
  <c r="M1189" i="1"/>
  <c r="L1189" i="1"/>
  <c r="K1189" i="1"/>
  <c r="J1189" i="1"/>
  <c r="X1188" i="1"/>
  <c r="W1188" i="1"/>
  <c r="T1188" i="1"/>
  <c r="P1188" i="1"/>
  <c r="O1188" i="1"/>
  <c r="N1188" i="1"/>
  <c r="M1188" i="1"/>
  <c r="L1188" i="1"/>
  <c r="K1188" i="1"/>
  <c r="J1188" i="1"/>
  <c r="X1187" i="1"/>
  <c r="W1187" i="1"/>
  <c r="T1187" i="1"/>
  <c r="P1187" i="1"/>
  <c r="O1187" i="1"/>
  <c r="N1187" i="1"/>
  <c r="M1187" i="1"/>
  <c r="L1187" i="1"/>
  <c r="K1187" i="1"/>
  <c r="J1187" i="1"/>
  <c r="X1186" i="1"/>
  <c r="W1186" i="1"/>
  <c r="T1186" i="1"/>
  <c r="P1186" i="1"/>
  <c r="O1186" i="1"/>
  <c r="N1186" i="1"/>
  <c r="M1186" i="1"/>
  <c r="L1186" i="1"/>
  <c r="K1186" i="1"/>
  <c r="J1186" i="1"/>
  <c r="X1185" i="1"/>
  <c r="W1185" i="1"/>
  <c r="T1185" i="1"/>
  <c r="P1185" i="1"/>
  <c r="O1185" i="1"/>
  <c r="N1185" i="1"/>
  <c r="M1185" i="1"/>
  <c r="L1185" i="1"/>
  <c r="K1185" i="1"/>
  <c r="J1185" i="1"/>
  <c r="X1184" i="1"/>
  <c r="W1184" i="1"/>
  <c r="T1184" i="1"/>
  <c r="P1184" i="1"/>
  <c r="O1184" i="1"/>
  <c r="N1184" i="1"/>
  <c r="M1184" i="1"/>
  <c r="L1184" i="1"/>
  <c r="K1184" i="1"/>
  <c r="J1184" i="1"/>
  <c r="X1183" i="1"/>
  <c r="W1183" i="1"/>
  <c r="T1183" i="1"/>
  <c r="P1183" i="1"/>
  <c r="O1183" i="1"/>
  <c r="N1183" i="1"/>
  <c r="M1183" i="1"/>
  <c r="L1183" i="1"/>
  <c r="K1183" i="1"/>
  <c r="J1183" i="1"/>
  <c r="X1182" i="1"/>
  <c r="W1182" i="1"/>
  <c r="T1182" i="1"/>
  <c r="P1182" i="1"/>
  <c r="O1182" i="1"/>
  <c r="N1182" i="1"/>
  <c r="M1182" i="1"/>
  <c r="L1182" i="1"/>
  <c r="K1182" i="1"/>
  <c r="J1182" i="1"/>
  <c r="X1181" i="1"/>
  <c r="W1181" i="1"/>
  <c r="T1181" i="1"/>
  <c r="P1181" i="1"/>
  <c r="O1181" i="1"/>
  <c r="N1181" i="1"/>
  <c r="M1181" i="1"/>
  <c r="L1181" i="1"/>
  <c r="K1181" i="1"/>
  <c r="J1181" i="1"/>
  <c r="X1180" i="1"/>
  <c r="W1180" i="1"/>
  <c r="T1180" i="1"/>
  <c r="P1180" i="1"/>
  <c r="O1180" i="1"/>
  <c r="N1180" i="1"/>
  <c r="M1180" i="1"/>
  <c r="L1180" i="1"/>
  <c r="K1180" i="1"/>
  <c r="J1180" i="1"/>
  <c r="X1179" i="1"/>
  <c r="W1179" i="1"/>
  <c r="T1179" i="1"/>
  <c r="P1179" i="1"/>
  <c r="O1179" i="1"/>
  <c r="N1179" i="1"/>
  <c r="M1179" i="1"/>
  <c r="L1179" i="1"/>
  <c r="K1179" i="1"/>
  <c r="J1179" i="1"/>
  <c r="X1178" i="1"/>
  <c r="W1178" i="1"/>
  <c r="T1178" i="1"/>
  <c r="P1178" i="1"/>
  <c r="O1178" i="1"/>
  <c r="N1178" i="1"/>
  <c r="M1178" i="1"/>
  <c r="L1178" i="1"/>
  <c r="K1178" i="1"/>
  <c r="J1178" i="1"/>
  <c r="X1177" i="1"/>
  <c r="W1177" i="1"/>
  <c r="T1177" i="1"/>
  <c r="P1177" i="1"/>
  <c r="O1177" i="1"/>
  <c r="N1177" i="1"/>
  <c r="M1177" i="1"/>
  <c r="L1177" i="1"/>
  <c r="K1177" i="1"/>
  <c r="J1177" i="1"/>
  <c r="X1176" i="1"/>
  <c r="W1176" i="1"/>
  <c r="T1176" i="1"/>
  <c r="P1176" i="1"/>
  <c r="O1176" i="1"/>
  <c r="N1176" i="1"/>
  <c r="M1176" i="1"/>
  <c r="L1176" i="1"/>
  <c r="K1176" i="1"/>
  <c r="J1176" i="1"/>
  <c r="X1175" i="1"/>
  <c r="W1175" i="1"/>
  <c r="T1175" i="1"/>
  <c r="P1175" i="1"/>
  <c r="O1175" i="1"/>
  <c r="N1175" i="1"/>
  <c r="M1175" i="1"/>
  <c r="L1175" i="1"/>
  <c r="K1175" i="1"/>
  <c r="J1175" i="1"/>
  <c r="X1174" i="1"/>
  <c r="W1174" i="1"/>
  <c r="T1174" i="1"/>
  <c r="P1174" i="1"/>
  <c r="O1174" i="1"/>
  <c r="N1174" i="1"/>
  <c r="M1174" i="1"/>
  <c r="L1174" i="1"/>
  <c r="K1174" i="1"/>
  <c r="J1174" i="1"/>
  <c r="X1173" i="1"/>
  <c r="W1173" i="1"/>
  <c r="T1173" i="1"/>
  <c r="P1173" i="1"/>
  <c r="O1173" i="1"/>
  <c r="N1173" i="1"/>
  <c r="M1173" i="1"/>
  <c r="L1173" i="1"/>
  <c r="K1173" i="1"/>
  <c r="J1173" i="1"/>
  <c r="X1172" i="1"/>
  <c r="W1172" i="1"/>
  <c r="T1172" i="1"/>
  <c r="P1172" i="1"/>
  <c r="O1172" i="1"/>
  <c r="N1172" i="1"/>
  <c r="M1172" i="1"/>
  <c r="L1172" i="1"/>
  <c r="K1172" i="1"/>
  <c r="J1172" i="1"/>
  <c r="X1171" i="1"/>
  <c r="W1171" i="1"/>
  <c r="T1171" i="1"/>
  <c r="P1171" i="1"/>
  <c r="O1171" i="1"/>
  <c r="N1171" i="1"/>
  <c r="M1171" i="1"/>
  <c r="L1171" i="1"/>
  <c r="K1171" i="1"/>
  <c r="J1171" i="1"/>
  <c r="X1170" i="1"/>
  <c r="W1170" i="1"/>
  <c r="T1170" i="1"/>
  <c r="P1170" i="1"/>
  <c r="O1170" i="1"/>
  <c r="N1170" i="1"/>
  <c r="M1170" i="1"/>
  <c r="L1170" i="1"/>
  <c r="K1170" i="1"/>
  <c r="J1170" i="1"/>
  <c r="X1169" i="1"/>
  <c r="W1169" i="1"/>
  <c r="T1169" i="1"/>
  <c r="P1169" i="1"/>
  <c r="O1169" i="1"/>
  <c r="N1169" i="1"/>
  <c r="M1169" i="1"/>
  <c r="L1169" i="1"/>
  <c r="K1169" i="1"/>
  <c r="J1169" i="1"/>
  <c r="X1168" i="1"/>
  <c r="W1168" i="1"/>
  <c r="T1168" i="1"/>
  <c r="P1168" i="1"/>
  <c r="O1168" i="1"/>
  <c r="N1168" i="1"/>
  <c r="M1168" i="1"/>
  <c r="L1168" i="1"/>
  <c r="K1168" i="1"/>
  <c r="J1168" i="1"/>
  <c r="X1167" i="1"/>
  <c r="W1167" i="1"/>
  <c r="T1167" i="1"/>
  <c r="P1167" i="1"/>
  <c r="O1167" i="1"/>
  <c r="N1167" i="1"/>
  <c r="M1167" i="1"/>
  <c r="L1167" i="1"/>
  <c r="K1167" i="1"/>
  <c r="J1167" i="1"/>
  <c r="X1166" i="1"/>
  <c r="W1166" i="1"/>
  <c r="T1166" i="1"/>
  <c r="P1166" i="1"/>
  <c r="O1166" i="1"/>
  <c r="N1166" i="1"/>
  <c r="M1166" i="1"/>
  <c r="L1166" i="1"/>
  <c r="K1166" i="1"/>
  <c r="J1166" i="1"/>
  <c r="X1165" i="1"/>
  <c r="W1165" i="1"/>
  <c r="T1165" i="1"/>
  <c r="P1165" i="1"/>
  <c r="O1165" i="1"/>
  <c r="N1165" i="1"/>
  <c r="M1165" i="1"/>
  <c r="L1165" i="1"/>
  <c r="K1165" i="1"/>
  <c r="J1165" i="1"/>
  <c r="X1164" i="1"/>
  <c r="W1164" i="1"/>
  <c r="T1164" i="1"/>
  <c r="P1164" i="1"/>
  <c r="O1164" i="1"/>
  <c r="N1164" i="1"/>
  <c r="M1164" i="1"/>
  <c r="L1164" i="1"/>
  <c r="K1164" i="1"/>
  <c r="J1164" i="1"/>
  <c r="X1163" i="1"/>
  <c r="W1163" i="1"/>
  <c r="T1163" i="1"/>
  <c r="P1163" i="1"/>
  <c r="O1163" i="1"/>
  <c r="N1163" i="1"/>
  <c r="M1163" i="1"/>
  <c r="L1163" i="1"/>
  <c r="K1163" i="1"/>
  <c r="J1163" i="1"/>
  <c r="X1162" i="1"/>
  <c r="W1162" i="1"/>
  <c r="T1162" i="1"/>
  <c r="P1162" i="1"/>
  <c r="O1162" i="1"/>
  <c r="N1162" i="1"/>
  <c r="M1162" i="1"/>
  <c r="L1162" i="1"/>
  <c r="K1162" i="1"/>
  <c r="J1162" i="1"/>
  <c r="X1161" i="1"/>
  <c r="W1161" i="1"/>
  <c r="T1161" i="1"/>
  <c r="P1161" i="1"/>
  <c r="O1161" i="1"/>
  <c r="N1161" i="1"/>
  <c r="M1161" i="1"/>
  <c r="L1161" i="1"/>
  <c r="K1161" i="1"/>
  <c r="J1161" i="1"/>
  <c r="X1160" i="1"/>
  <c r="W1160" i="1"/>
  <c r="T1160" i="1"/>
  <c r="P1160" i="1"/>
  <c r="O1160" i="1"/>
  <c r="N1160" i="1"/>
  <c r="M1160" i="1"/>
  <c r="L1160" i="1"/>
  <c r="K1160" i="1"/>
  <c r="J1160" i="1"/>
  <c r="X1159" i="1"/>
  <c r="W1159" i="1"/>
  <c r="T1159" i="1"/>
  <c r="P1159" i="1"/>
  <c r="O1159" i="1"/>
  <c r="N1159" i="1"/>
  <c r="M1159" i="1"/>
  <c r="L1159" i="1"/>
  <c r="K1159" i="1"/>
  <c r="J1159" i="1"/>
  <c r="X1158" i="1"/>
  <c r="W1158" i="1"/>
  <c r="T1158" i="1"/>
  <c r="P1158" i="1"/>
  <c r="O1158" i="1"/>
  <c r="N1158" i="1"/>
  <c r="M1158" i="1"/>
  <c r="L1158" i="1"/>
  <c r="K1158" i="1"/>
  <c r="J1158" i="1"/>
  <c r="X1157" i="1"/>
  <c r="W1157" i="1"/>
  <c r="T1157" i="1"/>
  <c r="P1157" i="1"/>
  <c r="O1157" i="1"/>
  <c r="N1157" i="1"/>
  <c r="M1157" i="1"/>
  <c r="L1157" i="1"/>
  <c r="K1157" i="1"/>
  <c r="J1157" i="1"/>
  <c r="X1156" i="1"/>
  <c r="W1156" i="1"/>
  <c r="T1156" i="1"/>
  <c r="P1156" i="1"/>
  <c r="O1156" i="1"/>
  <c r="N1156" i="1"/>
  <c r="M1156" i="1"/>
  <c r="L1156" i="1"/>
  <c r="K1156" i="1"/>
  <c r="J1156" i="1"/>
  <c r="X1155" i="1"/>
  <c r="W1155" i="1"/>
  <c r="T1155" i="1"/>
  <c r="P1155" i="1"/>
  <c r="O1155" i="1"/>
  <c r="N1155" i="1"/>
  <c r="M1155" i="1"/>
  <c r="L1155" i="1"/>
  <c r="K1155" i="1"/>
  <c r="J1155" i="1"/>
  <c r="X1154" i="1"/>
  <c r="W1154" i="1"/>
  <c r="T1154" i="1"/>
  <c r="P1154" i="1"/>
  <c r="O1154" i="1"/>
  <c r="N1154" i="1"/>
  <c r="M1154" i="1"/>
  <c r="L1154" i="1"/>
  <c r="K1154" i="1"/>
  <c r="J1154" i="1"/>
  <c r="X1153" i="1"/>
  <c r="W1153" i="1"/>
  <c r="T1153" i="1"/>
  <c r="P1153" i="1"/>
  <c r="O1153" i="1"/>
  <c r="N1153" i="1"/>
  <c r="M1153" i="1"/>
  <c r="L1153" i="1"/>
  <c r="K1153" i="1"/>
  <c r="J1153" i="1"/>
  <c r="X1152" i="1"/>
  <c r="W1152" i="1"/>
  <c r="T1152" i="1"/>
  <c r="P1152" i="1"/>
  <c r="O1152" i="1"/>
  <c r="N1152" i="1"/>
  <c r="M1152" i="1"/>
  <c r="L1152" i="1"/>
  <c r="K1152" i="1"/>
  <c r="J1152" i="1"/>
  <c r="X1151" i="1"/>
  <c r="W1151" i="1"/>
  <c r="T1151" i="1"/>
  <c r="P1151" i="1"/>
  <c r="O1151" i="1"/>
  <c r="N1151" i="1"/>
  <c r="M1151" i="1"/>
  <c r="L1151" i="1"/>
  <c r="K1151" i="1"/>
  <c r="J1151" i="1"/>
  <c r="X1150" i="1"/>
  <c r="W1150" i="1"/>
  <c r="T1150" i="1"/>
  <c r="P1150" i="1"/>
  <c r="O1150" i="1"/>
  <c r="N1150" i="1"/>
  <c r="M1150" i="1"/>
  <c r="L1150" i="1"/>
  <c r="K1150" i="1"/>
  <c r="J1150" i="1"/>
  <c r="X1149" i="1"/>
  <c r="W1149" i="1"/>
  <c r="T1149" i="1"/>
  <c r="P1149" i="1"/>
  <c r="O1149" i="1"/>
  <c r="N1149" i="1"/>
  <c r="M1149" i="1"/>
  <c r="L1149" i="1"/>
  <c r="K1149" i="1"/>
  <c r="J1149" i="1"/>
  <c r="X1148" i="1"/>
  <c r="W1148" i="1"/>
  <c r="T1148" i="1"/>
  <c r="P1148" i="1"/>
  <c r="O1148" i="1"/>
  <c r="N1148" i="1"/>
  <c r="M1148" i="1"/>
  <c r="L1148" i="1"/>
  <c r="K1148" i="1"/>
  <c r="J1148" i="1"/>
  <c r="X1147" i="1"/>
  <c r="W1147" i="1"/>
  <c r="T1147" i="1"/>
  <c r="P1147" i="1"/>
  <c r="O1147" i="1"/>
  <c r="N1147" i="1"/>
  <c r="M1147" i="1"/>
  <c r="L1147" i="1"/>
  <c r="K1147" i="1"/>
  <c r="J1147" i="1"/>
  <c r="X1146" i="1"/>
  <c r="W1146" i="1"/>
  <c r="T1146" i="1"/>
  <c r="P1146" i="1"/>
  <c r="O1146" i="1"/>
  <c r="N1146" i="1"/>
  <c r="M1146" i="1"/>
  <c r="L1146" i="1"/>
  <c r="K1146" i="1"/>
  <c r="J1146" i="1"/>
  <c r="X1145" i="1"/>
  <c r="W1145" i="1"/>
  <c r="T1145" i="1"/>
  <c r="P1145" i="1"/>
  <c r="O1145" i="1"/>
  <c r="N1145" i="1"/>
  <c r="M1145" i="1"/>
  <c r="L1145" i="1"/>
  <c r="K1145" i="1"/>
  <c r="J1145" i="1"/>
  <c r="X1144" i="1"/>
  <c r="W1144" i="1"/>
  <c r="T1144" i="1"/>
  <c r="P1144" i="1"/>
  <c r="O1144" i="1"/>
  <c r="N1144" i="1"/>
  <c r="M1144" i="1"/>
  <c r="L1144" i="1"/>
  <c r="K1144" i="1"/>
  <c r="J1144" i="1"/>
  <c r="X1143" i="1"/>
  <c r="W1143" i="1"/>
  <c r="T1143" i="1"/>
  <c r="P1143" i="1"/>
  <c r="O1143" i="1"/>
  <c r="N1143" i="1"/>
  <c r="M1143" i="1"/>
  <c r="L1143" i="1"/>
  <c r="K1143" i="1"/>
  <c r="J1143" i="1"/>
  <c r="X1142" i="1"/>
  <c r="W1142" i="1"/>
  <c r="T1142" i="1"/>
  <c r="P1142" i="1"/>
  <c r="O1142" i="1"/>
  <c r="N1142" i="1"/>
  <c r="M1142" i="1"/>
  <c r="L1142" i="1"/>
  <c r="K1142" i="1"/>
  <c r="J1142" i="1"/>
  <c r="X1141" i="1"/>
  <c r="W1141" i="1"/>
  <c r="T1141" i="1"/>
  <c r="P1141" i="1"/>
  <c r="O1141" i="1"/>
  <c r="N1141" i="1"/>
  <c r="M1141" i="1"/>
  <c r="L1141" i="1"/>
  <c r="K1141" i="1"/>
  <c r="J1141" i="1"/>
  <c r="X1140" i="1"/>
  <c r="W1140" i="1"/>
  <c r="T1140" i="1"/>
  <c r="P1140" i="1"/>
  <c r="O1140" i="1"/>
  <c r="N1140" i="1"/>
  <c r="M1140" i="1"/>
  <c r="L1140" i="1"/>
  <c r="K1140" i="1"/>
  <c r="J1140" i="1"/>
  <c r="X1139" i="1"/>
  <c r="W1139" i="1"/>
  <c r="T1139" i="1"/>
  <c r="P1139" i="1"/>
  <c r="O1139" i="1"/>
  <c r="N1139" i="1"/>
  <c r="M1139" i="1"/>
  <c r="L1139" i="1"/>
  <c r="K1139" i="1"/>
  <c r="J1139" i="1"/>
  <c r="X1138" i="1"/>
  <c r="W1138" i="1"/>
  <c r="T1138" i="1"/>
  <c r="P1138" i="1"/>
  <c r="O1138" i="1"/>
  <c r="N1138" i="1"/>
  <c r="M1138" i="1"/>
  <c r="L1138" i="1"/>
  <c r="K1138" i="1"/>
  <c r="J1138" i="1"/>
  <c r="X1137" i="1"/>
  <c r="W1137" i="1"/>
  <c r="T1137" i="1"/>
  <c r="P1137" i="1"/>
  <c r="O1137" i="1"/>
  <c r="N1137" i="1"/>
  <c r="M1137" i="1"/>
  <c r="L1137" i="1"/>
  <c r="K1137" i="1"/>
  <c r="J1137" i="1"/>
  <c r="X1136" i="1"/>
  <c r="W1136" i="1"/>
  <c r="T1136" i="1"/>
  <c r="P1136" i="1"/>
  <c r="O1136" i="1"/>
  <c r="N1136" i="1"/>
  <c r="M1136" i="1"/>
  <c r="L1136" i="1"/>
  <c r="K1136" i="1"/>
  <c r="J1136" i="1"/>
  <c r="X1135" i="1"/>
  <c r="W1135" i="1"/>
  <c r="T1135" i="1"/>
  <c r="P1135" i="1"/>
  <c r="O1135" i="1"/>
  <c r="N1135" i="1"/>
  <c r="M1135" i="1"/>
  <c r="L1135" i="1"/>
  <c r="K1135" i="1"/>
  <c r="J1135" i="1"/>
  <c r="X1134" i="1"/>
  <c r="W1134" i="1"/>
  <c r="T1134" i="1"/>
  <c r="P1134" i="1"/>
  <c r="O1134" i="1"/>
  <c r="N1134" i="1"/>
  <c r="M1134" i="1"/>
  <c r="L1134" i="1"/>
  <c r="K1134" i="1"/>
  <c r="J1134" i="1"/>
  <c r="X1133" i="1"/>
  <c r="W1133" i="1"/>
  <c r="T1133" i="1"/>
  <c r="P1133" i="1"/>
  <c r="O1133" i="1"/>
  <c r="N1133" i="1"/>
  <c r="M1133" i="1"/>
  <c r="L1133" i="1"/>
  <c r="K1133" i="1"/>
  <c r="J1133" i="1"/>
  <c r="X1132" i="1"/>
  <c r="W1132" i="1"/>
  <c r="T1132" i="1"/>
  <c r="P1132" i="1"/>
  <c r="O1132" i="1"/>
  <c r="N1132" i="1"/>
  <c r="M1132" i="1"/>
  <c r="L1132" i="1"/>
  <c r="K1132" i="1"/>
  <c r="J1132" i="1"/>
  <c r="X1131" i="1"/>
  <c r="W1131" i="1"/>
  <c r="T1131" i="1"/>
  <c r="P1131" i="1"/>
  <c r="O1131" i="1"/>
  <c r="N1131" i="1"/>
  <c r="M1131" i="1"/>
  <c r="L1131" i="1"/>
  <c r="K1131" i="1"/>
  <c r="J1131" i="1"/>
  <c r="X1130" i="1"/>
  <c r="W1130" i="1"/>
  <c r="T1130" i="1"/>
  <c r="P1130" i="1"/>
  <c r="O1130" i="1"/>
  <c r="N1130" i="1"/>
  <c r="M1130" i="1"/>
  <c r="L1130" i="1"/>
  <c r="K1130" i="1"/>
  <c r="J1130" i="1"/>
  <c r="X1129" i="1"/>
  <c r="W1129" i="1"/>
  <c r="T1129" i="1"/>
  <c r="P1129" i="1"/>
  <c r="O1129" i="1"/>
  <c r="N1129" i="1"/>
  <c r="M1129" i="1"/>
  <c r="L1129" i="1"/>
  <c r="K1129" i="1"/>
  <c r="J1129" i="1"/>
  <c r="X1128" i="1"/>
  <c r="W1128" i="1"/>
  <c r="T1128" i="1"/>
  <c r="P1128" i="1"/>
  <c r="O1128" i="1"/>
  <c r="N1128" i="1"/>
  <c r="M1128" i="1"/>
  <c r="L1128" i="1"/>
  <c r="K1128" i="1"/>
  <c r="J1128" i="1"/>
  <c r="X1127" i="1"/>
  <c r="W1127" i="1"/>
  <c r="T1127" i="1"/>
  <c r="P1127" i="1"/>
  <c r="O1127" i="1"/>
  <c r="N1127" i="1"/>
  <c r="M1127" i="1"/>
  <c r="L1127" i="1"/>
  <c r="K1127" i="1"/>
  <c r="J1127" i="1"/>
  <c r="X1126" i="1"/>
  <c r="W1126" i="1"/>
  <c r="T1126" i="1"/>
  <c r="P1126" i="1"/>
  <c r="O1126" i="1"/>
  <c r="N1126" i="1"/>
  <c r="M1126" i="1"/>
  <c r="L1126" i="1"/>
  <c r="K1126" i="1"/>
  <c r="J1126" i="1"/>
  <c r="X1125" i="1"/>
  <c r="W1125" i="1"/>
  <c r="T1125" i="1"/>
  <c r="P1125" i="1"/>
  <c r="O1125" i="1"/>
  <c r="N1125" i="1"/>
  <c r="M1125" i="1"/>
  <c r="L1125" i="1"/>
  <c r="K1125" i="1"/>
  <c r="J1125" i="1"/>
  <c r="X1124" i="1"/>
  <c r="W1124" i="1"/>
  <c r="T1124" i="1"/>
  <c r="P1124" i="1"/>
  <c r="O1124" i="1"/>
  <c r="N1124" i="1"/>
  <c r="M1124" i="1"/>
  <c r="L1124" i="1"/>
  <c r="K1124" i="1"/>
  <c r="J1124" i="1"/>
  <c r="X1123" i="1"/>
  <c r="W1123" i="1"/>
  <c r="T1123" i="1"/>
  <c r="P1123" i="1"/>
  <c r="O1123" i="1"/>
  <c r="N1123" i="1"/>
  <c r="M1123" i="1"/>
  <c r="L1123" i="1"/>
  <c r="K1123" i="1"/>
  <c r="J1123" i="1"/>
  <c r="X1122" i="1"/>
  <c r="W1122" i="1"/>
  <c r="T1122" i="1"/>
  <c r="P1122" i="1"/>
  <c r="O1122" i="1"/>
  <c r="N1122" i="1"/>
  <c r="M1122" i="1"/>
  <c r="L1122" i="1"/>
  <c r="K1122" i="1"/>
  <c r="J1122" i="1"/>
  <c r="X1121" i="1"/>
  <c r="W1121" i="1"/>
  <c r="T1121" i="1"/>
  <c r="P1121" i="1"/>
  <c r="O1121" i="1"/>
  <c r="N1121" i="1"/>
  <c r="M1121" i="1"/>
  <c r="L1121" i="1"/>
  <c r="K1121" i="1"/>
  <c r="J1121" i="1"/>
  <c r="X1120" i="1"/>
  <c r="W1120" i="1"/>
  <c r="T1120" i="1"/>
  <c r="P1120" i="1"/>
  <c r="O1120" i="1"/>
  <c r="N1120" i="1"/>
  <c r="M1120" i="1"/>
  <c r="L1120" i="1"/>
  <c r="K1120" i="1"/>
  <c r="J1120" i="1"/>
  <c r="X1119" i="1"/>
  <c r="W1119" i="1"/>
  <c r="T1119" i="1"/>
  <c r="P1119" i="1"/>
  <c r="O1119" i="1"/>
  <c r="N1119" i="1"/>
  <c r="M1119" i="1"/>
  <c r="L1119" i="1"/>
  <c r="K1119" i="1"/>
  <c r="J1119" i="1"/>
  <c r="X1118" i="1"/>
  <c r="W1118" i="1"/>
  <c r="T1118" i="1"/>
  <c r="P1118" i="1"/>
  <c r="O1118" i="1"/>
  <c r="N1118" i="1"/>
  <c r="M1118" i="1"/>
  <c r="L1118" i="1"/>
  <c r="K1118" i="1"/>
  <c r="J1118" i="1"/>
  <c r="X1117" i="1"/>
  <c r="W1117" i="1"/>
  <c r="T1117" i="1"/>
  <c r="P1117" i="1"/>
  <c r="O1117" i="1"/>
  <c r="N1117" i="1"/>
  <c r="M1117" i="1"/>
  <c r="L1117" i="1"/>
  <c r="K1117" i="1"/>
  <c r="J1117" i="1"/>
  <c r="X1116" i="1"/>
  <c r="W1116" i="1"/>
  <c r="T1116" i="1"/>
  <c r="P1116" i="1"/>
  <c r="O1116" i="1"/>
  <c r="N1116" i="1"/>
  <c r="M1116" i="1"/>
  <c r="L1116" i="1"/>
  <c r="K1116" i="1"/>
  <c r="J1116" i="1"/>
  <c r="X1115" i="1"/>
  <c r="W1115" i="1"/>
  <c r="T1115" i="1"/>
  <c r="P1115" i="1"/>
  <c r="O1115" i="1"/>
  <c r="N1115" i="1"/>
  <c r="M1115" i="1"/>
  <c r="L1115" i="1"/>
  <c r="K1115" i="1"/>
  <c r="J1115" i="1"/>
  <c r="X1114" i="1"/>
  <c r="W1114" i="1"/>
  <c r="T1114" i="1"/>
  <c r="P1114" i="1"/>
  <c r="O1114" i="1"/>
  <c r="N1114" i="1"/>
  <c r="M1114" i="1"/>
  <c r="L1114" i="1"/>
  <c r="K1114" i="1"/>
  <c r="J1114" i="1"/>
  <c r="X1113" i="1"/>
  <c r="W1113" i="1"/>
  <c r="T1113" i="1"/>
  <c r="P1113" i="1"/>
  <c r="O1113" i="1"/>
  <c r="N1113" i="1"/>
  <c r="M1113" i="1"/>
  <c r="L1113" i="1"/>
  <c r="K1113" i="1"/>
  <c r="J1113" i="1"/>
  <c r="X1112" i="1"/>
  <c r="W1112" i="1"/>
  <c r="T1112" i="1"/>
  <c r="P1112" i="1"/>
  <c r="O1112" i="1"/>
  <c r="N1112" i="1"/>
  <c r="M1112" i="1"/>
  <c r="L1112" i="1"/>
  <c r="K1112" i="1"/>
  <c r="J1112" i="1"/>
  <c r="X1111" i="1"/>
  <c r="W1111" i="1"/>
  <c r="T1111" i="1"/>
  <c r="P1111" i="1"/>
  <c r="O1111" i="1"/>
  <c r="N1111" i="1"/>
  <c r="M1111" i="1"/>
  <c r="L1111" i="1"/>
  <c r="K1111" i="1"/>
  <c r="J1111" i="1"/>
  <c r="X1110" i="1"/>
  <c r="W1110" i="1"/>
  <c r="T1110" i="1"/>
  <c r="P1110" i="1"/>
  <c r="O1110" i="1"/>
  <c r="N1110" i="1"/>
  <c r="M1110" i="1"/>
  <c r="L1110" i="1"/>
  <c r="K1110" i="1"/>
  <c r="J1110" i="1"/>
  <c r="X1109" i="1"/>
  <c r="W1109" i="1"/>
  <c r="T1109" i="1"/>
  <c r="P1109" i="1"/>
  <c r="O1109" i="1"/>
  <c r="N1109" i="1"/>
  <c r="M1109" i="1"/>
  <c r="L1109" i="1"/>
  <c r="K1109" i="1"/>
  <c r="J1109" i="1"/>
  <c r="W1108" i="1"/>
  <c r="X1108" i="1" s="1"/>
  <c r="T1108" i="1"/>
  <c r="P1108" i="1"/>
  <c r="O1108" i="1"/>
  <c r="N1108" i="1"/>
  <c r="M1108" i="1"/>
  <c r="L1108" i="1"/>
  <c r="K1108" i="1"/>
  <c r="J1108" i="1"/>
  <c r="X1107" i="1"/>
  <c r="W1107" i="1"/>
  <c r="T1107" i="1"/>
  <c r="P1107" i="1"/>
  <c r="O1107" i="1"/>
  <c r="N1107" i="1"/>
  <c r="M1107" i="1"/>
  <c r="L1107" i="1"/>
  <c r="K1107" i="1"/>
  <c r="J1107" i="1"/>
  <c r="X1106" i="1"/>
  <c r="W1106" i="1"/>
  <c r="T1106" i="1"/>
  <c r="P1106" i="1"/>
  <c r="O1106" i="1"/>
  <c r="N1106" i="1"/>
  <c r="M1106" i="1"/>
  <c r="L1106" i="1"/>
  <c r="K1106" i="1"/>
  <c r="J1106" i="1"/>
  <c r="X1105" i="1"/>
  <c r="W1105" i="1"/>
  <c r="T1105" i="1"/>
  <c r="P1105" i="1"/>
  <c r="O1105" i="1"/>
  <c r="N1105" i="1"/>
  <c r="M1105" i="1"/>
  <c r="L1105" i="1"/>
  <c r="K1105" i="1"/>
  <c r="J1105" i="1"/>
  <c r="W1104" i="1"/>
  <c r="X1104" i="1" s="1"/>
  <c r="T1104" i="1"/>
  <c r="P1104" i="1"/>
  <c r="O1104" i="1"/>
  <c r="N1104" i="1"/>
  <c r="M1104" i="1"/>
  <c r="L1104" i="1"/>
  <c r="K1104" i="1"/>
  <c r="J1104" i="1"/>
  <c r="X1103" i="1"/>
  <c r="W1103" i="1"/>
  <c r="T1103" i="1"/>
  <c r="P1103" i="1"/>
  <c r="O1103" i="1"/>
  <c r="N1103" i="1"/>
  <c r="M1103" i="1"/>
  <c r="L1103" i="1"/>
  <c r="K1103" i="1"/>
  <c r="J1103" i="1"/>
  <c r="X1102" i="1"/>
  <c r="W1102" i="1"/>
  <c r="T1102" i="1"/>
  <c r="P1102" i="1"/>
  <c r="O1102" i="1"/>
  <c r="N1102" i="1"/>
  <c r="M1102" i="1"/>
  <c r="L1102" i="1"/>
  <c r="K1102" i="1"/>
  <c r="J1102" i="1"/>
  <c r="X1101" i="1"/>
  <c r="W1101" i="1"/>
  <c r="T1101" i="1"/>
  <c r="P1101" i="1"/>
  <c r="O1101" i="1"/>
  <c r="N1101" i="1"/>
  <c r="M1101" i="1"/>
  <c r="L1101" i="1"/>
  <c r="K1101" i="1"/>
  <c r="J1101" i="1"/>
  <c r="W1100" i="1"/>
  <c r="X1100" i="1" s="1"/>
  <c r="T1100" i="1"/>
  <c r="P1100" i="1"/>
  <c r="O1100" i="1"/>
  <c r="N1100" i="1"/>
  <c r="M1100" i="1"/>
  <c r="L1100" i="1"/>
  <c r="K1100" i="1"/>
  <c r="J1100" i="1"/>
  <c r="X1099" i="1"/>
  <c r="W1099" i="1"/>
  <c r="T1099" i="1"/>
  <c r="P1099" i="1"/>
  <c r="O1099" i="1"/>
  <c r="N1099" i="1"/>
  <c r="M1099" i="1"/>
  <c r="L1099" i="1"/>
  <c r="K1099" i="1"/>
  <c r="J1099" i="1"/>
  <c r="X1098" i="1"/>
  <c r="W1098" i="1"/>
  <c r="T1098" i="1"/>
  <c r="P1098" i="1"/>
  <c r="O1098" i="1"/>
  <c r="N1098" i="1"/>
  <c r="M1098" i="1"/>
  <c r="L1098" i="1"/>
  <c r="K1098" i="1"/>
  <c r="J1098" i="1"/>
  <c r="X1097" i="1"/>
  <c r="W1097" i="1"/>
  <c r="T1097" i="1"/>
  <c r="P1097" i="1"/>
  <c r="O1097" i="1"/>
  <c r="N1097" i="1"/>
  <c r="M1097" i="1"/>
  <c r="L1097" i="1"/>
  <c r="K1097" i="1"/>
  <c r="J1097" i="1"/>
  <c r="W1096" i="1"/>
  <c r="X1096" i="1" s="1"/>
  <c r="T1096" i="1"/>
  <c r="P1096" i="1"/>
  <c r="O1096" i="1"/>
  <c r="N1096" i="1"/>
  <c r="M1096" i="1"/>
  <c r="L1096" i="1"/>
  <c r="K1096" i="1"/>
  <c r="J1096" i="1"/>
  <c r="X1095" i="1"/>
  <c r="W1095" i="1"/>
  <c r="T1095" i="1"/>
  <c r="P1095" i="1"/>
  <c r="O1095" i="1"/>
  <c r="N1095" i="1"/>
  <c r="M1095" i="1"/>
  <c r="L1095" i="1"/>
  <c r="K1095" i="1"/>
  <c r="J1095" i="1"/>
  <c r="X1094" i="1"/>
  <c r="W1094" i="1"/>
  <c r="T1094" i="1"/>
  <c r="P1094" i="1"/>
  <c r="O1094" i="1"/>
  <c r="N1094" i="1"/>
  <c r="M1094" i="1"/>
  <c r="L1094" i="1"/>
  <c r="K1094" i="1"/>
  <c r="J1094" i="1"/>
  <c r="X1093" i="1"/>
  <c r="W1093" i="1"/>
  <c r="T1093" i="1"/>
  <c r="P1093" i="1"/>
  <c r="O1093" i="1"/>
  <c r="N1093" i="1"/>
  <c r="M1093" i="1"/>
  <c r="L1093" i="1"/>
  <c r="K1093" i="1"/>
  <c r="J1093" i="1"/>
  <c r="W1092" i="1"/>
  <c r="X1092" i="1" s="1"/>
  <c r="T1092" i="1"/>
  <c r="P1092" i="1"/>
  <c r="O1092" i="1"/>
  <c r="N1092" i="1"/>
  <c r="M1092" i="1"/>
  <c r="L1092" i="1"/>
  <c r="K1092" i="1"/>
  <c r="J1092" i="1"/>
  <c r="X1091" i="1"/>
  <c r="W1091" i="1"/>
  <c r="T1091" i="1"/>
  <c r="P1091" i="1"/>
  <c r="O1091" i="1"/>
  <c r="N1091" i="1"/>
  <c r="M1091" i="1"/>
  <c r="L1091" i="1"/>
  <c r="K1091" i="1"/>
  <c r="J1091" i="1"/>
  <c r="X1090" i="1"/>
  <c r="W1090" i="1"/>
  <c r="T1090" i="1"/>
  <c r="P1090" i="1"/>
  <c r="O1090" i="1"/>
  <c r="N1090" i="1"/>
  <c r="M1090" i="1"/>
  <c r="L1090" i="1"/>
  <c r="K1090" i="1"/>
  <c r="J1090" i="1"/>
  <c r="X1089" i="1"/>
  <c r="W1089" i="1"/>
  <c r="T1089" i="1"/>
  <c r="P1089" i="1"/>
  <c r="O1089" i="1"/>
  <c r="N1089" i="1"/>
  <c r="M1089" i="1"/>
  <c r="L1089" i="1"/>
  <c r="K1089" i="1"/>
  <c r="J1089" i="1"/>
  <c r="W1088" i="1"/>
  <c r="X1088" i="1" s="1"/>
  <c r="T1088" i="1"/>
  <c r="P1088" i="1"/>
  <c r="O1088" i="1"/>
  <c r="N1088" i="1"/>
  <c r="M1088" i="1"/>
  <c r="L1088" i="1"/>
  <c r="K1088" i="1"/>
  <c r="J1088" i="1"/>
  <c r="X1087" i="1"/>
  <c r="W1087" i="1"/>
  <c r="T1087" i="1"/>
  <c r="P1087" i="1"/>
  <c r="O1087" i="1"/>
  <c r="N1087" i="1"/>
  <c r="M1087" i="1"/>
  <c r="L1087" i="1"/>
  <c r="K1087" i="1"/>
  <c r="J1087" i="1"/>
  <c r="X1086" i="1"/>
  <c r="W1086" i="1"/>
  <c r="T1086" i="1"/>
  <c r="P1086" i="1"/>
  <c r="O1086" i="1"/>
  <c r="N1086" i="1"/>
  <c r="M1086" i="1"/>
  <c r="L1086" i="1"/>
  <c r="K1086" i="1"/>
  <c r="J1086" i="1"/>
  <c r="X1085" i="1"/>
  <c r="W1085" i="1"/>
  <c r="T1085" i="1"/>
  <c r="P1085" i="1"/>
  <c r="O1085" i="1"/>
  <c r="N1085" i="1"/>
  <c r="M1085" i="1"/>
  <c r="L1085" i="1"/>
  <c r="K1085" i="1"/>
  <c r="J1085" i="1"/>
  <c r="W1084" i="1"/>
  <c r="X1084" i="1" s="1"/>
  <c r="T1084" i="1"/>
  <c r="P1084" i="1"/>
  <c r="O1084" i="1"/>
  <c r="N1084" i="1"/>
  <c r="M1084" i="1"/>
  <c r="L1084" i="1"/>
  <c r="K1084" i="1"/>
  <c r="J1084" i="1"/>
  <c r="X1083" i="1"/>
  <c r="W1083" i="1"/>
  <c r="T1083" i="1"/>
  <c r="P1083" i="1"/>
  <c r="O1083" i="1"/>
  <c r="N1083" i="1"/>
  <c r="M1083" i="1"/>
  <c r="L1083" i="1"/>
  <c r="K1083" i="1"/>
  <c r="J1083" i="1"/>
  <c r="X1082" i="1"/>
  <c r="W1082" i="1"/>
  <c r="T1082" i="1"/>
  <c r="P1082" i="1"/>
  <c r="O1082" i="1"/>
  <c r="N1082" i="1"/>
  <c r="M1082" i="1"/>
  <c r="L1082" i="1"/>
  <c r="K1082" i="1"/>
  <c r="J1082" i="1"/>
  <c r="X1081" i="1"/>
  <c r="W1081" i="1"/>
  <c r="T1081" i="1"/>
  <c r="P1081" i="1"/>
  <c r="O1081" i="1"/>
  <c r="N1081" i="1"/>
  <c r="M1081" i="1"/>
  <c r="L1081" i="1"/>
  <c r="K1081" i="1"/>
  <c r="J1081" i="1"/>
  <c r="W1080" i="1"/>
  <c r="X1080" i="1" s="1"/>
  <c r="T1080" i="1"/>
  <c r="P1080" i="1"/>
  <c r="O1080" i="1"/>
  <c r="N1080" i="1"/>
  <c r="M1080" i="1"/>
  <c r="L1080" i="1"/>
  <c r="K1080" i="1"/>
  <c r="J1080" i="1"/>
  <c r="X1079" i="1"/>
  <c r="W1079" i="1"/>
  <c r="T1079" i="1"/>
  <c r="P1079" i="1"/>
  <c r="O1079" i="1"/>
  <c r="N1079" i="1"/>
  <c r="M1079" i="1"/>
  <c r="L1079" i="1"/>
  <c r="K1079" i="1"/>
  <c r="J1079" i="1"/>
  <c r="X1078" i="1"/>
  <c r="W1078" i="1"/>
  <c r="T1078" i="1"/>
  <c r="P1078" i="1"/>
  <c r="O1078" i="1"/>
  <c r="N1078" i="1"/>
  <c r="M1078" i="1"/>
  <c r="L1078" i="1"/>
  <c r="K1078" i="1"/>
  <c r="J1078" i="1"/>
  <c r="X1077" i="1"/>
  <c r="W1077" i="1"/>
  <c r="T1077" i="1"/>
  <c r="P1077" i="1"/>
  <c r="O1077" i="1"/>
  <c r="N1077" i="1"/>
  <c r="M1077" i="1"/>
  <c r="L1077" i="1"/>
  <c r="K1077" i="1"/>
  <c r="J1077" i="1"/>
  <c r="W1076" i="1"/>
  <c r="X1076" i="1" s="1"/>
  <c r="T1076" i="1"/>
  <c r="P1076" i="1"/>
  <c r="O1076" i="1"/>
  <c r="N1076" i="1"/>
  <c r="M1076" i="1"/>
  <c r="L1076" i="1"/>
  <c r="K1076" i="1"/>
  <c r="J1076" i="1"/>
  <c r="X1075" i="1"/>
  <c r="W1075" i="1"/>
  <c r="T1075" i="1"/>
  <c r="P1075" i="1"/>
  <c r="O1075" i="1"/>
  <c r="N1075" i="1"/>
  <c r="M1075" i="1"/>
  <c r="L1075" i="1"/>
  <c r="K1075" i="1"/>
  <c r="J1075" i="1"/>
  <c r="X1074" i="1"/>
  <c r="W1074" i="1"/>
  <c r="T1074" i="1"/>
  <c r="P1074" i="1"/>
  <c r="O1074" i="1"/>
  <c r="N1074" i="1"/>
  <c r="M1074" i="1"/>
  <c r="L1074" i="1"/>
  <c r="K1074" i="1"/>
  <c r="J1074" i="1"/>
  <c r="X1073" i="1"/>
  <c r="W1073" i="1"/>
  <c r="T1073" i="1"/>
  <c r="P1073" i="1"/>
  <c r="O1073" i="1"/>
  <c r="N1073" i="1"/>
  <c r="M1073" i="1"/>
  <c r="L1073" i="1"/>
  <c r="K1073" i="1"/>
  <c r="J1073" i="1"/>
  <c r="W1072" i="1"/>
  <c r="X1072" i="1" s="1"/>
  <c r="T1072" i="1"/>
  <c r="P1072" i="1"/>
  <c r="O1072" i="1"/>
  <c r="N1072" i="1"/>
  <c r="M1072" i="1"/>
  <c r="L1072" i="1"/>
  <c r="K1072" i="1"/>
  <c r="J1072" i="1"/>
  <c r="X1071" i="1"/>
  <c r="W1071" i="1"/>
  <c r="T1071" i="1"/>
  <c r="P1071" i="1"/>
  <c r="O1071" i="1"/>
  <c r="N1071" i="1"/>
  <c r="M1071" i="1"/>
  <c r="L1071" i="1"/>
  <c r="K1071" i="1"/>
  <c r="J1071" i="1"/>
  <c r="X1070" i="1"/>
  <c r="W1070" i="1"/>
  <c r="T1070" i="1"/>
  <c r="P1070" i="1"/>
  <c r="O1070" i="1"/>
  <c r="N1070" i="1"/>
  <c r="M1070" i="1"/>
  <c r="L1070" i="1"/>
  <c r="K1070" i="1"/>
  <c r="J1070" i="1"/>
  <c r="X1069" i="1"/>
  <c r="W1069" i="1"/>
  <c r="T1069" i="1"/>
  <c r="P1069" i="1"/>
  <c r="O1069" i="1"/>
  <c r="N1069" i="1"/>
  <c r="M1069" i="1"/>
  <c r="L1069" i="1"/>
  <c r="K1069" i="1"/>
  <c r="J1069" i="1"/>
  <c r="W1068" i="1"/>
  <c r="X1068" i="1" s="1"/>
  <c r="T1068" i="1"/>
  <c r="P1068" i="1"/>
  <c r="O1068" i="1"/>
  <c r="N1068" i="1"/>
  <c r="M1068" i="1"/>
  <c r="L1068" i="1"/>
  <c r="K1068" i="1"/>
  <c r="J1068" i="1"/>
  <c r="X1067" i="1"/>
  <c r="W1067" i="1"/>
  <c r="T1067" i="1"/>
  <c r="P1067" i="1"/>
  <c r="O1067" i="1"/>
  <c r="N1067" i="1"/>
  <c r="M1067" i="1"/>
  <c r="L1067" i="1"/>
  <c r="K1067" i="1"/>
  <c r="J1067" i="1"/>
  <c r="X1066" i="1"/>
  <c r="W1066" i="1"/>
  <c r="T1066" i="1"/>
  <c r="P1066" i="1"/>
  <c r="O1066" i="1"/>
  <c r="N1066" i="1"/>
  <c r="M1066" i="1"/>
  <c r="L1066" i="1"/>
  <c r="K1066" i="1"/>
  <c r="J1066" i="1"/>
  <c r="X1065" i="1"/>
  <c r="W1065" i="1"/>
  <c r="T1065" i="1"/>
  <c r="P1065" i="1"/>
  <c r="O1065" i="1"/>
  <c r="N1065" i="1"/>
  <c r="M1065" i="1"/>
  <c r="L1065" i="1"/>
  <c r="K1065" i="1"/>
  <c r="J1065" i="1"/>
  <c r="W1064" i="1"/>
  <c r="X1064" i="1" s="1"/>
  <c r="T1064" i="1"/>
  <c r="P1064" i="1"/>
  <c r="O1064" i="1"/>
  <c r="N1064" i="1"/>
  <c r="M1064" i="1"/>
  <c r="L1064" i="1"/>
  <c r="K1064" i="1"/>
  <c r="J1064" i="1"/>
  <c r="X1063" i="1"/>
  <c r="W1063" i="1"/>
  <c r="T1063" i="1"/>
  <c r="P1063" i="1"/>
  <c r="O1063" i="1"/>
  <c r="N1063" i="1"/>
  <c r="M1063" i="1"/>
  <c r="L1063" i="1"/>
  <c r="K1063" i="1"/>
  <c r="J1063" i="1"/>
  <c r="X1062" i="1"/>
  <c r="W1062" i="1"/>
  <c r="T1062" i="1"/>
  <c r="P1062" i="1"/>
  <c r="O1062" i="1"/>
  <c r="N1062" i="1"/>
  <c r="M1062" i="1"/>
  <c r="L1062" i="1"/>
  <c r="K1062" i="1"/>
  <c r="J1062" i="1"/>
  <c r="X1061" i="1"/>
  <c r="W1061" i="1"/>
  <c r="T1061" i="1"/>
  <c r="P1061" i="1"/>
  <c r="O1061" i="1"/>
  <c r="N1061" i="1"/>
  <c r="M1061" i="1"/>
  <c r="L1061" i="1"/>
  <c r="K1061" i="1"/>
  <c r="J1061" i="1"/>
  <c r="W1060" i="1"/>
  <c r="X1060" i="1" s="1"/>
  <c r="T1060" i="1"/>
  <c r="P1060" i="1"/>
  <c r="O1060" i="1"/>
  <c r="N1060" i="1"/>
  <c r="M1060" i="1"/>
  <c r="L1060" i="1"/>
  <c r="K1060" i="1"/>
  <c r="J1060" i="1"/>
  <c r="X1059" i="1"/>
  <c r="W1059" i="1"/>
  <c r="T1059" i="1"/>
  <c r="P1059" i="1"/>
  <c r="O1059" i="1"/>
  <c r="N1059" i="1"/>
  <c r="M1059" i="1"/>
  <c r="L1059" i="1"/>
  <c r="K1059" i="1"/>
  <c r="J1059" i="1"/>
  <c r="X1058" i="1"/>
  <c r="W1058" i="1"/>
  <c r="T1058" i="1"/>
  <c r="P1058" i="1"/>
  <c r="O1058" i="1"/>
  <c r="N1058" i="1"/>
  <c r="M1058" i="1"/>
  <c r="L1058" i="1"/>
  <c r="K1058" i="1"/>
  <c r="J1058" i="1"/>
  <c r="X1057" i="1"/>
  <c r="W1057" i="1"/>
  <c r="T1057" i="1"/>
  <c r="P1057" i="1"/>
  <c r="O1057" i="1"/>
  <c r="N1057" i="1"/>
  <c r="M1057" i="1"/>
  <c r="L1057" i="1"/>
  <c r="K1057" i="1"/>
  <c r="J1057" i="1"/>
  <c r="W1056" i="1"/>
  <c r="X1056" i="1" s="1"/>
  <c r="T1056" i="1"/>
  <c r="P1056" i="1"/>
  <c r="O1056" i="1"/>
  <c r="N1056" i="1"/>
  <c r="M1056" i="1"/>
  <c r="L1056" i="1"/>
  <c r="K1056" i="1"/>
  <c r="J1056" i="1"/>
  <c r="X1055" i="1"/>
  <c r="W1055" i="1"/>
  <c r="T1055" i="1"/>
  <c r="P1055" i="1"/>
  <c r="O1055" i="1"/>
  <c r="N1055" i="1"/>
  <c r="M1055" i="1"/>
  <c r="L1055" i="1"/>
  <c r="K1055" i="1"/>
  <c r="J1055" i="1"/>
  <c r="X1054" i="1"/>
  <c r="W1054" i="1"/>
  <c r="T1054" i="1"/>
  <c r="P1054" i="1"/>
  <c r="O1054" i="1"/>
  <c r="N1054" i="1"/>
  <c r="M1054" i="1"/>
  <c r="L1054" i="1"/>
  <c r="K1054" i="1"/>
  <c r="J1054" i="1"/>
  <c r="X1053" i="1"/>
  <c r="W1053" i="1"/>
  <c r="T1053" i="1"/>
  <c r="P1053" i="1"/>
  <c r="O1053" i="1"/>
  <c r="N1053" i="1"/>
  <c r="M1053" i="1"/>
  <c r="L1053" i="1"/>
  <c r="K1053" i="1"/>
  <c r="J1053" i="1"/>
  <c r="W1052" i="1"/>
  <c r="X1052" i="1" s="1"/>
  <c r="T1052" i="1"/>
  <c r="P1052" i="1"/>
  <c r="O1052" i="1"/>
  <c r="N1052" i="1"/>
  <c r="M1052" i="1"/>
  <c r="L1052" i="1"/>
  <c r="K1052" i="1"/>
  <c r="J1052" i="1"/>
  <c r="X1051" i="1"/>
  <c r="W1051" i="1"/>
  <c r="T1051" i="1"/>
  <c r="P1051" i="1"/>
  <c r="O1051" i="1"/>
  <c r="N1051" i="1"/>
  <c r="M1051" i="1"/>
  <c r="L1051" i="1"/>
  <c r="K1051" i="1"/>
  <c r="J1051" i="1"/>
  <c r="X1050" i="1"/>
  <c r="W1050" i="1"/>
  <c r="T1050" i="1"/>
  <c r="P1050" i="1"/>
  <c r="O1050" i="1"/>
  <c r="N1050" i="1"/>
  <c r="M1050" i="1"/>
  <c r="L1050" i="1"/>
  <c r="K1050" i="1"/>
  <c r="J1050" i="1"/>
  <c r="X1049" i="1"/>
  <c r="W1049" i="1"/>
  <c r="T1049" i="1"/>
  <c r="P1049" i="1"/>
  <c r="O1049" i="1"/>
  <c r="N1049" i="1"/>
  <c r="M1049" i="1"/>
  <c r="L1049" i="1"/>
  <c r="K1049" i="1"/>
  <c r="J1049" i="1"/>
  <c r="W1048" i="1"/>
  <c r="X1048" i="1" s="1"/>
  <c r="T1048" i="1"/>
  <c r="P1048" i="1"/>
  <c r="O1048" i="1"/>
  <c r="N1048" i="1"/>
  <c r="M1048" i="1"/>
  <c r="L1048" i="1"/>
  <c r="K1048" i="1"/>
  <c r="J1048" i="1"/>
  <c r="X1047" i="1"/>
  <c r="W1047" i="1"/>
  <c r="T1047" i="1"/>
  <c r="P1047" i="1"/>
  <c r="O1047" i="1"/>
  <c r="N1047" i="1"/>
  <c r="M1047" i="1"/>
  <c r="L1047" i="1"/>
  <c r="K1047" i="1"/>
  <c r="J1047" i="1"/>
  <c r="X1046" i="1"/>
  <c r="W1046" i="1"/>
  <c r="T1046" i="1"/>
  <c r="P1046" i="1"/>
  <c r="O1046" i="1"/>
  <c r="N1046" i="1"/>
  <c r="M1046" i="1"/>
  <c r="L1046" i="1"/>
  <c r="K1046" i="1"/>
  <c r="J1046" i="1"/>
  <c r="X1045" i="1"/>
  <c r="W1045" i="1"/>
  <c r="T1045" i="1"/>
  <c r="P1045" i="1"/>
  <c r="O1045" i="1"/>
  <c r="N1045" i="1"/>
  <c r="M1045" i="1"/>
  <c r="L1045" i="1"/>
  <c r="K1045" i="1"/>
  <c r="J1045" i="1"/>
  <c r="W1044" i="1"/>
  <c r="X1044" i="1" s="1"/>
  <c r="T1044" i="1"/>
  <c r="P1044" i="1"/>
  <c r="O1044" i="1"/>
  <c r="N1044" i="1"/>
  <c r="M1044" i="1"/>
  <c r="L1044" i="1"/>
  <c r="K1044" i="1"/>
  <c r="J1044" i="1"/>
  <c r="X1043" i="1"/>
  <c r="W1043" i="1"/>
  <c r="T1043" i="1"/>
  <c r="P1043" i="1"/>
  <c r="O1043" i="1"/>
  <c r="N1043" i="1"/>
  <c r="M1043" i="1"/>
  <c r="L1043" i="1"/>
  <c r="K1043" i="1"/>
  <c r="J1043" i="1"/>
  <c r="X1042" i="1"/>
  <c r="W1042" i="1"/>
  <c r="T1042" i="1"/>
  <c r="P1042" i="1"/>
  <c r="O1042" i="1"/>
  <c r="N1042" i="1"/>
  <c r="M1042" i="1"/>
  <c r="L1042" i="1"/>
  <c r="K1042" i="1"/>
  <c r="J1042" i="1"/>
  <c r="X1041" i="1"/>
  <c r="W1041" i="1"/>
  <c r="T1041" i="1"/>
  <c r="P1041" i="1"/>
  <c r="O1041" i="1"/>
  <c r="N1041" i="1"/>
  <c r="M1041" i="1"/>
  <c r="L1041" i="1"/>
  <c r="K1041" i="1"/>
  <c r="J1041" i="1"/>
  <c r="W1040" i="1"/>
  <c r="X1040" i="1" s="1"/>
  <c r="T1040" i="1"/>
  <c r="P1040" i="1"/>
  <c r="O1040" i="1"/>
  <c r="N1040" i="1"/>
  <c r="M1040" i="1"/>
  <c r="L1040" i="1"/>
  <c r="K1040" i="1"/>
  <c r="J1040" i="1"/>
  <c r="X1039" i="1"/>
  <c r="W1039" i="1"/>
  <c r="T1039" i="1"/>
  <c r="P1039" i="1"/>
  <c r="O1039" i="1"/>
  <c r="N1039" i="1"/>
  <c r="M1039" i="1"/>
  <c r="L1039" i="1"/>
  <c r="K1039" i="1"/>
  <c r="J1039" i="1"/>
  <c r="X1038" i="1"/>
  <c r="W1038" i="1"/>
  <c r="T1038" i="1"/>
  <c r="P1038" i="1"/>
  <c r="O1038" i="1"/>
  <c r="N1038" i="1"/>
  <c r="M1038" i="1"/>
  <c r="L1038" i="1"/>
  <c r="K1038" i="1"/>
  <c r="J1038" i="1"/>
  <c r="X1037" i="1"/>
  <c r="W1037" i="1"/>
  <c r="T1037" i="1"/>
  <c r="P1037" i="1"/>
  <c r="O1037" i="1"/>
  <c r="N1037" i="1"/>
  <c r="M1037" i="1"/>
  <c r="L1037" i="1"/>
  <c r="K1037" i="1"/>
  <c r="J1037" i="1"/>
  <c r="W1036" i="1"/>
  <c r="X1036" i="1" s="1"/>
  <c r="T1036" i="1"/>
  <c r="P1036" i="1"/>
  <c r="O1036" i="1"/>
  <c r="N1036" i="1"/>
  <c r="M1036" i="1"/>
  <c r="L1036" i="1"/>
  <c r="K1036" i="1"/>
  <c r="J1036" i="1"/>
  <c r="X1035" i="1"/>
  <c r="W1035" i="1"/>
  <c r="T1035" i="1"/>
  <c r="P1035" i="1"/>
  <c r="O1035" i="1"/>
  <c r="N1035" i="1"/>
  <c r="M1035" i="1"/>
  <c r="L1035" i="1"/>
  <c r="K1035" i="1"/>
  <c r="J1035" i="1"/>
  <c r="X1034" i="1"/>
  <c r="W1034" i="1"/>
  <c r="T1034" i="1"/>
  <c r="P1034" i="1"/>
  <c r="O1034" i="1"/>
  <c r="N1034" i="1"/>
  <c r="M1034" i="1"/>
  <c r="L1034" i="1"/>
  <c r="K1034" i="1"/>
  <c r="J1034" i="1"/>
  <c r="X1033" i="1"/>
  <c r="W1033" i="1"/>
  <c r="T1033" i="1"/>
  <c r="P1033" i="1"/>
  <c r="O1033" i="1"/>
  <c r="N1033" i="1"/>
  <c r="M1033" i="1"/>
  <c r="L1033" i="1"/>
  <c r="K1033" i="1"/>
  <c r="J1033" i="1"/>
  <c r="W1032" i="1"/>
  <c r="X1032" i="1" s="1"/>
  <c r="T1032" i="1"/>
  <c r="P1032" i="1"/>
  <c r="O1032" i="1"/>
  <c r="N1032" i="1"/>
  <c r="M1032" i="1"/>
  <c r="L1032" i="1"/>
  <c r="K1032" i="1"/>
  <c r="J1032" i="1"/>
  <c r="X1031" i="1"/>
  <c r="W1031" i="1"/>
  <c r="T1031" i="1"/>
  <c r="P1031" i="1"/>
  <c r="O1031" i="1"/>
  <c r="N1031" i="1"/>
  <c r="M1031" i="1"/>
  <c r="L1031" i="1"/>
  <c r="K1031" i="1"/>
  <c r="J1031" i="1"/>
  <c r="X1030" i="1"/>
  <c r="W1030" i="1"/>
  <c r="T1030" i="1"/>
  <c r="P1030" i="1"/>
  <c r="O1030" i="1"/>
  <c r="N1030" i="1"/>
  <c r="M1030" i="1"/>
  <c r="L1030" i="1"/>
  <c r="K1030" i="1"/>
  <c r="J1030" i="1"/>
  <c r="X1029" i="1"/>
  <c r="W1029" i="1"/>
  <c r="T1029" i="1"/>
  <c r="P1029" i="1"/>
  <c r="O1029" i="1"/>
  <c r="N1029" i="1"/>
  <c r="M1029" i="1"/>
  <c r="L1029" i="1"/>
  <c r="K1029" i="1"/>
  <c r="J1029" i="1"/>
  <c r="W1028" i="1"/>
  <c r="X1028" i="1" s="1"/>
  <c r="T1028" i="1"/>
  <c r="P1028" i="1"/>
  <c r="O1028" i="1"/>
  <c r="N1028" i="1"/>
  <c r="M1028" i="1"/>
  <c r="L1028" i="1"/>
  <c r="K1028" i="1"/>
  <c r="J1028" i="1"/>
  <c r="X1027" i="1"/>
  <c r="W1027" i="1"/>
  <c r="T1027" i="1"/>
  <c r="P1027" i="1"/>
  <c r="O1027" i="1"/>
  <c r="N1027" i="1"/>
  <c r="M1027" i="1"/>
  <c r="L1027" i="1"/>
  <c r="K1027" i="1"/>
  <c r="J1027" i="1"/>
  <c r="X1026" i="1"/>
  <c r="W1026" i="1"/>
  <c r="T1026" i="1"/>
  <c r="P1026" i="1"/>
  <c r="O1026" i="1"/>
  <c r="N1026" i="1"/>
  <c r="M1026" i="1"/>
  <c r="L1026" i="1"/>
  <c r="K1026" i="1"/>
  <c r="J1026" i="1"/>
  <c r="X1025" i="1"/>
  <c r="W1025" i="1"/>
  <c r="T1025" i="1"/>
  <c r="P1025" i="1"/>
  <c r="O1025" i="1"/>
  <c r="N1025" i="1"/>
  <c r="M1025" i="1"/>
  <c r="L1025" i="1"/>
  <c r="K1025" i="1"/>
  <c r="J1025" i="1"/>
  <c r="W1024" i="1"/>
  <c r="X1024" i="1" s="1"/>
  <c r="T1024" i="1"/>
  <c r="P1024" i="1"/>
  <c r="O1024" i="1"/>
  <c r="N1024" i="1"/>
  <c r="M1024" i="1"/>
  <c r="L1024" i="1"/>
  <c r="K1024" i="1"/>
  <c r="J1024" i="1"/>
  <c r="X1023" i="1"/>
  <c r="W1023" i="1"/>
  <c r="T1023" i="1"/>
  <c r="P1023" i="1"/>
  <c r="O1023" i="1"/>
  <c r="N1023" i="1"/>
  <c r="M1023" i="1"/>
  <c r="L1023" i="1"/>
  <c r="K1023" i="1"/>
  <c r="J1023" i="1"/>
  <c r="X1022" i="1"/>
  <c r="W1022" i="1"/>
  <c r="T1022" i="1"/>
  <c r="P1022" i="1"/>
  <c r="O1022" i="1"/>
  <c r="N1022" i="1"/>
  <c r="M1022" i="1"/>
  <c r="L1022" i="1"/>
  <c r="K1022" i="1"/>
  <c r="J1022" i="1"/>
  <c r="X1021" i="1"/>
  <c r="W1021" i="1"/>
  <c r="T1021" i="1"/>
  <c r="P1021" i="1"/>
  <c r="O1021" i="1"/>
  <c r="N1021" i="1"/>
  <c r="M1021" i="1"/>
  <c r="L1021" i="1"/>
  <c r="K1021" i="1"/>
  <c r="J1021" i="1"/>
  <c r="W1020" i="1"/>
  <c r="X1020" i="1" s="1"/>
  <c r="T1020" i="1"/>
  <c r="P1020" i="1"/>
  <c r="O1020" i="1"/>
  <c r="N1020" i="1"/>
  <c r="M1020" i="1"/>
  <c r="L1020" i="1"/>
  <c r="K1020" i="1"/>
  <c r="J1020" i="1"/>
  <c r="X1019" i="1"/>
  <c r="W1019" i="1"/>
  <c r="T1019" i="1"/>
  <c r="P1019" i="1"/>
  <c r="O1019" i="1"/>
  <c r="N1019" i="1"/>
  <c r="M1019" i="1"/>
  <c r="L1019" i="1"/>
  <c r="K1019" i="1"/>
  <c r="J1019" i="1"/>
  <c r="X1018" i="1"/>
  <c r="W1018" i="1"/>
  <c r="T1018" i="1"/>
  <c r="P1018" i="1"/>
  <c r="O1018" i="1"/>
  <c r="N1018" i="1"/>
  <c r="M1018" i="1"/>
  <c r="L1018" i="1"/>
  <c r="K1018" i="1"/>
  <c r="J1018" i="1"/>
  <c r="X1017" i="1"/>
  <c r="W1017" i="1"/>
  <c r="T1017" i="1"/>
  <c r="P1017" i="1"/>
  <c r="O1017" i="1"/>
  <c r="N1017" i="1"/>
  <c r="M1017" i="1"/>
  <c r="L1017" i="1"/>
  <c r="K1017" i="1"/>
  <c r="J1017" i="1"/>
  <c r="W1016" i="1"/>
  <c r="X1016" i="1" s="1"/>
  <c r="T1016" i="1"/>
  <c r="P1016" i="1"/>
  <c r="O1016" i="1"/>
  <c r="N1016" i="1"/>
  <c r="M1016" i="1"/>
  <c r="L1016" i="1"/>
  <c r="K1016" i="1"/>
  <c r="J1016" i="1"/>
  <c r="X1015" i="1"/>
  <c r="W1015" i="1"/>
  <c r="T1015" i="1"/>
  <c r="P1015" i="1"/>
  <c r="O1015" i="1"/>
  <c r="N1015" i="1"/>
  <c r="M1015" i="1"/>
  <c r="L1015" i="1"/>
  <c r="K1015" i="1"/>
  <c r="J1015" i="1"/>
  <c r="X1014" i="1"/>
  <c r="W1014" i="1"/>
  <c r="T1014" i="1"/>
  <c r="P1014" i="1"/>
  <c r="O1014" i="1"/>
  <c r="N1014" i="1"/>
  <c r="M1014" i="1"/>
  <c r="L1014" i="1"/>
  <c r="K1014" i="1"/>
  <c r="J1014" i="1"/>
  <c r="X1013" i="1"/>
  <c r="W1013" i="1"/>
  <c r="T1013" i="1"/>
  <c r="P1013" i="1"/>
  <c r="O1013" i="1"/>
  <c r="N1013" i="1"/>
  <c r="M1013" i="1"/>
  <c r="L1013" i="1"/>
  <c r="K1013" i="1"/>
  <c r="J1013" i="1"/>
  <c r="W1012" i="1"/>
  <c r="X1012" i="1" s="1"/>
  <c r="T1012" i="1"/>
  <c r="P1012" i="1"/>
  <c r="O1012" i="1"/>
  <c r="N1012" i="1"/>
  <c r="M1012" i="1"/>
  <c r="L1012" i="1"/>
  <c r="K1012" i="1"/>
  <c r="J1012" i="1"/>
  <c r="X1011" i="1"/>
  <c r="W1011" i="1"/>
  <c r="T1011" i="1"/>
  <c r="P1011" i="1"/>
  <c r="O1011" i="1"/>
  <c r="N1011" i="1"/>
  <c r="M1011" i="1"/>
  <c r="L1011" i="1"/>
  <c r="K1011" i="1"/>
  <c r="J1011" i="1"/>
  <c r="X1010" i="1"/>
  <c r="W1010" i="1"/>
  <c r="T1010" i="1"/>
  <c r="P1010" i="1"/>
  <c r="O1010" i="1"/>
  <c r="N1010" i="1"/>
  <c r="M1010" i="1"/>
  <c r="L1010" i="1"/>
  <c r="K1010" i="1"/>
  <c r="J1010" i="1"/>
  <c r="X1009" i="1"/>
  <c r="W1009" i="1"/>
  <c r="T1009" i="1"/>
  <c r="P1009" i="1"/>
  <c r="O1009" i="1"/>
  <c r="N1009" i="1"/>
  <c r="M1009" i="1"/>
  <c r="L1009" i="1"/>
  <c r="K1009" i="1"/>
  <c r="J1009" i="1"/>
  <c r="W1008" i="1"/>
  <c r="X1008" i="1" s="1"/>
  <c r="T1008" i="1"/>
  <c r="P1008" i="1"/>
  <c r="O1008" i="1"/>
  <c r="N1008" i="1"/>
  <c r="M1008" i="1"/>
  <c r="L1008" i="1"/>
  <c r="K1008" i="1"/>
  <c r="J1008" i="1"/>
  <c r="X1007" i="1"/>
  <c r="W1007" i="1"/>
  <c r="T1007" i="1"/>
  <c r="P1007" i="1"/>
  <c r="O1007" i="1"/>
  <c r="N1007" i="1"/>
  <c r="M1007" i="1"/>
  <c r="L1007" i="1"/>
  <c r="K1007" i="1"/>
  <c r="J1007" i="1"/>
  <c r="AI1006" i="1"/>
  <c r="X1006" i="1"/>
  <c r="W1006" i="1"/>
  <c r="T1006" i="1"/>
  <c r="P1006" i="1"/>
  <c r="O1006" i="1"/>
  <c r="N1006" i="1"/>
  <c r="M1006" i="1"/>
  <c r="L1006" i="1"/>
  <c r="K1006" i="1"/>
  <c r="J1006" i="1"/>
  <c r="AI1005" i="1"/>
  <c r="W1005" i="1"/>
  <c r="X1005" i="1" s="1"/>
  <c r="T1005" i="1"/>
  <c r="P1005" i="1"/>
  <c r="O1005" i="1"/>
  <c r="N1005" i="1"/>
  <c r="M1005" i="1"/>
  <c r="L1005" i="1"/>
  <c r="K1005" i="1"/>
  <c r="J1005" i="1"/>
  <c r="AI1004" i="1"/>
  <c r="W1004" i="1"/>
  <c r="X1004" i="1" s="1"/>
  <c r="T1004" i="1"/>
  <c r="P1004" i="1"/>
  <c r="O1004" i="1"/>
  <c r="N1004" i="1"/>
  <c r="M1004" i="1"/>
  <c r="L1004" i="1"/>
  <c r="K1004" i="1"/>
  <c r="J1004" i="1"/>
  <c r="AI1003" i="1"/>
  <c r="X1003" i="1"/>
  <c r="W1003" i="1"/>
  <c r="T1003" i="1"/>
  <c r="P1003" i="1"/>
  <c r="O1003" i="1"/>
  <c r="N1003" i="1"/>
  <c r="M1003" i="1"/>
  <c r="L1003" i="1"/>
  <c r="K1003" i="1"/>
  <c r="J1003" i="1"/>
  <c r="AI1002" i="1"/>
  <c r="W1002" i="1"/>
  <c r="X1002" i="1" s="1"/>
  <c r="T1002" i="1"/>
  <c r="P1002" i="1"/>
  <c r="O1002" i="1"/>
  <c r="N1002" i="1"/>
  <c r="M1002" i="1"/>
  <c r="L1002" i="1"/>
  <c r="K1002" i="1"/>
  <c r="J1002" i="1"/>
  <c r="AI1001" i="1"/>
  <c r="W1001" i="1"/>
  <c r="X1001" i="1" s="1"/>
  <c r="T1001" i="1"/>
  <c r="P1001" i="1"/>
  <c r="O1001" i="1"/>
  <c r="N1001" i="1"/>
  <c r="M1001" i="1"/>
  <c r="L1001" i="1"/>
  <c r="K1001" i="1"/>
  <c r="J1001" i="1"/>
  <c r="AI1000" i="1"/>
  <c r="W1000" i="1"/>
  <c r="X1000" i="1" s="1"/>
  <c r="T1000" i="1"/>
  <c r="P1000" i="1"/>
  <c r="O1000" i="1"/>
  <c r="N1000" i="1"/>
  <c r="M1000" i="1"/>
  <c r="L1000" i="1"/>
  <c r="K1000" i="1"/>
  <c r="J1000" i="1"/>
  <c r="AI999" i="1"/>
  <c r="X999" i="1"/>
  <c r="W999" i="1"/>
  <c r="T999" i="1"/>
  <c r="P999" i="1"/>
  <c r="O999" i="1"/>
  <c r="N999" i="1"/>
  <c r="M999" i="1"/>
  <c r="L999" i="1"/>
  <c r="K999" i="1"/>
  <c r="J999" i="1"/>
  <c r="AI998" i="1"/>
  <c r="X998" i="1"/>
  <c r="W998" i="1"/>
  <c r="T998" i="1"/>
  <c r="P998" i="1"/>
  <c r="O998" i="1"/>
  <c r="N998" i="1"/>
  <c r="M998" i="1"/>
  <c r="L998" i="1"/>
  <c r="K998" i="1"/>
  <c r="J998" i="1"/>
  <c r="AI997" i="1"/>
  <c r="W997" i="1"/>
  <c r="X997" i="1" s="1"/>
  <c r="T997" i="1"/>
  <c r="P997" i="1"/>
  <c r="O997" i="1"/>
  <c r="N997" i="1"/>
  <c r="M997" i="1"/>
  <c r="L997" i="1"/>
  <c r="K997" i="1"/>
  <c r="J997" i="1"/>
  <c r="AI996" i="1"/>
  <c r="W996" i="1"/>
  <c r="X996" i="1" s="1"/>
  <c r="T996" i="1"/>
  <c r="P996" i="1"/>
  <c r="O996" i="1"/>
  <c r="N996" i="1"/>
  <c r="M996" i="1"/>
  <c r="L996" i="1"/>
  <c r="K996" i="1"/>
  <c r="J996" i="1"/>
  <c r="AI995" i="1"/>
  <c r="X995" i="1"/>
  <c r="W995" i="1"/>
  <c r="T995" i="1"/>
  <c r="P995" i="1"/>
  <c r="O995" i="1"/>
  <c r="N995" i="1"/>
  <c r="M995" i="1"/>
  <c r="L995" i="1"/>
  <c r="K995" i="1"/>
  <c r="J995" i="1"/>
  <c r="AI994" i="1"/>
  <c r="W994" i="1"/>
  <c r="X994" i="1" s="1"/>
  <c r="T994" i="1"/>
  <c r="P994" i="1"/>
  <c r="O994" i="1"/>
  <c r="N994" i="1"/>
  <c r="M994" i="1"/>
  <c r="L994" i="1"/>
  <c r="K994" i="1"/>
  <c r="J994" i="1"/>
  <c r="AI993" i="1"/>
  <c r="X993" i="1"/>
  <c r="W993" i="1"/>
  <c r="T993" i="1"/>
  <c r="P993" i="1"/>
  <c r="O993" i="1"/>
  <c r="N993" i="1"/>
  <c r="M993" i="1"/>
  <c r="L993" i="1"/>
  <c r="K993" i="1"/>
  <c r="J993" i="1"/>
  <c r="AI992" i="1"/>
  <c r="W992" i="1"/>
  <c r="X992" i="1" s="1"/>
  <c r="T992" i="1"/>
  <c r="P992" i="1"/>
  <c r="O992" i="1"/>
  <c r="N992" i="1"/>
  <c r="M992" i="1"/>
  <c r="L992" i="1"/>
  <c r="K992" i="1"/>
  <c r="J992" i="1"/>
  <c r="AI991" i="1"/>
  <c r="X991" i="1"/>
  <c r="W991" i="1"/>
  <c r="T991" i="1"/>
  <c r="P991" i="1"/>
  <c r="O991" i="1"/>
  <c r="N991" i="1"/>
  <c r="M991" i="1"/>
  <c r="L991" i="1"/>
  <c r="K991" i="1"/>
  <c r="J991" i="1"/>
  <c r="AI990" i="1"/>
  <c r="X990" i="1"/>
  <c r="W990" i="1"/>
  <c r="T990" i="1"/>
  <c r="P990" i="1"/>
  <c r="O990" i="1"/>
  <c r="N990" i="1"/>
  <c r="M990" i="1"/>
  <c r="L990" i="1"/>
  <c r="K990" i="1"/>
  <c r="J990" i="1"/>
  <c r="AI989" i="1"/>
  <c r="X989" i="1"/>
  <c r="W989" i="1"/>
  <c r="T989" i="1"/>
  <c r="P989" i="1"/>
  <c r="O989" i="1"/>
  <c r="N989" i="1"/>
  <c r="M989" i="1"/>
  <c r="L989" i="1"/>
  <c r="K989" i="1"/>
  <c r="J989" i="1"/>
  <c r="AI988" i="1"/>
  <c r="W988" i="1"/>
  <c r="X988" i="1" s="1"/>
  <c r="T988" i="1"/>
  <c r="P988" i="1"/>
  <c r="O988" i="1"/>
  <c r="N988" i="1"/>
  <c r="M988" i="1"/>
  <c r="L988" i="1"/>
  <c r="K988" i="1"/>
  <c r="J988" i="1"/>
  <c r="AI987" i="1"/>
  <c r="X987" i="1"/>
  <c r="W987" i="1"/>
  <c r="T987" i="1"/>
  <c r="P987" i="1"/>
  <c r="O987" i="1"/>
  <c r="N987" i="1"/>
  <c r="M987" i="1"/>
  <c r="L987" i="1"/>
  <c r="K987" i="1"/>
  <c r="J987" i="1"/>
  <c r="AI986" i="1"/>
  <c r="X986" i="1"/>
  <c r="W986" i="1"/>
  <c r="T986" i="1"/>
  <c r="P986" i="1"/>
  <c r="O986" i="1"/>
  <c r="N986" i="1"/>
  <c r="M986" i="1"/>
  <c r="L986" i="1"/>
  <c r="K986" i="1"/>
  <c r="J986" i="1"/>
  <c r="AI985" i="1"/>
  <c r="W985" i="1"/>
  <c r="X985" i="1" s="1"/>
  <c r="T985" i="1"/>
  <c r="P985" i="1"/>
  <c r="O985" i="1"/>
  <c r="N985" i="1"/>
  <c r="M985" i="1"/>
  <c r="L985" i="1"/>
  <c r="K985" i="1"/>
  <c r="J985" i="1"/>
  <c r="AI984" i="1"/>
  <c r="W984" i="1"/>
  <c r="X984" i="1" s="1"/>
  <c r="T984" i="1"/>
  <c r="P984" i="1"/>
  <c r="O984" i="1"/>
  <c r="N984" i="1"/>
  <c r="M984" i="1"/>
  <c r="L984" i="1"/>
  <c r="K984" i="1"/>
  <c r="J984" i="1"/>
  <c r="AI983" i="1"/>
  <c r="X983" i="1"/>
  <c r="W983" i="1"/>
  <c r="T983" i="1"/>
  <c r="P983" i="1"/>
  <c r="O983" i="1"/>
  <c r="N983" i="1"/>
  <c r="M983" i="1"/>
  <c r="L983" i="1"/>
  <c r="K983" i="1"/>
  <c r="J983" i="1"/>
  <c r="AI982" i="1"/>
  <c r="X982" i="1"/>
  <c r="W982" i="1"/>
  <c r="T982" i="1"/>
  <c r="P982" i="1"/>
  <c r="O982" i="1"/>
  <c r="N982" i="1"/>
  <c r="M982" i="1"/>
  <c r="L982" i="1"/>
  <c r="K982" i="1"/>
  <c r="J982" i="1"/>
  <c r="AI981" i="1"/>
  <c r="X981" i="1"/>
  <c r="W981" i="1"/>
  <c r="T981" i="1"/>
  <c r="P981" i="1"/>
  <c r="O981" i="1"/>
  <c r="N981" i="1"/>
  <c r="M981" i="1"/>
  <c r="L981" i="1"/>
  <c r="K981" i="1"/>
  <c r="J981" i="1"/>
  <c r="AI980" i="1"/>
  <c r="W980" i="1"/>
  <c r="X980" i="1" s="1"/>
  <c r="T980" i="1"/>
  <c r="P980" i="1"/>
  <c r="O980" i="1"/>
  <c r="N980" i="1"/>
  <c r="M980" i="1"/>
  <c r="L980" i="1"/>
  <c r="K980" i="1"/>
  <c r="J980" i="1"/>
  <c r="AI979" i="1"/>
  <c r="X979" i="1"/>
  <c r="W979" i="1"/>
  <c r="T979" i="1"/>
  <c r="P979" i="1"/>
  <c r="O979" i="1"/>
  <c r="N979" i="1"/>
  <c r="M979" i="1"/>
  <c r="L979" i="1"/>
  <c r="K979" i="1"/>
  <c r="J979" i="1"/>
  <c r="AI978" i="1"/>
  <c r="X978" i="1"/>
  <c r="W978" i="1"/>
  <c r="T978" i="1"/>
  <c r="P978" i="1"/>
  <c r="O978" i="1"/>
  <c r="N978" i="1"/>
  <c r="M978" i="1"/>
  <c r="L978" i="1"/>
  <c r="K978" i="1"/>
  <c r="J978" i="1"/>
  <c r="AI977" i="1"/>
  <c r="X977" i="1"/>
  <c r="W977" i="1"/>
  <c r="T977" i="1"/>
  <c r="P977" i="1"/>
  <c r="O977" i="1"/>
  <c r="N977" i="1"/>
  <c r="M977" i="1"/>
  <c r="L977" i="1"/>
  <c r="K977" i="1"/>
  <c r="J977" i="1"/>
  <c r="AI976" i="1"/>
  <c r="W976" i="1"/>
  <c r="X976" i="1" s="1"/>
  <c r="T976" i="1"/>
  <c r="P976" i="1"/>
  <c r="O976" i="1"/>
  <c r="N976" i="1"/>
  <c r="M976" i="1"/>
  <c r="L976" i="1"/>
  <c r="K976" i="1"/>
  <c r="J976" i="1"/>
  <c r="AI975" i="1"/>
  <c r="X975" i="1"/>
  <c r="W975" i="1"/>
  <c r="T975" i="1"/>
  <c r="P975" i="1"/>
  <c r="O975" i="1"/>
  <c r="N975" i="1"/>
  <c r="M975" i="1"/>
  <c r="L975" i="1"/>
  <c r="K975" i="1"/>
  <c r="J975" i="1"/>
  <c r="AI974" i="1"/>
  <c r="X974" i="1"/>
  <c r="W974" i="1"/>
  <c r="T974" i="1"/>
  <c r="P974" i="1"/>
  <c r="O974" i="1"/>
  <c r="N974" i="1"/>
  <c r="M974" i="1"/>
  <c r="L974" i="1"/>
  <c r="K974" i="1"/>
  <c r="J974" i="1"/>
  <c r="AI973" i="1"/>
  <c r="X973" i="1"/>
  <c r="W973" i="1"/>
  <c r="T973" i="1"/>
  <c r="P973" i="1"/>
  <c r="O973" i="1"/>
  <c r="N973" i="1"/>
  <c r="M973" i="1"/>
  <c r="L973" i="1"/>
  <c r="K973" i="1"/>
  <c r="J973" i="1"/>
  <c r="AI972" i="1"/>
  <c r="W972" i="1"/>
  <c r="X972" i="1" s="1"/>
  <c r="T972" i="1"/>
  <c r="P972" i="1"/>
  <c r="O972" i="1"/>
  <c r="N972" i="1"/>
  <c r="M972" i="1"/>
  <c r="L972" i="1"/>
  <c r="K972" i="1"/>
  <c r="J972" i="1"/>
  <c r="AI971" i="1"/>
  <c r="X971" i="1"/>
  <c r="W971" i="1"/>
  <c r="T971" i="1"/>
  <c r="P971" i="1"/>
  <c r="O971" i="1"/>
  <c r="N971" i="1"/>
  <c r="M971" i="1"/>
  <c r="L971" i="1"/>
  <c r="K971" i="1"/>
  <c r="J971" i="1"/>
  <c r="AI970" i="1"/>
  <c r="X970" i="1"/>
  <c r="W970" i="1"/>
  <c r="T970" i="1"/>
  <c r="P970" i="1"/>
  <c r="O970" i="1"/>
  <c r="N970" i="1"/>
  <c r="M970" i="1"/>
  <c r="L970" i="1"/>
  <c r="K970" i="1"/>
  <c r="J970" i="1"/>
  <c r="AI969" i="1"/>
  <c r="W969" i="1"/>
  <c r="X969" i="1" s="1"/>
  <c r="T969" i="1"/>
  <c r="P969" i="1"/>
  <c r="O969" i="1"/>
  <c r="N969" i="1"/>
  <c r="M969" i="1"/>
  <c r="L969" i="1"/>
  <c r="K969" i="1"/>
  <c r="J969" i="1"/>
  <c r="X968" i="1"/>
  <c r="W968" i="1"/>
  <c r="P968" i="1"/>
  <c r="O968" i="1"/>
  <c r="N968" i="1"/>
  <c r="M968" i="1"/>
  <c r="L968" i="1"/>
  <c r="K968" i="1"/>
  <c r="J968" i="1"/>
  <c r="AI967" i="1"/>
  <c r="X967" i="1"/>
  <c r="W967" i="1"/>
  <c r="T967" i="1"/>
  <c r="P967" i="1"/>
  <c r="O967" i="1"/>
  <c r="N967" i="1"/>
  <c r="M967" i="1"/>
  <c r="L967" i="1"/>
  <c r="K967" i="1"/>
  <c r="J967" i="1"/>
  <c r="AI966" i="1"/>
  <c r="X966" i="1"/>
  <c r="W966" i="1"/>
  <c r="T966" i="1"/>
  <c r="P966" i="1"/>
  <c r="O966" i="1"/>
  <c r="N966" i="1"/>
  <c r="M966" i="1"/>
  <c r="L966" i="1"/>
  <c r="K966" i="1"/>
  <c r="J966" i="1"/>
  <c r="AI965" i="1"/>
  <c r="X965" i="1"/>
  <c r="W965" i="1"/>
  <c r="T965" i="1"/>
  <c r="P965" i="1"/>
  <c r="O965" i="1"/>
  <c r="N965" i="1"/>
  <c r="M965" i="1"/>
  <c r="L965" i="1"/>
  <c r="K965" i="1"/>
  <c r="J965" i="1"/>
  <c r="AI964" i="1"/>
  <c r="W964" i="1"/>
  <c r="X964" i="1" s="1"/>
  <c r="T964" i="1"/>
  <c r="P964" i="1"/>
  <c r="O964" i="1"/>
  <c r="N964" i="1"/>
  <c r="M964" i="1"/>
  <c r="L964" i="1"/>
  <c r="K964" i="1"/>
  <c r="J964" i="1"/>
  <c r="AI963" i="1"/>
  <c r="X963" i="1"/>
  <c r="W963" i="1"/>
  <c r="T963" i="1"/>
  <c r="P963" i="1"/>
  <c r="O963" i="1"/>
  <c r="N963" i="1"/>
  <c r="M963" i="1"/>
  <c r="L963" i="1"/>
  <c r="K963" i="1"/>
  <c r="J963" i="1"/>
  <c r="AI962" i="1"/>
  <c r="X962" i="1"/>
  <c r="W962" i="1"/>
  <c r="T962" i="1"/>
  <c r="P962" i="1"/>
  <c r="O962" i="1"/>
  <c r="N962" i="1"/>
  <c r="M962" i="1"/>
  <c r="L962" i="1"/>
  <c r="K962" i="1"/>
  <c r="J962" i="1"/>
  <c r="AI961" i="1"/>
  <c r="W961" i="1"/>
  <c r="X961" i="1" s="1"/>
  <c r="T961" i="1"/>
  <c r="P961" i="1"/>
  <c r="O961" i="1"/>
  <c r="N961" i="1"/>
  <c r="M961" i="1"/>
  <c r="L961" i="1"/>
  <c r="K961" i="1"/>
  <c r="J961" i="1"/>
  <c r="AI960" i="1"/>
  <c r="W960" i="1"/>
  <c r="X960" i="1" s="1"/>
  <c r="T960" i="1"/>
  <c r="P960" i="1"/>
  <c r="O960" i="1"/>
  <c r="N960" i="1"/>
  <c r="M960" i="1"/>
  <c r="L960" i="1"/>
  <c r="K960" i="1"/>
  <c r="J960" i="1"/>
  <c r="AI959" i="1"/>
  <c r="X959" i="1"/>
  <c r="W959" i="1"/>
  <c r="T959" i="1"/>
  <c r="P959" i="1"/>
  <c r="O959" i="1"/>
  <c r="N959" i="1"/>
  <c r="M959" i="1"/>
  <c r="L959" i="1"/>
  <c r="K959" i="1"/>
  <c r="J959" i="1"/>
  <c r="AI958" i="1"/>
  <c r="X958" i="1"/>
  <c r="W958" i="1"/>
  <c r="T958" i="1"/>
  <c r="P958" i="1"/>
  <c r="O958" i="1"/>
  <c r="N958" i="1"/>
  <c r="M958" i="1"/>
  <c r="L958" i="1"/>
  <c r="K958" i="1"/>
  <c r="J958" i="1"/>
  <c r="AI957" i="1"/>
  <c r="W957" i="1"/>
  <c r="X957" i="1" s="1"/>
  <c r="T957" i="1"/>
  <c r="P957" i="1"/>
  <c r="O957" i="1"/>
  <c r="N957" i="1"/>
  <c r="M957" i="1"/>
  <c r="L957" i="1"/>
  <c r="K957" i="1"/>
  <c r="J957" i="1"/>
  <c r="AI956" i="1"/>
  <c r="W956" i="1"/>
  <c r="X956" i="1" s="1"/>
  <c r="T956" i="1"/>
  <c r="P956" i="1"/>
  <c r="O956" i="1"/>
  <c r="N956" i="1"/>
  <c r="M956" i="1"/>
  <c r="L956" i="1"/>
  <c r="K956" i="1"/>
  <c r="J956" i="1"/>
  <c r="AI955" i="1"/>
  <c r="X955" i="1"/>
  <c r="W955" i="1"/>
  <c r="T955" i="1"/>
  <c r="P955" i="1"/>
  <c r="O955" i="1"/>
  <c r="N955" i="1"/>
  <c r="M955" i="1"/>
  <c r="L955" i="1"/>
  <c r="K955" i="1"/>
  <c r="J955" i="1"/>
  <c r="AI954" i="1"/>
  <c r="W954" i="1"/>
  <c r="X954" i="1" s="1"/>
  <c r="T954" i="1"/>
  <c r="P954" i="1"/>
  <c r="O954" i="1"/>
  <c r="N954" i="1"/>
  <c r="M954" i="1"/>
  <c r="L954" i="1"/>
  <c r="K954" i="1"/>
  <c r="J954" i="1"/>
  <c r="AI953" i="1"/>
  <c r="W953" i="1"/>
  <c r="X953" i="1" s="1"/>
  <c r="T953" i="1"/>
  <c r="P953" i="1"/>
  <c r="O953" i="1"/>
  <c r="N953" i="1"/>
  <c r="M953" i="1"/>
  <c r="L953" i="1"/>
  <c r="K953" i="1"/>
  <c r="J953" i="1"/>
  <c r="AI952" i="1"/>
  <c r="W952" i="1"/>
  <c r="X952" i="1" s="1"/>
  <c r="T952" i="1"/>
  <c r="P952" i="1"/>
  <c r="O952" i="1"/>
  <c r="N952" i="1"/>
  <c r="M952" i="1"/>
  <c r="L952" i="1"/>
  <c r="K952" i="1"/>
  <c r="J952" i="1"/>
  <c r="AI951" i="1"/>
  <c r="X951" i="1"/>
  <c r="W951" i="1"/>
  <c r="T951" i="1"/>
  <c r="P951" i="1"/>
  <c r="O951" i="1"/>
  <c r="N951" i="1"/>
  <c r="M951" i="1"/>
  <c r="L951" i="1"/>
  <c r="K951" i="1"/>
  <c r="J951" i="1"/>
  <c r="AI950" i="1"/>
  <c r="X950" i="1"/>
  <c r="W950" i="1"/>
  <c r="T950" i="1"/>
  <c r="P950" i="1"/>
  <c r="O950" i="1"/>
  <c r="N950" i="1"/>
  <c r="M950" i="1"/>
  <c r="L950" i="1"/>
  <c r="K950" i="1"/>
  <c r="J950" i="1"/>
  <c r="AI949" i="1"/>
  <c r="X949" i="1"/>
  <c r="W949" i="1"/>
  <c r="T949" i="1"/>
  <c r="P949" i="1"/>
  <c r="O949" i="1"/>
  <c r="N949" i="1"/>
  <c r="M949" i="1"/>
  <c r="L949" i="1"/>
  <c r="K949" i="1"/>
  <c r="J949" i="1"/>
  <c r="AI948" i="1"/>
  <c r="W948" i="1"/>
  <c r="X948" i="1" s="1"/>
  <c r="T948" i="1"/>
  <c r="P948" i="1"/>
  <c r="O948" i="1"/>
  <c r="N948" i="1"/>
  <c r="M948" i="1"/>
  <c r="L948" i="1"/>
  <c r="K948" i="1"/>
  <c r="J948" i="1"/>
  <c r="AI947" i="1"/>
  <c r="X947" i="1"/>
  <c r="W947" i="1"/>
  <c r="T947" i="1"/>
  <c r="P947" i="1"/>
  <c r="O947" i="1"/>
  <c r="N947" i="1"/>
  <c r="M947" i="1"/>
  <c r="L947" i="1"/>
  <c r="K947" i="1"/>
  <c r="J947" i="1"/>
  <c r="AI946" i="1"/>
  <c r="X946" i="1"/>
  <c r="W946" i="1"/>
  <c r="T946" i="1"/>
  <c r="P946" i="1"/>
  <c r="O946" i="1"/>
  <c r="N946" i="1"/>
  <c r="M946" i="1"/>
  <c r="L946" i="1"/>
  <c r="K946" i="1"/>
  <c r="J946" i="1"/>
  <c r="AI945" i="1"/>
  <c r="X945" i="1"/>
  <c r="W945" i="1"/>
  <c r="T945" i="1"/>
  <c r="P945" i="1"/>
  <c r="O945" i="1"/>
  <c r="N945" i="1"/>
  <c r="M945" i="1"/>
  <c r="L945" i="1"/>
  <c r="K945" i="1"/>
  <c r="J945" i="1"/>
  <c r="AI944" i="1"/>
  <c r="W944" i="1"/>
  <c r="X944" i="1" s="1"/>
  <c r="T944" i="1"/>
  <c r="P944" i="1"/>
  <c r="O944" i="1"/>
  <c r="N944" i="1"/>
  <c r="M944" i="1"/>
  <c r="L944" i="1"/>
  <c r="K944" i="1"/>
  <c r="J944" i="1"/>
  <c r="AI943" i="1"/>
  <c r="X943" i="1"/>
  <c r="W943" i="1"/>
  <c r="T943" i="1"/>
  <c r="P943" i="1"/>
  <c r="O943" i="1"/>
  <c r="N943" i="1"/>
  <c r="M943" i="1"/>
  <c r="L943" i="1"/>
  <c r="K943" i="1"/>
  <c r="J943" i="1"/>
  <c r="AI942" i="1"/>
  <c r="X942" i="1"/>
  <c r="W942" i="1"/>
  <c r="T942" i="1"/>
  <c r="P942" i="1"/>
  <c r="O942" i="1"/>
  <c r="N942" i="1"/>
  <c r="M942" i="1"/>
  <c r="L942" i="1"/>
  <c r="K942" i="1"/>
  <c r="J942" i="1"/>
  <c r="AI941" i="1"/>
  <c r="W941" i="1"/>
  <c r="X941" i="1" s="1"/>
  <c r="T941" i="1"/>
  <c r="P941" i="1"/>
  <c r="O941" i="1"/>
  <c r="N941" i="1"/>
  <c r="M941" i="1"/>
  <c r="L941" i="1"/>
  <c r="K941" i="1"/>
  <c r="J941" i="1"/>
  <c r="AI940" i="1"/>
  <c r="W940" i="1"/>
  <c r="X940" i="1" s="1"/>
  <c r="T940" i="1"/>
  <c r="P940" i="1"/>
  <c r="O940" i="1"/>
  <c r="N940" i="1"/>
  <c r="M940" i="1"/>
  <c r="L940" i="1"/>
  <c r="K940" i="1"/>
  <c r="J940" i="1"/>
  <c r="AI939" i="1"/>
  <c r="X939" i="1"/>
  <c r="W939" i="1"/>
  <c r="T939" i="1"/>
  <c r="P939" i="1"/>
  <c r="O939" i="1"/>
  <c r="N939" i="1"/>
  <c r="M939" i="1"/>
  <c r="L939" i="1"/>
  <c r="K939" i="1"/>
  <c r="J939" i="1"/>
  <c r="AI938" i="1"/>
  <c r="W938" i="1"/>
  <c r="X938" i="1" s="1"/>
  <c r="T938" i="1"/>
  <c r="P938" i="1"/>
  <c r="O938" i="1"/>
  <c r="N938" i="1"/>
  <c r="M938" i="1"/>
  <c r="L938" i="1"/>
  <c r="K938" i="1"/>
  <c r="J938" i="1"/>
  <c r="AI937" i="1"/>
  <c r="X937" i="1"/>
  <c r="W937" i="1"/>
  <c r="T937" i="1"/>
  <c r="P937" i="1"/>
  <c r="O937" i="1"/>
  <c r="N937" i="1"/>
  <c r="M937" i="1"/>
  <c r="L937" i="1"/>
  <c r="K937" i="1"/>
  <c r="J937" i="1"/>
  <c r="AI936" i="1"/>
  <c r="W936" i="1"/>
  <c r="X936" i="1" s="1"/>
  <c r="T936" i="1"/>
  <c r="P936" i="1"/>
  <c r="O936" i="1"/>
  <c r="N936" i="1"/>
  <c r="M936" i="1"/>
  <c r="L936" i="1"/>
  <c r="K936" i="1"/>
  <c r="J936" i="1"/>
  <c r="AI935" i="1"/>
  <c r="X935" i="1"/>
  <c r="W935" i="1"/>
  <c r="T935" i="1"/>
  <c r="P935" i="1"/>
  <c r="O935" i="1"/>
  <c r="N935" i="1"/>
  <c r="M935" i="1"/>
  <c r="L935" i="1"/>
  <c r="K935" i="1"/>
  <c r="J935" i="1"/>
  <c r="AI934" i="1"/>
  <c r="X934" i="1"/>
  <c r="W934" i="1"/>
  <c r="T934" i="1"/>
  <c r="P934" i="1"/>
  <c r="O934" i="1"/>
  <c r="N934" i="1"/>
  <c r="M934" i="1"/>
  <c r="L934" i="1"/>
  <c r="K934" i="1"/>
  <c r="J934" i="1"/>
  <c r="AI933" i="1"/>
  <c r="X933" i="1"/>
  <c r="W933" i="1"/>
  <c r="T933" i="1"/>
  <c r="P933" i="1"/>
  <c r="O933" i="1"/>
  <c r="N933" i="1"/>
  <c r="M933" i="1"/>
  <c r="L933" i="1"/>
  <c r="K933" i="1"/>
  <c r="J933" i="1"/>
  <c r="AI932" i="1"/>
  <c r="W932" i="1"/>
  <c r="X932" i="1" s="1"/>
  <c r="T932" i="1"/>
  <c r="P932" i="1"/>
  <c r="O932" i="1"/>
  <c r="N932" i="1"/>
  <c r="M932" i="1"/>
  <c r="L932" i="1"/>
  <c r="K932" i="1"/>
  <c r="J932" i="1"/>
  <c r="AI931" i="1"/>
  <c r="X931" i="1"/>
  <c r="W931" i="1"/>
  <c r="T931" i="1"/>
  <c r="P931" i="1"/>
  <c r="O931" i="1"/>
  <c r="N931" i="1"/>
  <c r="M931" i="1"/>
  <c r="L931" i="1"/>
  <c r="K931" i="1"/>
  <c r="J931" i="1"/>
  <c r="AI930" i="1"/>
  <c r="X930" i="1"/>
  <c r="W930" i="1"/>
  <c r="T930" i="1"/>
  <c r="P930" i="1"/>
  <c r="O930" i="1"/>
  <c r="N930" i="1"/>
  <c r="M930" i="1"/>
  <c r="L930" i="1"/>
  <c r="K930" i="1"/>
  <c r="J930" i="1"/>
  <c r="AI929" i="1"/>
  <c r="X929" i="1"/>
  <c r="W929" i="1"/>
  <c r="T929" i="1"/>
  <c r="P929" i="1"/>
  <c r="O929" i="1"/>
  <c r="N929" i="1"/>
  <c r="M929" i="1"/>
  <c r="L929" i="1"/>
  <c r="K929" i="1"/>
  <c r="J929" i="1"/>
  <c r="AI928" i="1"/>
  <c r="W928" i="1"/>
  <c r="X928" i="1" s="1"/>
  <c r="T928" i="1"/>
  <c r="P928" i="1"/>
  <c r="O928" i="1"/>
  <c r="N928" i="1"/>
  <c r="M928" i="1"/>
  <c r="L928" i="1"/>
  <c r="K928" i="1"/>
  <c r="J928" i="1"/>
  <c r="AI927" i="1"/>
  <c r="X927" i="1"/>
  <c r="W927" i="1"/>
  <c r="T927" i="1"/>
  <c r="P927" i="1"/>
  <c r="O927" i="1"/>
  <c r="N927" i="1"/>
  <c r="M927" i="1"/>
  <c r="L927" i="1"/>
  <c r="K927" i="1"/>
  <c r="J927" i="1"/>
  <c r="AI926" i="1"/>
  <c r="X926" i="1"/>
  <c r="W926" i="1"/>
  <c r="T926" i="1"/>
  <c r="P926" i="1"/>
  <c r="O926" i="1"/>
  <c r="N926" i="1"/>
  <c r="M926" i="1"/>
  <c r="L926" i="1"/>
  <c r="K926" i="1"/>
  <c r="J926" i="1"/>
  <c r="AI925" i="1"/>
  <c r="W925" i="1"/>
  <c r="X925" i="1" s="1"/>
  <c r="T925" i="1"/>
  <c r="P925" i="1"/>
  <c r="O925" i="1"/>
  <c r="N925" i="1"/>
  <c r="M925" i="1"/>
  <c r="L925" i="1"/>
  <c r="K925" i="1"/>
  <c r="J925" i="1"/>
  <c r="AI924" i="1"/>
  <c r="W924" i="1"/>
  <c r="X924" i="1" s="1"/>
  <c r="T924" i="1"/>
  <c r="P924" i="1"/>
  <c r="O924" i="1"/>
  <c r="N924" i="1"/>
  <c r="M924" i="1"/>
  <c r="L924" i="1"/>
  <c r="K924" i="1"/>
  <c r="J924" i="1"/>
  <c r="AI923" i="1"/>
  <c r="X923" i="1"/>
  <c r="W923" i="1"/>
  <c r="T923" i="1"/>
  <c r="P923" i="1"/>
  <c r="O923" i="1"/>
  <c r="N923" i="1"/>
  <c r="M923" i="1"/>
  <c r="L923" i="1"/>
  <c r="K923" i="1"/>
  <c r="J923" i="1"/>
  <c r="AI922" i="1"/>
  <c r="W922" i="1"/>
  <c r="X922" i="1" s="1"/>
  <c r="T922" i="1"/>
  <c r="P922" i="1"/>
  <c r="O922" i="1"/>
  <c r="N922" i="1"/>
  <c r="M922" i="1"/>
  <c r="L922" i="1"/>
  <c r="K922" i="1"/>
  <c r="J922" i="1"/>
  <c r="AI921" i="1"/>
  <c r="W921" i="1"/>
  <c r="X921" i="1" s="1"/>
  <c r="T921" i="1"/>
  <c r="P921" i="1"/>
  <c r="O921" i="1"/>
  <c r="N921" i="1"/>
  <c r="M921" i="1"/>
  <c r="L921" i="1"/>
  <c r="K921" i="1"/>
  <c r="J921" i="1"/>
  <c r="AI920" i="1"/>
  <c r="W920" i="1"/>
  <c r="X920" i="1" s="1"/>
  <c r="T920" i="1"/>
  <c r="P920" i="1"/>
  <c r="O920" i="1"/>
  <c r="N920" i="1"/>
  <c r="M920" i="1"/>
  <c r="L920" i="1"/>
  <c r="K920" i="1"/>
  <c r="J920" i="1"/>
  <c r="AI919" i="1"/>
  <c r="X919" i="1"/>
  <c r="W919" i="1"/>
  <c r="T919" i="1"/>
  <c r="P919" i="1"/>
  <c r="O919" i="1"/>
  <c r="N919" i="1"/>
  <c r="M919" i="1"/>
  <c r="L919" i="1"/>
  <c r="K919" i="1"/>
  <c r="J919" i="1"/>
  <c r="AI918" i="1"/>
  <c r="X918" i="1"/>
  <c r="W918" i="1"/>
  <c r="T918" i="1"/>
  <c r="P918" i="1"/>
  <c r="O918" i="1"/>
  <c r="N918" i="1"/>
  <c r="M918" i="1"/>
  <c r="L918" i="1"/>
  <c r="K918" i="1"/>
  <c r="J918" i="1"/>
  <c r="AI917" i="1"/>
  <c r="X917" i="1"/>
  <c r="W917" i="1"/>
  <c r="T917" i="1"/>
  <c r="P917" i="1"/>
  <c r="O917" i="1"/>
  <c r="N917" i="1"/>
  <c r="M917" i="1"/>
  <c r="L917" i="1"/>
  <c r="K917" i="1"/>
  <c r="J917" i="1"/>
  <c r="AI916" i="1"/>
  <c r="W916" i="1"/>
  <c r="X916" i="1" s="1"/>
  <c r="T916" i="1"/>
  <c r="P916" i="1"/>
  <c r="O916" i="1"/>
  <c r="N916" i="1"/>
  <c r="M916" i="1"/>
  <c r="L916" i="1"/>
  <c r="K916" i="1"/>
  <c r="J916" i="1"/>
  <c r="AI915" i="1"/>
  <c r="X915" i="1"/>
  <c r="W915" i="1"/>
  <c r="T915" i="1"/>
  <c r="P915" i="1"/>
  <c r="O915" i="1"/>
  <c r="N915" i="1"/>
  <c r="M915" i="1"/>
  <c r="L915" i="1"/>
  <c r="K915" i="1"/>
  <c r="J915" i="1"/>
  <c r="AI914" i="1"/>
  <c r="X914" i="1"/>
  <c r="W914" i="1"/>
  <c r="T914" i="1"/>
  <c r="P914" i="1"/>
  <c r="O914" i="1"/>
  <c r="N914" i="1"/>
  <c r="M914" i="1"/>
  <c r="L914" i="1"/>
  <c r="K914" i="1"/>
  <c r="J914" i="1"/>
  <c r="AI913" i="1"/>
  <c r="W913" i="1"/>
  <c r="X913" i="1" s="1"/>
  <c r="T913" i="1"/>
  <c r="P913" i="1"/>
  <c r="O913" i="1"/>
  <c r="N913" i="1"/>
  <c r="M913" i="1"/>
  <c r="L913" i="1"/>
  <c r="K913" i="1"/>
  <c r="J913" i="1"/>
  <c r="AI912" i="1"/>
  <c r="W912" i="1"/>
  <c r="X912" i="1" s="1"/>
  <c r="T912" i="1"/>
  <c r="P912" i="1"/>
  <c r="O912" i="1"/>
  <c r="N912" i="1"/>
  <c r="M912" i="1"/>
  <c r="L912" i="1"/>
  <c r="K912" i="1"/>
  <c r="J912" i="1"/>
  <c r="AI911" i="1"/>
  <c r="X911" i="1"/>
  <c r="W911" i="1"/>
  <c r="T911" i="1"/>
  <c r="P911" i="1"/>
  <c r="O911" i="1"/>
  <c r="N911" i="1"/>
  <c r="M911" i="1"/>
  <c r="L911" i="1"/>
  <c r="K911" i="1"/>
  <c r="J911" i="1"/>
  <c r="AI910" i="1"/>
  <c r="X910" i="1"/>
  <c r="W910" i="1"/>
  <c r="T910" i="1"/>
  <c r="P910" i="1"/>
  <c r="O910" i="1"/>
  <c r="N910" i="1"/>
  <c r="M910" i="1"/>
  <c r="L910" i="1"/>
  <c r="K910" i="1"/>
  <c r="J910" i="1"/>
  <c r="AI909" i="1"/>
  <c r="W909" i="1"/>
  <c r="X909" i="1" s="1"/>
  <c r="T909" i="1"/>
  <c r="P909" i="1"/>
  <c r="O909" i="1"/>
  <c r="N909" i="1"/>
  <c r="M909" i="1"/>
  <c r="L909" i="1"/>
  <c r="K909" i="1"/>
  <c r="J909" i="1"/>
  <c r="AI908" i="1"/>
  <c r="W908" i="1"/>
  <c r="X908" i="1" s="1"/>
  <c r="T908" i="1"/>
  <c r="P908" i="1"/>
  <c r="O908" i="1"/>
  <c r="N908" i="1"/>
  <c r="M908" i="1"/>
  <c r="L908" i="1"/>
  <c r="K908" i="1"/>
  <c r="J908" i="1"/>
  <c r="AI907" i="1"/>
  <c r="X907" i="1"/>
  <c r="W907" i="1"/>
  <c r="T907" i="1"/>
  <c r="P907" i="1"/>
  <c r="O907" i="1"/>
  <c r="N907" i="1"/>
  <c r="M907" i="1"/>
  <c r="L907" i="1"/>
  <c r="K907" i="1"/>
  <c r="J907" i="1"/>
  <c r="AI906" i="1"/>
  <c r="W906" i="1"/>
  <c r="X906" i="1" s="1"/>
  <c r="T906" i="1"/>
  <c r="P906" i="1"/>
  <c r="O906" i="1"/>
  <c r="N906" i="1"/>
  <c r="M906" i="1"/>
  <c r="L906" i="1"/>
  <c r="K906" i="1"/>
  <c r="J906" i="1"/>
  <c r="AI905" i="1"/>
  <c r="X905" i="1"/>
  <c r="W905" i="1"/>
  <c r="T905" i="1"/>
  <c r="P905" i="1"/>
  <c r="O905" i="1"/>
  <c r="N905" i="1"/>
  <c r="M905" i="1"/>
  <c r="L905" i="1"/>
  <c r="K905" i="1"/>
  <c r="J905" i="1"/>
  <c r="X904" i="1"/>
  <c r="W904" i="1"/>
  <c r="T904" i="1"/>
  <c r="P904" i="1"/>
  <c r="O904" i="1"/>
  <c r="N904" i="1"/>
  <c r="M904" i="1"/>
  <c r="L904" i="1"/>
  <c r="K904" i="1"/>
  <c r="J904" i="1"/>
  <c r="AI903" i="1"/>
  <c r="W903" i="1"/>
  <c r="X903" i="1" s="1"/>
  <c r="T903" i="1"/>
  <c r="P903" i="1"/>
  <c r="O903" i="1"/>
  <c r="N903" i="1"/>
  <c r="M903" i="1"/>
  <c r="L903" i="1"/>
  <c r="K903" i="1"/>
  <c r="J903" i="1"/>
  <c r="W902" i="1"/>
  <c r="X902" i="1" s="1"/>
  <c r="T902" i="1"/>
  <c r="P902" i="1"/>
  <c r="O902" i="1"/>
  <c r="N902" i="1"/>
  <c r="M902" i="1"/>
  <c r="L902" i="1"/>
  <c r="K902" i="1"/>
  <c r="J902" i="1"/>
  <c r="W901" i="1"/>
  <c r="X901" i="1" s="1"/>
  <c r="T901" i="1"/>
  <c r="P901" i="1"/>
  <c r="O901" i="1"/>
  <c r="N901" i="1"/>
  <c r="M901" i="1"/>
  <c r="L901" i="1"/>
  <c r="K901" i="1"/>
  <c r="J901" i="1"/>
  <c r="W900" i="1"/>
  <c r="X900" i="1" s="1"/>
  <c r="T900" i="1"/>
  <c r="P900" i="1"/>
  <c r="O900" i="1"/>
  <c r="N900" i="1"/>
  <c r="M900" i="1"/>
  <c r="L900" i="1"/>
  <c r="K900" i="1"/>
  <c r="J900" i="1"/>
  <c r="W899" i="1"/>
  <c r="X899" i="1" s="1"/>
  <c r="T899" i="1"/>
  <c r="P899" i="1"/>
  <c r="O899" i="1"/>
  <c r="N899" i="1"/>
  <c r="M899" i="1"/>
  <c r="L899" i="1"/>
  <c r="K899" i="1"/>
  <c r="J899" i="1"/>
  <c r="W898" i="1"/>
  <c r="X898" i="1" s="1"/>
  <c r="T898" i="1"/>
  <c r="P898" i="1"/>
  <c r="O898" i="1"/>
  <c r="N898" i="1"/>
  <c r="M898" i="1"/>
  <c r="L898" i="1"/>
  <c r="K898" i="1"/>
  <c r="J898" i="1"/>
  <c r="AI897" i="1"/>
  <c r="X897" i="1"/>
  <c r="W897" i="1"/>
  <c r="T897" i="1"/>
  <c r="P897" i="1"/>
  <c r="O897" i="1"/>
  <c r="N897" i="1"/>
  <c r="M897" i="1"/>
  <c r="L897" i="1"/>
  <c r="K897" i="1"/>
  <c r="J897" i="1"/>
  <c r="AI896" i="1"/>
  <c r="X896" i="1"/>
  <c r="W896" i="1"/>
  <c r="T896" i="1"/>
  <c r="P896" i="1"/>
  <c r="O896" i="1"/>
  <c r="N896" i="1"/>
  <c r="M896" i="1"/>
  <c r="L896" i="1"/>
  <c r="K896" i="1"/>
  <c r="J896" i="1"/>
  <c r="W895" i="1"/>
  <c r="X895" i="1" s="1"/>
  <c r="T895" i="1"/>
  <c r="P895" i="1"/>
  <c r="O895" i="1"/>
  <c r="N895" i="1"/>
  <c r="M895" i="1"/>
  <c r="L895" i="1"/>
  <c r="K895" i="1"/>
  <c r="J895" i="1"/>
  <c r="AI894" i="1"/>
  <c r="W894" i="1"/>
  <c r="X894" i="1" s="1"/>
  <c r="T894" i="1"/>
  <c r="P894" i="1"/>
  <c r="O894" i="1"/>
  <c r="N894" i="1"/>
  <c r="M894" i="1"/>
  <c r="L894" i="1"/>
  <c r="K894" i="1"/>
  <c r="J894" i="1"/>
  <c r="AI893" i="1"/>
  <c r="W893" i="1"/>
  <c r="X893" i="1" s="1"/>
  <c r="T893" i="1"/>
  <c r="P893" i="1"/>
  <c r="O893" i="1"/>
  <c r="N893" i="1"/>
  <c r="M893" i="1"/>
  <c r="L893" i="1"/>
  <c r="K893" i="1"/>
  <c r="J893" i="1"/>
  <c r="AI892" i="1"/>
  <c r="X892" i="1"/>
  <c r="W892" i="1"/>
  <c r="T892" i="1"/>
  <c r="P892" i="1"/>
  <c r="O892" i="1"/>
  <c r="N892" i="1"/>
  <c r="M892" i="1"/>
  <c r="L892" i="1"/>
  <c r="K892" i="1"/>
  <c r="J892" i="1"/>
  <c r="AI891" i="1"/>
  <c r="X891" i="1"/>
  <c r="W891" i="1"/>
  <c r="T891" i="1"/>
  <c r="P891" i="1"/>
  <c r="O891" i="1"/>
  <c r="N891" i="1"/>
  <c r="M891" i="1"/>
  <c r="L891" i="1"/>
  <c r="K891" i="1"/>
  <c r="J891" i="1"/>
  <c r="X890" i="1"/>
  <c r="W890" i="1"/>
  <c r="T890" i="1"/>
  <c r="P890" i="1"/>
  <c r="O890" i="1"/>
  <c r="N890" i="1"/>
  <c r="M890" i="1"/>
  <c r="L890" i="1"/>
  <c r="K890" i="1"/>
  <c r="J890" i="1"/>
  <c r="AI889" i="1"/>
  <c r="X889" i="1"/>
  <c r="W889" i="1"/>
  <c r="T889" i="1"/>
  <c r="P889" i="1"/>
  <c r="O889" i="1"/>
  <c r="N889" i="1"/>
  <c r="M889" i="1"/>
  <c r="L889" i="1"/>
  <c r="K889" i="1"/>
  <c r="J889" i="1"/>
  <c r="AI888" i="1"/>
  <c r="W888" i="1"/>
  <c r="X888" i="1" s="1"/>
  <c r="T888" i="1"/>
  <c r="P888" i="1"/>
  <c r="O888" i="1"/>
  <c r="N888" i="1"/>
  <c r="M888" i="1"/>
  <c r="L888" i="1"/>
  <c r="K888" i="1"/>
  <c r="J888" i="1"/>
  <c r="AI887" i="1"/>
  <c r="X887" i="1"/>
  <c r="W887" i="1"/>
  <c r="T887" i="1"/>
  <c r="P887" i="1"/>
  <c r="O887" i="1"/>
  <c r="N887" i="1"/>
  <c r="M887" i="1"/>
  <c r="L887" i="1"/>
  <c r="K887" i="1"/>
  <c r="J887" i="1"/>
  <c r="AI886" i="1"/>
  <c r="X886" i="1"/>
  <c r="W886" i="1"/>
  <c r="T886" i="1"/>
  <c r="P886" i="1"/>
  <c r="O886" i="1"/>
  <c r="N886" i="1"/>
  <c r="M886" i="1"/>
  <c r="L886" i="1"/>
  <c r="K886" i="1"/>
  <c r="J886" i="1"/>
  <c r="AI885" i="1"/>
  <c r="W885" i="1"/>
  <c r="X885" i="1" s="1"/>
  <c r="T885" i="1"/>
  <c r="P885" i="1"/>
  <c r="O885" i="1"/>
  <c r="N885" i="1"/>
  <c r="M885" i="1"/>
  <c r="L885" i="1"/>
  <c r="K885" i="1"/>
  <c r="J885" i="1"/>
  <c r="AI884" i="1"/>
  <c r="W884" i="1"/>
  <c r="X884" i="1" s="1"/>
  <c r="T884" i="1"/>
  <c r="P884" i="1"/>
  <c r="O884" i="1"/>
  <c r="N884" i="1"/>
  <c r="M884" i="1"/>
  <c r="L884" i="1"/>
  <c r="K884" i="1"/>
  <c r="J884" i="1"/>
  <c r="AI883" i="1"/>
  <c r="X883" i="1"/>
  <c r="W883" i="1"/>
  <c r="T883" i="1"/>
  <c r="P883" i="1"/>
  <c r="O883" i="1"/>
  <c r="N883" i="1"/>
  <c r="M883" i="1"/>
  <c r="L883" i="1"/>
  <c r="K883" i="1"/>
  <c r="J883" i="1"/>
  <c r="AI882" i="1"/>
  <c r="W882" i="1"/>
  <c r="X882" i="1" s="1"/>
  <c r="T882" i="1"/>
  <c r="P882" i="1"/>
  <c r="O882" i="1"/>
  <c r="N882" i="1"/>
  <c r="M882" i="1"/>
  <c r="L882" i="1"/>
  <c r="K882" i="1"/>
  <c r="J882" i="1"/>
  <c r="X881" i="1"/>
  <c r="W881" i="1"/>
  <c r="T881" i="1"/>
  <c r="P881" i="1"/>
  <c r="O881" i="1"/>
  <c r="N881" i="1"/>
  <c r="M881" i="1"/>
  <c r="L881" i="1"/>
  <c r="K881" i="1"/>
  <c r="J881" i="1"/>
  <c r="X880" i="1"/>
  <c r="W880" i="1"/>
  <c r="T880" i="1"/>
  <c r="P880" i="1"/>
  <c r="O880" i="1"/>
  <c r="N880" i="1"/>
  <c r="M880" i="1"/>
  <c r="L880" i="1"/>
  <c r="K880" i="1"/>
  <c r="J880" i="1"/>
  <c r="AI879" i="1"/>
  <c r="W879" i="1"/>
  <c r="X879" i="1" s="1"/>
  <c r="T879" i="1"/>
  <c r="P879" i="1"/>
  <c r="O879" i="1"/>
  <c r="N879" i="1"/>
  <c r="M879" i="1"/>
  <c r="L879" i="1"/>
  <c r="K879" i="1"/>
  <c r="J879" i="1"/>
  <c r="AI878" i="1"/>
  <c r="W878" i="1"/>
  <c r="X878" i="1" s="1"/>
  <c r="T878" i="1"/>
  <c r="P878" i="1"/>
  <c r="O878" i="1"/>
  <c r="N878" i="1"/>
  <c r="M878" i="1"/>
  <c r="L878" i="1"/>
  <c r="K878" i="1"/>
  <c r="J878" i="1"/>
  <c r="AI877" i="1"/>
  <c r="X877" i="1"/>
  <c r="W877" i="1"/>
  <c r="T877" i="1"/>
  <c r="P877" i="1"/>
  <c r="O877" i="1"/>
  <c r="N877" i="1"/>
  <c r="M877" i="1"/>
  <c r="L877" i="1"/>
  <c r="K877" i="1"/>
  <c r="J877" i="1"/>
  <c r="AI876" i="1"/>
  <c r="W876" i="1"/>
  <c r="X876" i="1" s="1"/>
  <c r="T876" i="1"/>
  <c r="P876" i="1"/>
  <c r="O876" i="1"/>
  <c r="N876" i="1"/>
  <c r="M876" i="1"/>
  <c r="L876" i="1"/>
  <c r="K876" i="1"/>
  <c r="J876" i="1"/>
  <c r="AI875" i="1"/>
  <c r="W875" i="1"/>
  <c r="X875" i="1" s="1"/>
  <c r="T875" i="1"/>
  <c r="P875" i="1"/>
  <c r="O875" i="1"/>
  <c r="N875" i="1"/>
  <c r="M875" i="1"/>
  <c r="L875" i="1"/>
  <c r="K875" i="1"/>
  <c r="J875" i="1"/>
  <c r="W874" i="1"/>
  <c r="X874" i="1" s="1"/>
  <c r="T874" i="1"/>
  <c r="P874" i="1"/>
  <c r="O874" i="1"/>
  <c r="N874" i="1"/>
  <c r="M874" i="1"/>
  <c r="L874" i="1"/>
  <c r="K874" i="1"/>
  <c r="J874" i="1"/>
  <c r="AI873" i="1"/>
  <c r="W873" i="1"/>
  <c r="X873" i="1" s="1"/>
  <c r="T873" i="1"/>
  <c r="P873" i="1"/>
  <c r="O873" i="1"/>
  <c r="N873" i="1"/>
  <c r="M873" i="1"/>
  <c r="L873" i="1"/>
  <c r="K873" i="1"/>
  <c r="J873" i="1"/>
  <c r="AI872" i="1"/>
  <c r="X872" i="1"/>
  <c r="W872" i="1"/>
  <c r="T872" i="1"/>
  <c r="P872" i="1"/>
  <c r="O872" i="1"/>
  <c r="N872" i="1"/>
  <c r="M872" i="1"/>
  <c r="L872" i="1"/>
  <c r="K872" i="1"/>
  <c r="J872" i="1"/>
  <c r="AI871" i="1"/>
  <c r="W871" i="1"/>
  <c r="X871" i="1" s="1"/>
  <c r="T871" i="1"/>
  <c r="P871" i="1"/>
  <c r="O871" i="1"/>
  <c r="N871" i="1"/>
  <c r="M871" i="1"/>
  <c r="L871" i="1"/>
  <c r="K871" i="1"/>
  <c r="J871" i="1"/>
  <c r="AI870" i="1"/>
  <c r="X870" i="1"/>
  <c r="W870" i="1"/>
  <c r="T870" i="1"/>
  <c r="P870" i="1"/>
  <c r="O870" i="1"/>
  <c r="N870" i="1"/>
  <c r="M870" i="1"/>
  <c r="L870" i="1"/>
  <c r="K870" i="1"/>
  <c r="J870" i="1"/>
  <c r="AI869" i="1"/>
  <c r="W869" i="1"/>
  <c r="X869" i="1" s="1"/>
  <c r="T869" i="1"/>
  <c r="P869" i="1"/>
  <c r="O869" i="1"/>
  <c r="N869" i="1"/>
  <c r="M869" i="1"/>
  <c r="L869" i="1"/>
  <c r="K869" i="1"/>
  <c r="J869" i="1"/>
  <c r="AI868" i="1"/>
  <c r="X868" i="1"/>
  <c r="W868" i="1"/>
  <c r="T868" i="1"/>
  <c r="P868" i="1"/>
  <c r="O868" i="1"/>
  <c r="N868" i="1"/>
  <c r="M868" i="1"/>
  <c r="L868" i="1"/>
  <c r="K868" i="1"/>
  <c r="J868" i="1"/>
  <c r="X867" i="1"/>
  <c r="W867" i="1"/>
  <c r="T867" i="1"/>
  <c r="P867" i="1"/>
  <c r="O867" i="1"/>
  <c r="N867" i="1"/>
  <c r="M867" i="1"/>
  <c r="L867" i="1"/>
  <c r="K867" i="1"/>
  <c r="J867" i="1"/>
  <c r="AI866" i="1"/>
  <c r="X866" i="1"/>
  <c r="W866" i="1"/>
  <c r="T866" i="1"/>
  <c r="P866" i="1"/>
  <c r="O866" i="1"/>
  <c r="N866" i="1"/>
  <c r="M866" i="1"/>
  <c r="L866" i="1"/>
  <c r="K866" i="1"/>
  <c r="J866" i="1"/>
  <c r="AI865" i="1"/>
  <c r="W865" i="1"/>
  <c r="X865" i="1" s="1"/>
  <c r="T865" i="1"/>
  <c r="P865" i="1"/>
  <c r="O865" i="1"/>
  <c r="N865" i="1"/>
  <c r="M865" i="1"/>
  <c r="L865" i="1"/>
  <c r="K865" i="1"/>
  <c r="J865" i="1"/>
  <c r="AI864" i="1"/>
  <c r="W864" i="1"/>
  <c r="X864" i="1" s="1"/>
  <c r="T864" i="1"/>
  <c r="P864" i="1"/>
  <c r="O864" i="1"/>
  <c r="N864" i="1"/>
  <c r="M864" i="1"/>
  <c r="L864" i="1"/>
  <c r="K864" i="1"/>
  <c r="J864" i="1"/>
  <c r="AI863" i="1"/>
  <c r="X863" i="1"/>
  <c r="W863" i="1"/>
  <c r="T863" i="1"/>
  <c r="P863" i="1"/>
  <c r="O863" i="1"/>
  <c r="N863" i="1"/>
  <c r="M863" i="1"/>
  <c r="L863" i="1"/>
  <c r="K863" i="1"/>
  <c r="J863" i="1"/>
  <c r="X862" i="1"/>
  <c r="W862" i="1"/>
  <c r="T862" i="1"/>
  <c r="P862" i="1"/>
  <c r="O862" i="1"/>
  <c r="N862" i="1"/>
  <c r="M862" i="1"/>
  <c r="L862" i="1"/>
  <c r="K862" i="1"/>
  <c r="J862" i="1"/>
  <c r="AI861" i="1"/>
  <c r="X861" i="1"/>
  <c r="W861" i="1"/>
  <c r="T861" i="1"/>
  <c r="P861" i="1"/>
  <c r="O861" i="1"/>
  <c r="N861" i="1"/>
  <c r="M861" i="1"/>
  <c r="L861" i="1"/>
  <c r="K861" i="1"/>
  <c r="J861" i="1"/>
  <c r="AI860" i="1"/>
  <c r="W860" i="1"/>
  <c r="X860" i="1" s="1"/>
  <c r="T860" i="1"/>
  <c r="P860" i="1"/>
  <c r="O860" i="1"/>
  <c r="N860" i="1"/>
  <c r="M860" i="1"/>
  <c r="L860" i="1"/>
  <c r="K860" i="1"/>
  <c r="J860" i="1"/>
  <c r="X859" i="1"/>
  <c r="W859" i="1"/>
  <c r="T859" i="1"/>
  <c r="P859" i="1"/>
  <c r="O859" i="1"/>
  <c r="N859" i="1"/>
  <c r="M859" i="1"/>
  <c r="L859" i="1"/>
  <c r="K859" i="1"/>
  <c r="J859" i="1"/>
  <c r="AI858" i="1"/>
  <c r="W858" i="1"/>
  <c r="X858" i="1" s="1"/>
  <c r="T858" i="1"/>
  <c r="P858" i="1"/>
  <c r="O858" i="1"/>
  <c r="N858" i="1"/>
  <c r="M858" i="1"/>
  <c r="L858" i="1"/>
  <c r="K858" i="1"/>
  <c r="J858" i="1"/>
  <c r="AI857" i="1"/>
  <c r="X857" i="1"/>
  <c r="W857" i="1"/>
  <c r="T857" i="1"/>
  <c r="P857" i="1"/>
  <c r="O857" i="1"/>
  <c r="N857" i="1"/>
  <c r="M857" i="1"/>
  <c r="L857" i="1"/>
  <c r="K857" i="1"/>
  <c r="J857" i="1"/>
  <c r="AI856" i="1"/>
  <c r="X856" i="1"/>
  <c r="W856" i="1"/>
  <c r="T856" i="1"/>
  <c r="P856" i="1"/>
  <c r="O856" i="1"/>
  <c r="N856" i="1"/>
  <c r="M856" i="1"/>
  <c r="L856" i="1"/>
  <c r="K856" i="1"/>
  <c r="J856" i="1"/>
  <c r="AI855" i="1"/>
  <c r="X855" i="1"/>
  <c r="W855" i="1"/>
  <c r="T855" i="1"/>
  <c r="P855" i="1"/>
  <c r="O855" i="1"/>
  <c r="N855" i="1"/>
  <c r="M855" i="1"/>
  <c r="L855" i="1"/>
  <c r="K855" i="1"/>
  <c r="J855" i="1"/>
  <c r="AI854" i="1"/>
  <c r="W854" i="1"/>
  <c r="X854" i="1" s="1"/>
  <c r="T854" i="1"/>
  <c r="P854" i="1"/>
  <c r="O854" i="1"/>
  <c r="N854" i="1"/>
  <c r="M854" i="1"/>
  <c r="L854" i="1"/>
  <c r="K854" i="1"/>
  <c r="J854" i="1"/>
  <c r="AI853" i="1"/>
  <c r="X853" i="1"/>
  <c r="W853" i="1"/>
  <c r="T853" i="1"/>
  <c r="P853" i="1"/>
  <c r="O853" i="1"/>
  <c r="N853" i="1"/>
  <c r="M853" i="1"/>
  <c r="L853" i="1"/>
  <c r="K853" i="1"/>
  <c r="J853" i="1"/>
  <c r="X852" i="1"/>
  <c r="W852" i="1"/>
  <c r="T852" i="1"/>
  <c r="P852" i="1"/>
  <c r="O852" i="1"/>
  <c r="N852" i="1"/>
  <c r="M852" i="1"/>
  <c r="L852" i="1"/>
  <c r="K852" i="1"/>
  <c r="J852" i="1"/>
  <c r="X851" i="1"/>
  <c r="W851" i="1"/>
  <c r="T851" i="1"/>
  <c r="P851" i="1"/>
  <c r="O851" i="1"/>
  <c r="N851" i="1"/>
  <c r="M851" i="1"/>
  <c r="L851" i="1"/>
  <c r="K851" i="1"/>
  <c r="J851" i="1"/>
  <c r="X850" i="1"/>
  <c r="W850" i="1"/>
  <c r="T850" i="1"/>
  <c r="P850" i="1"/>
  <c r="O850" i="1"/>
  <c r="N850" i="1"/>
  <c r="M850" i="1"/>
  <c r="L850" i="1"/>
  <c r="K850" i="1"/>
  <c r="J850" i="1"/>
  <c r="X849" i="1"/>
  <c r="W849" i="1"/>
  <c r="T849" i="1"/>
  <c r="P849" i="1"/>
  <c r="O849" i="1"/>
  <c r="N849" i="1"/>
  <c r="M849" i="1"/>
  <c r="L849" i="1"/>
  <c r="K849" i="1"/>
  <c r="J849" i="1"/>
  <c r="X848" i="1"/>
  <c r="W848" i="1"/>
  <c r="T848" i="1"/>
  <c r="P848" i="1"/>
  <c r="O848" i="1"/>
  <c r="N848" i="1"/>
  <c r="M848" i="1"/>
  <c r="L848" i="1"/>
  <c r="K848" i="1"/>
  <c r="J848" i="1"/>
  <c r="X847" i="1"/>
  <c r="W847" i="1"/>
  <c r="T847" i="1"/>
  <c r="P847" i="1"/>
  <c r="O847" i="1"/>
  <c r="N847" i="1"/>
  <c r="M847" i="1"/>
  <c r="L847" i="1"/>
  <c r="K847" i="1"/>
  <c r="J847" i="1"/>
  <c r="X846" i="1"/>
  <c r="W846" i="1"/>
  <c r="T846" i="1"/>
  <c r="P846" i="1"/>
  <c r="O846" i="1"/>
  <c r="N846" i="1"/>
  <c r="M846" i="1"/>
  <c r="L846" i="1"/>
  <c r="K846" i="1"/>
  <c r="J846" i="1"/>
  <c r="AI845" i="1"/>
  <c r="X845" i="1"/>
  <c r="W845" i="1"/>
  <c r="T845" i="1"/>
  <c r="P845" i="1"/>
  <c r="O845" i="1"/>
  <c r="N845" i="1"/>
  <c r="M845" i="1"/>
  <c r="L845" i="1"/>
  <c r="K845" i="1"/>
  <c r="J845" i="1"/>
  <c r="AI844" i="1"/>
  <c r="X844" i="1"/>
  <c r="W844" i="1"/>
  <c r="T844" i="1"/>
  <c r="P844" i="1"/>
  <c r="O844" i="1"/>
  <c r="N844" i="1"/>
  <c r="M844" i="1"/>
  <c r="L844" i="1"/>
  <c r="K844" i="1"/>
  <c r="J844" i="1"/>
  <c r="W843" i="1"/>
  <c r="X843" i="1" s="1"/>
  <c r="T843" i="1"/>
  <c r="P843" i="1"/>
  <c r="O843" i="1"/>
  <c r="N843" i="1"/>
  <c r="M843" i="1"/>
  <c r="L843" i="1"/>
  <c r="K843" i="1"/>
  <c r="J843" i="1"/>
  <c r="AI842" i="1"/>
  <c r="W842" i="1"/>
  <c r="X842" i="1" s="1"/>
  <c r="T842" i="1"/>
  <c r="P842" i="1"/>
  <c r="O842" i="1"/>
  <c r="N842" i="1"/>
  <c r="M842" i="1"/>
  <c r="L842" i="1"/>
  <c r="K842" i="1"/>
  <c r="J842" i="1"/>
  <c r="AI841" i="1"/>
  <c r="X841" i="1"/>
  <c r="W841" i="1"/>
  <c r="T841" i="1"/>
  <c r="P841" i="1"/>
  <c r="O841" i="1"/>
  <c r="N841" i="1"/>
  <c r="M841" i="1"/>
  <c r="L841" i="1"/>
  <c r="K841" i="1"/>
  <c r="J841" i="1"/>
  <c r="AI840" i="1"/>
  <c r="W840" i="1"/>
  <c r="X840" i="1" s="1"/>
  <c r="T840" i="1"/>
  <c r="P840" i="1"/>
  <c r="O840" i="1"/>
  <c r="N840" i="1"/>
  <c r="M840" i="1"/>
  <c r="L840" i="1"/>
  <c r="K840" i="1"/>
  <c r="J840" i="1"/>
  <c r="AI839" i="1"/>
  <c r="X839" i="1"/>
  <c r="W839" i="1"/>
  <c r="T839" i="1"/>
  <c r="P839" i="1"/>
  <c r="O839" i="1"/>
  <c r="N839" i="1"/>
  <c r="M839" i="1"/>
  <c r="L839" i="1"/>
  <c r="K839" i="1"/>
  <c r="J839" i="1"/>
  <c r="AI838" i="1"/>
  <c r="W838" i="1"/>
  <c r="X838" i="1" s="1"/>
  <c r="T838" i="1"/>
  <c r="P838" i="1"/>
  <c r="O838" i="1"/>
  <c r="N838" i="1"/>
  <c r="M838" i="1"/>
  <c r="L838" i="1"/>
  <c r="K838" i="1"/>
  <c r="J838" i="1"/>
  <c r="W837" i="1"/>
  <c r="X837" i="1" s="1"/>
  <c r="T837" i="1"/>
  <c r="P837" i="1"/>
  <c r="O837" i="1"/>
  <c r="N837" i="1"/>
  <c r="M837" i="1"/>
  <c r="L837" i="1"/>
  <c r="K837" i="1"/>
  <c r="J837" i="1"/>
  <c r="W836" i="1"/>
  <c r="X836" i="1" s="1"/>
  <c r="T836" i="1"/>
  <c r="P836" i="1"/>
  <c r="O836" i="1"/>
  <c r="N836" i="1"/>
  <c r="M836" i="1"/>
  <c r="L836" i="1"/>
  <c r="K836" i="1"/>
  <c r="J836" i="1"/>
  <c r="W835" i="1"/>
  <c r="X835" i="1" s="1"/>
  <c r="T835" i="1"/>
  <c r="P835" i="1"/>
  <c r="O835" i="1"/>
  <c r="N835" i="1"/>
  <c r="M835" i="1"/>
  <c r="L835" i="1"/>
  <c r="K835" i="1"/>
  <c r="J835" i="1"/>
  <c r="W834" i="1"/>
  <c r="X834" i="1" s="1"/>
  <c r="T834" i="1"/>
  <c r="P834" i="1"/>
  <c r="O834" i="1"/>
  <c r="N834" i="1"/>
  <c r="M834" i="1"/>
  <c r="L834" i="1"/>
  <c r="K834" i="1"/>
  <c r="J834" i="1"/>
  <c r="W833" i="1"/>
  <c r="X833" i="1" s="1"/>
  <c r="T833" i="1"/>
  <c r="P833" i="1"/>
  <c r="O833" i="1"/>
  <c r="N833" i="1"/>
  <c r="M833" i="1"/>
  <c r="L833" i="1"/>
  <c r="K833" i="1"/>
  <c r="J833" i="1"/>
  <c r="W832" i="1"/>
  <c r="X832" i="1" s="1"/>
  <c r="T832" i="1"/>
  <c r="P832" i="1"/>
  <c r="O832" i="1"/>
  <c r="N832" i="1"/>
  <c r="M832" i="1"/>
  <c r="L832" i="1"/>
  <c r="K832" i="1"/>
  <c r="J832" i="1"/>
  <c r="AI831" i="1"/>
  <c r="X831" i="1"/>
  <c r="W831" i="1"/>
  <c r="T831" i="1"/>
  <c r="P831" i="1"/>
  <c r="O831" i="1"/>
  <c r="N831" i="1"/>
  <c r="M831" i="1"/>
  <c r="L831" i="1"/>
  <c r="K831" i="1"/>
  <c r="J831" i="1"/>
  <c r="X830" i="1"/>
  <c r="W830" i="1"/>
  <c r="T830" i="1"/>
  <c r="P830" i="1"/>
  <c r="O830" i="1"/>
  <c r="N830" i="1"/>
  <c r="M830" i="1"/>
  <c r="L830" i="1"/>
  <c r="K830" i="1"/>
  <c r="J830" i="1"/>
  <c r="X829" i="1"/>
  <c r="W829" i="1"/>
  <c r="T829" i="1"/>
  <c r="P829" i="1"/>
  <c r="O829" i="1"/>
  <c r="N829" i="1"/>
  <c r="M829" i="1"/>
  <c r="L829" i="1"/>
  <c r="K829" i="1"/>
  <c r="J829" i="1"/>
  <c r="X828" i="1"/>
  <c r="W828" i="1"/>
  <c r="T828" i="1"/>
  <c r="P828" i="1"/>
  <c r="O828" i="1"/>
  <c r="N828" i="1"/>
  <c r="M828" i="1"/>
  <c r="L828" i="1"/>
  <c r="K828" i="1"/>
  <c r="J828" i="1"/>
  <c r="AI827" i="1"/>
  <c r="X827" i="1"/>
  <c r="W827" i="1"/>
  <c r="T827" i="1"/>
  <c r="P827" i="1"/>
  <c r="O827" i="1"/>
  <c r="N827" i="1"/>
  <c r="M827" i="1"/>
  <c r="L827" i="1"/>
  <c r="K827" i="1"/>
  <c r="J827" i="1"/>
  <c r="AI826" i="1"/>
  <c r="W826" i="1"/>
  <c r="X826" i="1" s="1"/>
  <c r="T826" i="1"/>
  <c r="P826" i="1"/>
  <c r="O826" i="1"/>
  <c r="N826" i="1"/>
  <c r="M826" i="1"/>
  <c r="L826" i="1"/>
  <c r="K826" i="1"/>
  <c r="J826" i="1"/>
  <c r="AI825" i="1"/>
  <c r="W825" i="1"/>
  <c r="X825" i="1" s="1"/>
  <c r="T825" i="1"/>
  <c r="P825" i="1"/>
  <c r="O825" i="1"/>
  <c r="N825" i="1"/>
  <c r="M825" i="1"/>
  <c r="L825" i="1"/>
  <c r="K825" i="1"/>
  <c r="J825" i="1"/>
  <c r="AI824" i="1"/>
  <c r="X824" i="1"/>
  <c r="W824" i="1"/>
  <c r="T824" i="1"/>
  <c r="P824" i="1"/>
  <c r="O824" i="1"/>
  <c r="N824" i="1"/>
  <c r="M824" i="1"/>
  <c r="L824" i="1"/>
  <c r="K824" i="1"/>
  <c r="J824" i="1"/>
  <c r="AI823" i="1"/>
  <c r="W823" i="1"/>
  <c r="X823" i="1" s="1"/>
  <c r="T823" i="1"/>
  <c r="P823" i="1"/>
  <c r="O823" i="1"/>
  <c r="N823" i="1"/>
  <c r="M823" i="1"/>
  <c r="L823" i="1"/>
  <c r="K823" i="1"/>
  <c r="J823" i="1"/>
  <c r="W822" i="1"/>
  <c r="X822" i="1" s="1"/>
  <c r="T822" i="1"/>
  <c r="P822" i="1"/>
  <c r="O822" i="1"/>
  <c r="N822" i="1"/>
  <c r="M822" i="1"/>
  <c r="L822" i="1"/>
  <c r="K822" i="1"/>
  <c r="J822" i="1"/>
  <c r="W821" i="1"/>
  <c r="X821" i="1" s="1"/>
  <c r="T821" i="1"/>
  <c r="P821" i="1"/>
  <c r="O821" i="1"/>
  <c r="N821" i="1"/>
  <c r="M821" i="1"/>
  <c r="L821" i="1"/>
  <c r="K821" i="1"/>
  <c r="J821" i="1"/>
  <c r="AI820" i="1"/>
  <c r="W820" i="1"/>
  <c r="X820" i="1" s="1"/>
  <c r="T820" i="1"/>
  <c r="P820" i="1"/>
  <c r="O820" i="1"/>
  <c r="N820" i="1"/>
  <c r="M820" i="1"/>
  <c r="L820" i="1"/>
  <c r="K820" i="1"/>
  <c r="J820" i="1"/>
  <c r="X819" i="1"/>
  <c r="W819" i="1"/>
  <c r="T819" i="1"/>
  <c r="P819" i="1"/>
  <c r="O819" i="1"/>
  <c r="N819" i="1"/>
  <c r="M819" i="1"/>
  <c r="L819" i="1"/>
  <c r="K819" i="1"/>
  <c r="J819" i="1"/>
  <c r="X818" i="1"/>
  <c r="W818" i="1"/>
  <c r="T818" i="1"/>
  <c r="P818" i="1"/>
  <c r="O818" i="1"/>
  <c r="N818" i="1"/>
  <c r="M818" i="1"/>
  <c r="L818" i="1"/>
  <c r="K818" i="1"/>
  <c r="J818" i="1"/>
  <c r="X817" i="1"/>
  <c r="W817" i="1"/>
  <c r="T817" i="1"/>
  <c r="P817" i="1"/>
  <c r="O817" i="1"/>
  <c r="N817" i="1"/>
  <c r="M817" i="1"/>
  <c r="L817" i="1"/>
  <c r="K817" i="1"/>
  <c r="J817" i="1"/>
  <c r="AI816" i="1"/>
  <c r="X816" i="1"/>
  <c r="W816" i="1"/>
  <c r="T816" i="1"/>
  <c r="P816" i="1"/>
  <c r="O816" i="1"/>
  <c r="N816" i="1"/>
  <c r="M816" i="1"/>
  <c r="L816" i="1"/>
  <c r="K816" i="1"/>
  <c r="J816" i="1"/>
  <c r="AI815" i="1"/>
  <c r="W815" i="1"/>
  <c r="X815" i="1" s="1"/>
  <c r="T815" i="1"/>
  <c r="P815" i="1"/>
  <c r="O815" i="1"/>
  <c r="N815" i="1"/>
  <c r="M815" i="1"/>
  <c r="L815" i="1"/>
  <c r="K815" i="1"/>
  <c r="J815" i="1"/>
  <c r="W814" i="1"/>
  <c r="X814" i="1" s="1"/>
  <c r="T814" i="1"/>
  <c r="P814" i="1"/>
  <c r="O814" i="1"/>
  <c r="N814" i="1"/>
  <c r="M814" i="1"/>
  <c r="L814" i="1"/>
  <c r="K814" i="1"/>
  <c r="J814" i="1"/>
  <c r="X813" i="1"/>
  <c r="W813" i="1"/>
  <c r="T813" i="1"/>
  <c r="P813" i="1"/>
  <c r="O813" i="1"/>
  <c r="N813" i="1"/>
  <c r="M813" i="1"/>
  <c r="L813" i="1"/>
  <c r="K813" i="1"/>
  <c r="J813" i="1"/>
  <c r="X812" i="1"/>
  <c r="W812" i="1"/>
  <c r="T812" i="1"/>
  <c r="P812" i="1"/>
  <c r="O812" i="1"/>
  <c r="N812" i="1"/>
  <c r="M812" i="1"/>
  <c r="L812" i="1"/>
  <c r="K812" i="1"/>
  <c r="J812" i="1"/>
  <c r="W811" i="1"/>
  <c r="X811" i="1" s="1"/>
  <c r="T811" i="1"/>
  <c r="P811" i="1"/>
  <c r="O811" i="1"/>
  <c r="N811" i="1"/>
  <c r="M811" i="1"/>
  <c r="L811" i="1"/>
  <c r="K811" i="1"/>
  <c r="J811" i="1"/>
  <c r="X810" i="1"/>
  <c r="W810" i="1"/>
  <c r="T810" i="1"/>
  <c r="P810" i="1"/>
  <c r="O810" i="1"/>
  <c r="N810" i="1"/>
  <c r="M810" i="1"/>
  <c r="L810" i="1"/>
  <c r="K810" i="1"/>
  <c r="J810" i="1"/>
  <c r="X809" i="1"/>
  <c r="W809" i="1"/>
  <c r="T809" i="1"/>
  <c r="P809" i="1"/>
  <c r="O809" i="1"/>
  <c r="N809" i="1"/>
  <c r="M809" i="1"/>
  <c r="L809" i="1"/>
  <c r="K809" i="1"/>
  <c r="J809" i="1"/>
  <c r="AI808" i="1"/>
  <c r="W808" i="1"/>
  <c r="X808" i="1" s="1"/>
  <c r="T808" i="1"/>
  <c r="P808" i="1"/>
  <c r="O808" i="1"/>
  <c r="N808" i="1"/>
  <c r="M808" i="1"/>
  <c r="L808" i="1"/>
  <c r="K808" i="1"/>
  <c r="J808" i="1"/>
  <c r="AI807" i="1"/>
  <c r="X807" i="1"/>
  <c r="W807" i="1"/>
  <c r="T807" i="1"/>
  <c r="P807" i="1"/>
  <c r="O807" i="1"/>
  <c r="N807" i="1"/>
  <c r="M807" i="1"/>
  <c r="L807" i="1"/>
  <c r="K807" i="1"/>
  <c r="J807" i="1"/>
  <c r="AI806" i="1"/>
  <c r="X806" i="1"/>
  <c r="W806" i="1"/>
  <c r="T806" i="1"/>
  <c r="P806" i="1"/>
  <c r="O806" i="1"/>
  <c r="N806" i="1"/>
  <c r="M806" i="1"/>
  <c r="L806" i="1"/>
  <c r="K806" i="1"/>
  <c r="J806" i="1"/>
  <c r="AI805" i="1"/>
  <c r="X805" i="1"/>
  <c r="W805" i="1"/>
  <c r="T805" i="1"/>
  <c r="P805" i="1"/>
  <c r="O805" i="1"/>
  <c r="N805" i="1"/>
  <c r="M805" i="1"/>
  <c r="L805" i="1"/>
  <c r="K805" i="1"/>
  <c r="J805" i="1"/>
  <c r="W804" i="1"/>
  <c r="X804" i="1" s="1"/>
  <c r="T804" i="1"/>
  <c r="P804" i="1"/>
  <c r="O804" i="1"/>
  <c r="N804" i="1"/>
  <c r="M804" i="1"/>
  <c r="L804" i="1"/>
  <c r="K804" i="1"/>
  <c r="J804" i="1"/>
  <c r="AI803" i="1"/>
  <c r="W803" i="1"/>
  <c r="X803" i="1" s="1"/>
  <c r="T803" i="1"/>
  <c r="P803" i="1"/>
  <c r="O803" i="1"/>
  <c r="N803" i="1"/>
  <c r="M803" i="1"/>
  <c r="L803" i="1"/>
  <c r="K803" i="1"/>
  <c r="J803" i="1"/>
  <c r="AI802" i="1"/>
  <c r="X802" i="1"/>
  <c r="W802" i="1"/>
  <c r="T802" i="1"/>
  <c r="P802" i="1"/>
  <c r="O802" i="1"/>
  <c r="N802" i="1"/>
  <c r="M802" i="1"/>
  <c r="L802" i="1"/>
  <c r="K802" i="1"/>
  <c r="J802" i="1"/>
  <c r="AI801" i="1"/>
  <c r="W801" i="1"/>
  <c r="X801" i="1" s="1"/>
  <c r="T801" i="1"/>
  <c r="P801" i="1"/>
  <c r="O801" i="1"/>
  <c r="N801" i="1"/>
  <c r="M801" i="1"/>
  <c r="L801" i="1"/>
  <c r="K801" i="1"/>
  <c r="J801" i="1"/>
  <c r="AI800" i="1"/>
  <c r="W800" i="1"/>
  <c r="X800" i="1" s="1"/>
  <c r="T800" i="1"/>
  <c r="P800" i="1"/>
  <c r="O800" i="1"/>
  <c r="N800" i="1"/>
  <c r="M800" i="1"/>
  <c r="L800" i="1"/>
  <c r="K800" i="1"/>
  <c r="J800" i="1"/>
  <c r="W799" i="1"/>
  <c r="X799" i="1" s="1"/>
  <c r="T799" i="1"/>
  <c r="P799" i="1"/>
  <c r="O799" i="1"/>
  <c r="N799" i="1"/>
  <c r="M799" i="1"/>
  <c r="L799" i="1"/>
  <c r="K799" i="1"/>
  <c r="J799" i="1"/>
  <c r="AI798" i="1"/>
  <c r="W798" i="1"/>
  <c r="X798" i="1" s="1"/>
  <c r="T798" i="1"/>
  <c r="P798" i="1"/>
  <c r="O798" i="1"/>
  <c r="N798" i="1"/>
  <c r="M798" i="1"/>
  <c r="L798" i="1"/>
  <c r="K798" i="1"/>
  <c r="J798" i="1"/>
  <c r="AI797" i="1"/>
  <c r="X797" i="1"/>
  <c r="W797" i="1"/>
  <c r="T797" i="1"/>
  <c r="P797" i="1"/>
  <c r="O797" i="1"/>
  <c r="N797" i="1"/>
  <c r="M797" i="1"/>
  <c r="L797" i="1"/>
  <c r="K797" i="1"/>
  <c r="J797" i="1"/>
  <c r="AI796" i="1"/>
  <c r="W796" i="1"/>
  <c r="X796" i="1" s="1"/>
  <c r="T796" i="1"/>
  <c r="P796" i="1"/>
  <c r="O796" i="1"/>
  <c r="N796" i="1"/>
  <c r="M796" i="1"/>
  <c r="L796" i="1"/>
  <c r="K796" i="1"/>
  <c r="J796" i="1"/>
  <c r="X795" i="1"/>
  <c r="W795" i="1"/>
  <c r="T795" i="1"/>
  <c r="P795" i="1"/>
  <c r="O795" i="1"/>
  <c r="N795" i="1"/>
  <c r="M795" i="1"/>
  <c r="L795" i="1"/>
  <c r="K795" i="1"/>
  <c r="J795" i="1"/>
  <c r="W794" i="1"/>
  <c r="X794" i="1" s="1"/>
  <c r="T794" i="1"/>
  <c r="P794" i="1"/>
  <c r="O794" i="1"/>
  <c r="N794" i="1"/>
  <c r="M794" i="1"/>
  <c r="L794" i="1"/>
  <c r="K794" i="1"/>
  <c r="J794" i="1"/>
  <c r="AI793" i="1"/>
  <c r="X793" i="1"/>
  <c r="W793" i="1"/>
  <c r="T793" i="1"/>
  <c r="P793" i="1"/>
  <c r="O793" i="1"/>
  <c r="N793" i="1"/>
  <c r="M793" i="1"/>
  <c r="L793" i="1"/>
  <c r="K793" i="1"/>
  <c r="J793" i="1"/>
  <c r="X792" i="1"/>
  <c r="W792" i="1"/>
  <c r="T792" i="1"/>
  <c r="P792" i="1"/>
  <c r="O792" i="1"/>
  <c r="N792" i="1"/>
  <c r="M792" i="1"/>
  <c r="L792" i="1"/>
  <c r="K792" i="1"/>
  <c r="J792" i="1"/>
  <c r="X791" i="1"/>
  <c r="W791" i="1"/>
  <c r="T791" i="1"/>
  <c r="P791" i="1"/>
  <c r="O791" i="1"/>
  <c r="N791" i="1"/>
  <c r="M791" i="1"/>
  <c r="L791" i="1"/>
  <c r="K791" i="1"/>
  <c r="J791" i="1"/>
  <c r="W790" i="1"/>
  <c r="X790" i="1" s="1"/>
  <c r="T790" i="1"/>
  <c r="P790" i="1"/>
  <c r="O790" i="1"/>
  <c r="N790" i="1"/>
  <c r="M790" i="1"/>
  <c r="L790" i="1"/>
  <c r="K790" i="1"/>
  <c r="J790" i="1"/>
  <c r="W789" i="1"/>
  <c r="X789" i="1" s="1"/>
  <c r="T789" i="1"/>
  <c r="P789" i="1"/>
  <c r="O789" i="1"/>
  <c r="N789" i="1"/>
  <c r="M789" i="1"/>
  <c r="L789" i="1"/>
  <c r="K789" i="1"/>
  <c r="J789" i="1"/>
  <c r="W788" i="1"/>
  <c r="X788" i="1" s="1"/>
  <c r="T788" i="1"/>
  <c r="P788" i="1"/>
  <c r="O788" i="1"/>
  <c r="N788" i="1"/>
  <c r="M788" i="1"/>
  <c r="L788" i="1"/>
  <c r="K788" i="1"/>
  <c r="J788" i="1"/>
  <c r="X787" i="1"/>
  <c r="W787" i="1"/>
  <c r="T787" i="1"/>
  <c r="P787" i="1"/>
  <c r="O787" i="1"/>
  <c r="N787" i="1"/>
  <c r="M787" i="1"/>
  <c r="L787" i="1"/>
  <c r="K787" i="1"/>
  <c r="J787" i="1"/>
  <c r="AI786" i="1"/>
  <c r="W786" i="1"/>
  <c r="X786" i="1" s="1"/>
  <c r="T786" i="1"/>
  <c r="P786" i="1"/>
  <c r="O786" i="1"/>
  <c r="N786" i="1"/>
  <c r="M786" i="1"/>
  <c r="L786" i="1"/>
  <c r="K786" i="1"/>
  <c r="J786" i="1"/>
  <c r="AI785" i="1"/>
  <c r="X785" i="1"/>
  <c r="W785" i="1"/>
  <c r="T785" i="1"/>
  <c r="P785" i="1"/>
  <c r="O785" i="1"/>
  <c r="N785" i="1"/>
  <c r="M785" i="1"/>
  <c r="L785" i="1"/>
  <c r="K785" i="1"/>
  <c r="J785" i="1"/>
  <c r="AI784" i="1"/>
  <c r="X784" i="1"/>
  <c r="W784" i="1"/>
  <c r="T784" i="1"/>
  <c r="P784" i="1"/>
  <c r="O784" i="1"/>
  <c r="N784" i="1"/>
  <c r="M784" i="1"/>
  <c r="L784" i="1"/>
  <c r="K784" i="1"/>
  <c r="J784" i="1"/>
  <c r="AI783" i="1"/>
  <c r="W783" i="1"/>
  <c r="X783" i="1" s="1"/>
  <c r="T783" i="1"/>
  <c r="P783" i="1"/>
  <c r="O783" i="1"/>
  <c r="N783" i="1"/>
  <c r="M783" i="1"/>
  <c r="L783" i="1"/>
  <c r="K783" i="1"/>
  <c r="J783" i="1"/>
  <c r="AI782" i="1"/>
  <c r="W782" i="1"/>
  <c r="X782" i="1" s="1"/>
  <c r="T782" i="1"/>
  <c r="P782" i="1"/>
  <c r="O782" i="1"/>
  <c r="N782" i="1"/>
  <c r="M782" i="1"/>
  <c r="L782" i="1"/>
  <c r="K782" i="1"/>
  <c r="J782" i="1"/>
  <c r="AI781" i="1"/>
  <c r="X781" i="1"/>
  <c r="W781" i="1"/>
  <c r="T781" i="1"/>
  <c r="P781" i="1"/>
  <c r="O781" i="1"/>
  <c r="N781" i="1"/>
  <c r="M781" i="1"/>
  <c r="L781" i="1"/>
  <c r="K781" i="1"/>
  <c r="J781" i="1"/>
  <c r="AI780" i="1"/>
  <c r="W780" i="1"/>
  <c r="X780" i="1" s="1"/>
  <c r="T780" i="1"/>
  <c r="P780" i="1"/>
  <c r="O780" i="1"/>
  <c r="N780" i="1"/>
  <c r="M780" i="1"/>
  <c r="L780" i="1"/>
  <c r="K780" i="1"/>
  <c r="J780" i="1"/>
  <c r="AI779" i="1"/>
  <c r="X779" i="1"/>
  <c r="W779" i="1"/>
  <c r="T779" i="1"/>
  <c r="P779" i="1"/>
  <c r="O779" i="1"/>
  <c r="N779" i="1"/>
  <c r="M779" i="1"/>
  <c r="L779" i="1"/>
  <c r="K779" i="1"/>
  <c r="J779" i="1"/>
  <c r="X778" i="1"/>
  <c r="W778" i="1"/>
  <c r="T778" i="1"/>
  <c r="P778" i="1"/>
  <c r="O778" i="1"/>
  <c r="N778" i="1"/>
  <c r="M778" i="1"/>
  <c r="L778" i="1"/>
  <c r="K778" i="1"/>
  <c r="J778" i="1"/>
  <c r="AI777" i="1"/>
  <c r="W777" i="1"/>
  <c r="X777" i="1" s="1"/>
  <c r="T777" i="1"/>
  <c r="P777" i="1"/>
  <c r="O777" i="1"/>
  <c r="N777" i="1"/>
  <c r="M777" i="1"/>
  <c r="L777" i="1"/>
  <c r="K777" i="1"/>
  <c r="J777" i="1"/>
  <c r="AI776" i="1"/>
  <c r="X776" i="1"/>
  <c r="W776" i="1"/>
  <c r="T776" i="1"/>
  <c r="P776" i="1"/>
  <c r="O776" i="1"/>
  <c r="N776" i="1"/>
  <c r="M776" i="1"/>
  <c r="L776" i="1"/>
  <c r="K776" i="1"/>
  <c r="J776" i="1"/>
  <c r="AI775" i="1"/>
  <c r="X775" i="1"/>
  <c r="W775" i="1"/>
  <c r="T775" i="1"/>
  <c r="P775" i="1"/>
  <c r="O775" i="1"/>
  <c r="N775" i="1"/>
  <c r="M775" i="1"/>
  <c r="L775" i="1"/>
  <c r="K775" i="1"/>
  <c r="J775" i="1"/>
  <c r="W774" i="1"/>
  <c r="X774" i="1" s="1"/>
  <c r="T774" i="1"/>
  <c r="P774" i="1"/>
  <c r="O774" i="1"/>
  <c r="N774" i="1"/>
  <c r="M774" i="1"/>
  <c r="L774" i="1"/>
  <c r="K774" i="1"/>
  <c r="J774" i="1"/>
  <c r="X773" i="1"/>
  <c r="W773" i="1"/>
  <c r="T773" i="1"/>
  <c r="P773" i="1"/>
  <c r="O773" i="1"/>
  <c r="N773" i="1"/>
  <c r="M773" i="1"/>
  <c r="L773" i="1"/>
  <c r="K773" i="1"/>
  <c r="J773" i="1"/>
  <c r="W772" i="1"/>
  <c r="X772" i="1" s="1"/>
  <c r="T772" i="1"/>
  <c r="P772" i="1"/>
  <c r="O772" i="1"/>
  <c r="N772" i="1"/>
  <c r="M772" i="1"/>
  <c r="L772" i="1"/>
  <c r="K772" i="1"/>
  <c r="J772" i="1"/>
  <c r="AI771" i="1"/>
  <c r="X771" i="1"/>
  <c r="W771" i="1"/>
  <c r="T771" i="1"/>
  <c r="P771" i="1"/>
  <c r="O771" i="1"/>
  <c r="N771" i="1"/>
  <c r="M771" i="1"/>
  <c r="L771" i="1"/>
  <c r="K771" i="1"/>
  <c r="J771" i="1"/>
  <c r="AI770" i="1"/>
  <c r="W770" i="1"/>
  <c r="X770" i="1" s="1"/>
  <c r="T770" i="1"/>
  <c r="P770" i="1"/>
  <c r="O770" i="1"/>
  <c r="N770" i="1"/>
  <c r="M770" i="1"/>
  <c r="L770" i="1"/>
  <c r="K770" i="1"/>
  <c r="J770" i="1"/>
  <c r="AI769" i="1"/>
  <c r="X769" i="1"/>
  <c r="W769" i="1"/>
  <c r="T769" i="1"/>
  <c r="P769" i="1"/>
  <c r="O769" i="1"/>
  <c r="N769" i="1"/>
  <c r="M769" i="1"/>
  <c r="L769" i="1"/>
  <c r="K769" i="1"/>
  <c r="J769" i="1"/>
  <c r="AI768" i="1"/>
  <c r="W768" i="1"/>
  <c r="X768" i="1" s="1"/>
  <c r="T768" i="1"/>
  <c r="P768" i="1"/>
  <c r="O768" i="1"/>
  <c r="N768" i="1"/>
  <c r="M768" i="1"/>
  <c r="L768" i="1"/>
  <c r="K768" i="1"/>
  <c r="J768" i="1"/>
  <c r="AI767" i="1"/>
  <c r="X767" i="1"/>
  <c r="W767" i="1"/>
  <c r="T767" i="1"/>
  <c r="P767" i="1"/>
  <c r="O767" i="1"/>
  <c r="N767" i="1"/>
  <c r="M767" i="1"/>
  <c r="L767" i="1"/>
  <c r="K767" i="1"/>
  <c r="J767" i="1"/>
  <c r="AI766" i="1"/>
  <c r="W766" i="1"/>
  <c r="X766" i="1" s="1"/>
  <c r="T766" i="1"/>
  <c r="P766" i="1"/>
  <c r="O766" i="1"/>
  <c r="N766" i="1"/>
  <c r="M766" i="1"/>
  <c r="L766" i="1"/>
  <c r="K766" i="1"/>
  <c r="J766" i="1"/>
  <c r="AI765" i="1"/>
  <c r="X765" i="1"/>
  <c r="W765" i="1"/>
  <c r="T765" i="1"/>
  <c r="P765" i="1"/>
  <c r="O765" i="1"/>
  <c r="N765" i="1"/>
  <c r="M765" i="1"/>
  <c r="L765" i="1"/>
  <c r="K765" i="1"/>
  <c r="J765" i="1"/>
  <c r="AI764" i="1"/>
  <c r="W764" i="1"/>
  <c r="X764" i="1" s="1"/>
  <c r="T764" i="1"/>
  <c r="P764" i="1"/>
  <c r="O764" i="1"/>
  <c r="N764" i="1"/>
  <c r="M764" i="1"/>
  <c r="L764" i="1"/>
  <c r="K764" i="1"/>
  <c r="J764" i="1"/>
  <c r="X763" i="1"/>
  <c r="W763" i="1"/>
  <c r="T763" i="1"/>
  <c r="P763" i="1"/>
  <c r="O763" i="1"/>
  <c r="N763" i="1"/>
  <c r="M763" i="1"/>
  <c r="L763" i="1"/>
  <c r="K763" i="1"/>
  <c r="J763" i="1"/>
  <c r="AI762" i="1"/>
  <c r="X762" i="1"/>
  <c r="W762" i="1"/>
  <c r="T762" i="1"/>
  <c r="P762" i="1"/>
  <c r="O762" i="1"/>
  <c r="N762" i="1"/>
  <c r="M762" i="1"/>
  <c r="L762" i="1"/>
  <c r="K762" i="1"/>
  <c r="J762" i="1"/>
  <c r="AI761" i="1"/>
  <c r="W761" i="1"/>
  <c r="X761" i="1" s="1"/>
  <c r="T761" i="1"/>
  <c r="P761" i="1"/>
  <c r="O761" i="1"/>
  <c r="N761" i="1"/>
  <c r="M761" i="1"/>
  <c r="L761" i="1"/>
  <c r="K761" i="1"/>
  <c r="J761" i="1"/>
  <c r="AI760" i="1"/>
  <c r="X760" i="1"/>
  <c r="W760" i="1"/>
  <c r="T760" i="1"/>
  <c r="P760" i="1"/>
  <c r="O760" i="1"/>
  <c r="N760" i="1"/>
  <c r="M760" i="1"/>
  <c r="L760" i="1"/>
  <c r="K760" i="1"/>
  <c r="J760" i="1"/>
  <c r="AI759" i="1"/>
  <c r="X759" i="1"/>
  <c r="W759" i="1"/>
  <c r="T759" i="1"/>
  <c r="P759" i="1"/>
  <c r="O759" i="1"/>
  <c r="N759" i="1"/>
  <c r="M759" i="1"/>
  <c r="L759" i="1"/>
  <c r="K759" i="1"/>
  <c r="J759" i="1"/>
  <c r="AI758" i="1"/>
  <c r="W758" i="1"/>
  <c r="X758" i="1" s="1"/>
  <c r="T758" i="1"/>
  <c r="P758" i="1"/>
  <c r="O758" i="1"/>
  <c r="N758" i="1"/>
  <c r="M758" i="1"/>
  <c r="L758" i="1"/>
  <c r="K758" i="1"/>
  <c r="J758" i="1"/>
  <c r="AI757" i="1"/>
  <c r="W757" i="1"/>
  <c r="X757" i="1" s="1"/>
  <c r="T757" i="1"/>
  <c r="P757" i="1"/>
  <c r="O757" i="1"/>
  <c r="N757" i="1"/>
  <c r="M757" i="1"/>
  <c r="L757" i="1"/>
  <c r="K757" i="1"/>
  <c r="J757" i="1"/>
  <c r="AI756" i="1"/>
  <c r="X756" i="1"/>
  <c r="W756" i="1"/>
  <c r="T756" i="1"/>
  <c r="P756" i="1"/>
  <c r="O756" i="1"/>
  <c r="N756" i="1"/>
  <c r="M756" i="1"/>
  <c r="L756" i="1"/>
  <c r="K756" i="1"/>
  <c r="J756" i="1"/>
  <c r="AI755" i="1"/>
  <c r="W755" i="1"/>
  <c r="X755" i="1" s="1"/>
  <c r="T755" i="1"/>
  <c r="P755" i="1"/>
  <c r="O755" i="1"/>
  <c r="N755" i="1"/>
  <c r="M755" i="1"/>
  <c r="L755" i="1"/>
  <c r="K755" i="1"/>
  <c r="J755" i="1"/>
  <c r="AI754" i="1"/>
  <c r="W754" i="1"/>
  <c r="X754" i="1" s="1"/>
  <c r="T754" i="1"/>
  <c r="P754" i="1"/>
  <c r="O754" i="1"/>
  <c r="N754" i="1"/>
  <c r="M754" i="1"/>
  <c r="L754" i="1"/>
  <c r="K754" i="1"/>
  <c r="J754" i="1"/>
  <c r="AI753" i="1"/>
  <c r="W753" i="1"/>
  <c r="X753" i="1" s="1"/>
  <c r="T753" i="1"/>
  <c r="P753" i="1"/>
  <c r="O753" i="1"/>
  <c r="N753" i="1"/>
  <c r="M753" i="1"/>
  <c r="L753" i="1"/>
  <c r="K753" i="1"/>
  <c r="J753" i="1"/>
  <c r="AI752" i="1"/>
  <c r="X752" i="1"/>
  <c r="W752" i="1"/>
  <c r="T752" i="1"/>
  <c r="P752" i="1"/>
  <c r="O752" i="1"/>
  <c r="N752" i="1"/>
  <c r="M752" i="1"/>
  <c r="L752" i="1"/>
  <c r="K752" i="1"/>
  <c r="J752" i="1"/>
  <c r="AI751" i="1"/>
  <c r="W751" i="1"/>
  <c r="X751" i="1" s="1"/>
  <c r="T751" i="1"/>
  <c r="P751" i="1"/>
  <c r="O751" i="1"/>
  <c r="N751" i="1"/>
  <c r="M751" i="1"/>
  <c r="L751" i="1"/>
  <c r="K751" i="1"/>
  <c r="J751" i="1"/>
  <c r="AI750" i="1"/>
  <c r="X750" i="1"/>
  <c r="W750" i="1"/>
  <c r="T750" i="1"/>
  <c r="P750" i="1"/>
  <c r="O750" i="1"/>
  <c r="N750" i="1"/>
  <c r="M750" i="1"/>
  <c r="L750" i="1"/>
  <c r="K750" i="1"/>
  <c r="J750" i="1"/>
  <c r="AI749" i="1"/>
  <c r="W749" i="1"/>
  <c r="X749" i="1" s="1"/>
  <c r="T749" i="1"/>
  <c r="P749" i="1"/>
  <c r="O749" i="1"/>
  <c r="N749" i="1"/>
  <c r="M749" i="1"/>
  <c r="L749" i="1"/>
  <c r="K749" i="1"/>
  <c r="J749" i="1"/>
  <c r="AI748" i="1"/>
  <c r="X748" i="1"/>
  <c r="W748" i="1"/>
  <c r="T748" i="1"/>
  <c r="P748" i="1"/>
  <c r="O748" i="1"/>
  <c r="N748" i="1"/>
  <c r="M748" i="1"/>
  <c r="L748" i="1"/>
  <c r="K748" i="1"/>
  <c r="J748" i="1"/>
  <c r="X747" i="1"/>
  <c r="W747" i="1"/>
  <c r="T747" i="1"/>
  <c r="P747" i="1"/>
  <c r="O747" i="1"/>
  <c r="N747" i="1"/>
  <c r="M747" i="1"/>
  <c r="L747" i="1"/>
  <c r="K747" i="1"/>
  <c r="J747" i="1"/>
  <c r="AI746" i="1"/>
  <c r="W746" i="1"/>
  <c r="X746" i="1" s="1"/>
  <c r="T746" i="1"/>
  <c r="P746" i="1"/>
  <c r="O746" i="1"/>
  <c r="N746" i="1"/>
  <c r="M746" i="1"/>
  <c r="L746" i="1"/>
  <c r="K746" i="1"/>
  <c r="J746" i="1"/>
  <c r="AI745" i="1"/>
  <c r="X745" i="1"/>
  <c r="W745" i="1"/>
  <c r="T745" i="1"/>
  <c r="P745" i="1"/>
  <c r="O745" i="1"/>
  <c r="N745" i="1"/>
  <c r="M745" i="1"/>
  <c r="L745" i="1"/>
  <c r="K745" i="1"/>
  <c r="J745" i="1"/>
  <c r="AI744" i="1"/>
  <c r="X744" i="1"/>
  <c r="W744" i="1"/>
  <c r="T744" i="1"/>
  <c r="P744" i="1"/>
  <c r="O744" i="1"/>
  <c r="N744" i="1"/>
  <c r="M744" i="1"/>
  <c r="L744" i="1"/>
  <c r="K744" i="1"/>
  <c r="J744" i="1"/>
  <c r="AI743" i="1"/>
  <c r="W743" i="1"/>
  <c r="X743" i="1" s="1"/>
  <c r="T743" i="1"/>
  <c r="P743" i="1"/>
  <c r="O743" i="1"/>
  <c r="N743" i="1"/>
  <c r="M743" i="1"/>
  <c r="L743" i="1"/>
  <c r="K743" i="1"/>
  <c r="J743" i="1"/>
  <c r="AI742" i="1"/>
  <c r="W742" i="1"/>
  <c r="X742" i="1" s="1"/>
  <c r="T742" i="1"/>
  <c r="P742" i="1"/>
  <c r="O742" i="1"/>
  <c r="N742" i="1"/>
  <c r="M742" i="1"/>
  <c r="L742" i="1"/>
  <c r="K742" i="1"/>
  <c r="J742" i="1"/>
  <c r="AI741" i="1"/>
  <c r="X741" i="1"/>
  <c r="W741" i="1"/>
  <c r="T741" i="1"/>
  <c r="P741" i="1"/>
  <c r="O741" i="1"/>
  <c r="N741" i="1"/>
  <c r="M741" i="1"/>
  <c r="L741" i="1"/>
  <c r="K741" i="1"/>
  <c r="J741" i="1"/>
  <c r="AI740" i="1"/>
  <c r="W740" i="1"/>
  <c r="X740" i="1" s="1"/>
  <c r="T740" i="1"/>
  <c r="P740" i="1"/>
  <c r="O740" i="1"/>
  <c r="N740" i="1"/>
  <c r="M740" i="1"/>
  <c r="L740" i="1"/>
  <c r="K740" i="1"/>
  <c r="J740" i="1"/>
  <c r="AI739" i="1"/>
  <c r="W739" i="1"/>
  <c r="X739" i="1" s="1"/>
  <c r="T739" i="1"/>
  <c r="P739" i="1"/>
  <c r="O739" i="1"/>
  <c r="N739" i="1"/>
  <c r="M739" i="1"/>
  <c r="L739" i="1"/>
  <c r="K739" i="1"/>
  <c r="J739" i="1"/>
  <c r="AI738" i="1"/>
  <c r="W738" i="1"/>
  <c r="X738" i="1" s="1"/>
  <c r="T738" i="1"/>
  <c r="P738" i="1"/>
  <c r="O738" i="1"/>
  <c r="N738" i="1"/>
  <c r="M738" i="1"/>
  <c r="L738" i="1"/>
  <c r="K738" i="1"/>
  <c r="J738" i="1"/>
  <c r="AI737" i="1"/>
  <c r="X737" i="1"/>
  <c r="W737" i="1"/>
  <c r="T737" i="1"/>
  <c r="P737" i="1"/>
  <c r="O737" i="1"/>
  <c r="N737" i="1"/>
  <c r="M737" i="1"/>
  <c r="L737" i="1"/>
  <c r="K737" i="1"/>
  <c r="J737" i="1"/>
  <c r="X736" i="1"/>
  <c r="W736" i="1"/>
  <c r="T736" i="1"/>
  <c r="P736" i="1"/>
  <c r="O736" i="1"/>
  <c r="N736" i="1"/>
  <c r="M736" i="1"/>
  <c r="L736" i="1"/>
  <c r="K736" i="1"/>
  <c r="J736" i="1"/>
  <c r="AI735" i="1"/>
  <c r="W735" i="1"/>
  <c r="X735" i="1" s="1"/>
  <c r="T735" i="1"/>
  <c r="P735" i="1"/>
  <c r="O735" i="1"/>
  <c r="N735" i="1"/>
  <c r="M735" i="1"/>
  <c r="L735" i="1"/>
  <c r="K735" i="1"/>
  <c r="J735" i="1"/>
  <c r="X734" i="1"/>
  <c r="W734" i="1"/>
  <c r="T734" i="1"/>
  <c r="P734" i="1"/>
  <c r="O734" i="1"/>
  <c r="N734" i="1"/>
  <c r="M734" i="1"/>
  <c r="L734" i="1"/>
  <c r="K734" i="1"/>
  <c r="J734" i="1"/>
  <c r="X733" i="1"/>
  <c r="W733" i="1"/>
  <c r="T733" i="1"/>
  <c r="P733" i="1"/>
  <c r="O733" i="1"/>
  <c r="N733" i="1"/>
  <c r="M733" i="1"/>
  <c r="L733" i="1"/>
  <c r="K733" i="1"/>
  <c r="J733" i="1"/>
  <c r="AI732" i="1"/>
  <c r="W732" i="1"/>
  <c r="X732" i="1" s="1"/>
  <c r="T732" i="1"/>
  <c r="P732" i="1"/>
  <c r="O732" i="1"/>
  <c r="N732" i="1"/>
  <c r="M732" i="1"/>
  <c r="L732" i="1"/>
  <c r="K732" i="1"/>
  <c r="J732" i="1"/>
  <c r="W731" i="1"/>
  <c r="X731" i="1" s="1"/>
  <c r="T731" i="1"/>
  <c r="P731" i="1"/>
  <c r="O731" i="1"/>
  <c r="N731" i="1"/>
  <c r="M731" i="1"/>
  <c r="L731" i="1"/>
  <c r="K731" i="1"/>
  <c r="J731" i="1"/>
  <c r="AI730" i="1"/>
  <c r="W730" i="1"/>
  <c r="X730" i="1" s="1"/>
  <c r="T730" i="1"/>
  <c r="P730" i="1"/>
  <c r="O730" i="1"/>
  <c r="N730" i="1"/>
  <c r="M730" i="1"/>
  <c r="L730" i="1"/>
  <c r="K730" i="1"/>
  <c r="J730" i="1"/>
  <c r="AI729" i="1"/>
  <c r="X729" i="1"/>
  <c r="W729" i="1"/>
  <c r="T729" i="1"/>
  <c r="P729" i="1"/>
  <c r="O729" i="1"/>
  <c r="N729" i="1"/>
  <c r="M729" i="1"/>
  <c r="L729" i="1"/>
  <c r="K729" i="1"/>
  <c r="J729" i="1"/>
  <c r="X728" i="1"/>
  <c r="W728" i="1"/>
  <c r="T728" i="1"/>
  <c r="P728" i="1"/>
  <c r="O728" i="1"/>
  <c r="N728" i="1"/>
  <c r="M728" i="1"/>
  <c r="L728" i="1"/>
  <c r="K728" i="1"/>
  <c r="J728" i="1"/>
  <c r="X727" i="1"/>
  <c r="W727" i="1"/>
  <c r="T727" i="1"/>
  <c r="P727" i="1"/>
  <c r="O727" i="1"/>
  <c r="N727" i="1"/>
  <c r="M727" i="1"/>
  <c r="L727" i="1"/>
  <c r="K727" i="1"/>
  <c r="J727" i="1"/>
  <c r="AI726" i="1"/>
  <c r="W726" i="1"/>
  <c r="X726" i="1" s="1"/>
  <c r="T726" i="1"/>
  <c r="P726" i="1"/>
  <c r="O726" i="1"/>
  <c r="N726" i="1"/>
  <c r="M726" i="1"/>
  <c r="L726" i="1"/>
  <c r="K726" i="1"/>
  <c r="J726" i="1"/>
  <c r="AI725" i="1"/>
  <c r="X725" i="1"/>
  <c r="W725" i="1"/>
  <c r="T725" i="1"/>
  <c r="P725" i="1"/>
  <c r="O725" i="1"/>
  <c r="N725" i="1"/>
  <c r="M725" i="1"/>
  <c r="L725" i="1"/>
  <c r="K725" i="1"/>
  <c r="J725" i="1"/>
  <c r="AI724" i="1"/>
  <c r="W724" i="1"/>
  <c r="X724" i="1" s="1"/>
  <c r="T724" i="1"/>
  <c r="P724" i="1"/>
  <c r="O724" i="1"/>
  <c r="N724" i="1"/>
  <c r="M724" i="1"/>
  <c r="L724" i="1"/>
  <c r="K724" i="1"/>
  <c r="J724" i="1"/>
  <c r="AI723" i="1"/>
  <c r="X723" i="1"/>
  <c r="W723" i="1"/>
  <c r="T723" i="1"/>
  <c r="P723" i="1"/>
  <c r="O723" i="1"/>
  <c r="N723" i="1"/>
  <c r="M723" i="1"/>
  <c r="L723" i="1"/>
  <c r="K723" i="1"/>
  <c r="J723" i="1"/>
  <c r="AI722" i="1"/>
  <c r="X722" i="1"/>
  <c r="W722" i="1"/>
  <c r="T722" i="1"/>
  <c r="P722" i="1"/>
  <c r="O722" i="1"/>
  <c r="N722" i="1"/>
  <c r="M722" i="1"/>
  <c r="L722" i="1"/>
  <c r="K722" i="1"/>
  <c r="J722" i="1"/>
  <c r="AI721" i="1"/>
  <c r="X721" i="1"/>
  <c r="W721" i="1"/>
  <c r="T721" i="1"/>
  <c r="P721" i="1"/>
  <c r="O721" i="1"/>
  <c r="N721" i="1"/>
  <c r="M721" i="1"/>
  <c r="L721" i="1"/>
  <c r="K721" i="1"/>
  <c r="J721" i="1"/>
  <c r="AI720" i="1"/>
  <c r="W720" i="1"/>
  <c r="X720" i="1" s="1"/>
  <c r="T720" i="1"/>
  <c r="P720" i="1"/>
  <c r="O720" i="1"/>
  <c r="N720" i="1"/>
  <c r="M720" i="1"/>
  <c r="L720" i="1"/>
  <c r="K720" i="1"/>
  <c r="J720" i="1"/>
  <c r="AI719" i="1"/>
  <c r="X719" i="1"/>
  <c r="W719" i="1"/>
  <c r="T719" i="1"/>
  <c r="P719" i="1"/>
  <c r="O719" i="1"/>
  <c r="N719" i="1"/>
  <c r="M719" i="1"/>
  <c r="L719" i="1"/>
  <c r="K719" i="1"/>
  <c r="J719" i="1"/>
  <c r="AI718" i="1"/>
  <c r="X718" i="1"/>
  <c r="W718" i="1"/>
  <c r="T718" i="1"/>
  <c r="P718" i="1"/>
  <c r="O718" i="1"/>
  <c r="N718" i="1"/>
  <c r="M718" i="1"/>
  <c r="L718" i="1"/>
  <c r="K718" i="1"/>
  <c r="J718" i="1"/>
  <c r="AI717" i="1"/>
  <c r="X717" i="1"/>
  <c r="W717" i="1"/>
  <c r="T717" i="1"/>
  <c r="P717" i="1"/>
  <c r="O717" i="1"/>
  <c r="N717" i="1"/>
  <c r="M717" i="1"/>
  <c r="L717" i="1"/>
  <c r="K717" i="1"/>
  <c r="J717" i="1"/>
  <c r="AI716" i="1"/>
  <c r="W716" i="1"/>
  <c r="X716" i="1" s="1"/>
  <c r="T716" i="1"/>
  <c r="P716" i="1"/>
  <c r="O716" i="1"/>
  <c r="N716" i="1"/>
  <c r="M716" i="1"/>
  <c r="L716" i="1"/>
  <c r="K716" i="1"/>
  <c r="J716" i="1"/>
  <c r="AI715" i="1"/>
  <c r="X715" i="1"/>
  <c r="W715" i="1"/>
  <c r="T715" i="1"/>
  <c r="P715" i="1"/>
  <c r="O715" i="1"/>
  <c r="N715" i="1"/>
  <c r="M715" i="1"/>
  <c r="L715" i="1"/>
  <c r="K715" i="1"/>
  <c r="J715" i="1"/>
  <c r="AI714" i="1"/>
  <c r="X714" i="1"/>
  <c r="W714" i="1"/>
  <c r="T714" i="1"/>
  <c r="P714" i="1"/>
  <c r="O714" i="1"/>
  <c r="N714" i="1"/>
  <c r="M714" i="1"/>
  <c r="L714" i="1"/>
  <c r="K714" i="1"/>
  <c r="J714" i="1"/>
  <c r="AI713" i="1"/>
  <c r="W713" i="1"/>
  <c r="X713" i="1" s="1"/>
  <c r="T713" i="1"/>
  <c r="P713" i="1"/>
  <c r="O713" i="1"/>
  <c r="N713" i="1"/>
  <c r="M713" i="1"/>
  <c r="L713" i="1"/>
  <c r="K713" i="1"/>
  <c r="J713" i="1"/>
  <c r="AI712" i="1"/>
  <c r="W712" i="1"/>
  <c r="X712" i="1" s="1"/>
  <c r="T712" i="1"/>
  <c r="P712" i="1"/>
  <c r="O712" i="1"/>
  <c r="N712" i="1"/>
  <c r="M712" i="1"/>
  <c r="L712" i="1"/>
  <c r="K712" i="1"/>
  <c r="J712" i="1"/>
  <c r="AI711" i="1"/>
  <c r="X711" i="1"/>
  <c r="W711" i="1"/>
  <c r="T711" i="1"/>
  <c r="P711" i="1"/>
  <c r="O711" i="1"/>
  <c r="N711" i="1"/>
  <c r="M711" i="1"/>
  <c r="L711" i="1"/>
  <c r="K711" i="1"/>
  <c r="J711" i="1"/>
  <c r="AI710" i="1"/>
  <c r="W710" i="1"/>
  <c r="X710" i="1" s="1"/>
  <c r="T710" i="1"/>
  <c r="P710" i="1"/>
  <c r="O710" i="1"/>
  <c r="N710" i="1"/>
  <c r="M710" i="1"/>
  <c r="L710" i="1"/>
  <c r="K710" i="1"/>
  <c r="J710" i="1"/>
  <c r="AI709" i="1"/>
  <c r="X709" i="1"/>
  <c r="W709" i="1"/>
  <c r="T709" i="1"/>
  <c r="P709" i="1"/>
  <c r="O709" i="1"/>
  <c r="N709" i="1"/>
  <c r="M709" i="1"/>
  <c r="L709" i="1"/>
  <c r="K709" i="1"/>
  <c r="J709" i="1"/>
  <c r="AI708" i="1"/>
  <c r="W708" i="1"/>
  <c r="X708" i="1" s="1"/>
  <c r="T708" i="1"/>
  <c r="P708" i="1"/>
  <c r="O708" i="1"/>
  <c r="N708" i="1"/>
  <c r="M708" i="1"/>
  <c r="L708" i="1"/>
  <c r="K708" i="1"/>
  <c r="J708" i="1"/>
  <c r="AI707" i="1"/>
  <c r="X707" i="1"/>
  <c r="W707" i="1"/>
  <c r="T707" i="1"/>
  <c r="P707" i="1"/>
  <c r="O707" i="1"/>
  <c r="N707" i="1"/>
  <c r="M707" i="1"/>
  <c r="L707" i="1"/>
  <c r="K707" i="1"/>
  <c r="J707" i="1"/>
  <c r="AI706" i="1"/>
  <c r="X706" i="1"/>
  <c r="W706" i="1"/>
  <c r="T706" i="1"/>
  <c r="P706" i="1"/>
  <c r="O706" i="1"/>
  <c r="N706" i="1"/>
  <c r="M706" i="1"/>
  <c r="L706" i="1"/>
  <c r="K706" i="1"/>
  <c r="J706" i="1"/>
  <c r="AI705" i="1"/>
  <c r="X705" i="1"/>
  <c r="W705" i="1"/>
  <c r="T705" i="1"/>
  <c r="P705" i="1"/>
  <c r="O705" i="1"/>
  <c r="N705" i="1"/>
  <c r="M705" i="1"/>
  <c r="L705" i="1"/>
  <c r="K705" i="1"/>
  <c r="J705" i="1"/>
  <c r="AI704" i="1"/>
  <c r="W704" i="1"/>
  <c r="X704" i="1" s="1"/>
  <c r="T704" i="1"/>
  <c r="P704" i="1"/>
  <c r="O704" i="1"/>
  <c r="N704" i="1"/>
  <c r="M704" i="1"/>
  <c r="L704" i="1"/>
  <c r="K704" i="1"/>
  <c r="J704" i="1"/>
  <c r="AI703" i="1"/>
  <c r="X703" i="1"/>
  <c r="W703" i="1"/>
  <c r="T703" i="1"/>
  <c r="P703" i="1"/>
  <c r="O703" i="1"/>
  <c r="N703" i="1"/>
  <c r="M703" i="1"/>
  <c r="L703" i="1"/>
  <c r="K703" i="1"/>
  <c r="J703" i="1"/>
  <c r="AI702" i="1"/>
  <c r="X702" i="1"/>
  <c r="W702" i="1"/>
  <c r="T702" i="1"/>
  <c r="P702" i="1"/>
  <c r="O702" i="1"/>
  <c r="N702" i="1"/>
  <c r="M702" i="1"/>
  <c r="L702" i="1"/>
  <c r="K702" i="1"/>
  <c r="J702" i="1"/>
  <c r="AI701" i="1"/>
  <c r="W701" i="1"/>
  <c r="X701" i="1" s="1"/>
  <c r="T701" i="1"/>
  <c r="P701" i="1"/>
  <c r="O701" i="1"/>
  <c r="N701" i="1"/>
  <c r="M701" i="1"/>
  <c r="L701" i="1"/>
  <c r="K701" i="1"/>
  <c r="J701" i="1"/>
  <c r="AI700" i="1"/>
  <c r="W700" i="1"/>
  <c r="X700" i="1" s="1"/>
  <c r="T700" i="1"/>
  <c r="P700" i="1"/>
  <c r="O700" i="1"/>
  <c r="N700" i="1"/>
  <c r="M700" i="1"/>
  <c r="L700" i="1"/>
  <c r="K700" i="1"/>
  <c r="J700" i="1"/>
  <c r="AI699" i="1"/>
  <c r="X699" i="1"/>
  <c r="W699" i="1"/>
  <c r="T699" i="1"/>
  <c r="P699" i="1"/>
  <c r="O699" i="1"/>
  <c r="N699" i="1"/>
  <c r="M699" i="1"/>
  <c r="L699" i="1"/>
  <c r="K699" i="1"/>
  <c r="J699" i="1"/>
  <c r="AI698" i="1"/>
  <c r="W698" i="1"/>
  <c r="X698" i="1" s="1"/>
  <c r="T698" i="1"/>
  <c r="P698" i="1"/>
  <c r="O698" i="1"/>
  <c r="N698" i="1"/>
  <c r="M698" i="1"/>
  <c r="L698" i="1"/>
  <c r="K698" i="1"/>
  <c r="J698" i="1"/>
  <c r="AI697" i="1"/>
  <c r="W697" i="1"/>
  <c r="X697" i="1" s="1"/>
  <c r="T697" i="1"/>
  <c r="P697" i="1"/>
  <c r="O697" i="1"/>
  <c r="N697" i="1"/>
  <c r="M697" i="1"/>
  <c r="L697" i="1"/>
  <c r="K697" i="1"/>
  <c r="J697" i="1"/>
  <c r="AI696" i="1"/>
  <c r="W696" i="1"/>
  <c r="X696" i="1" s="1"/>
  <c r="T696" i="1"/>
  <c r="P696" i="1"/>
  <c r="O696" i="1"/>
  <c r="N696" i="1"/>
  <c r="M696" i="1"/>
  <c r="L696" i="1"/>
  <c r="K696" i="1"/>
  <c r="J696" i="1"/>
  <c r="AI695" i="1"/>
  <c r="X695" i="1"/>
  <c r="W695" i="1"/>
  <c r="T695" i="1"/>
  <c r="P695" i="1"/>
  <c r="O695" i="1"/>
  <c r="N695" i="1"/>
  <c r="M695" i="1"/>
  <c r="L695" i="1"/>
  <c r="K695" i="1"/>
  <c r="J695" i="1"/>
  <c r="AI694" i="1"/>
  <c r="W694" i="1"/>
  <c r="X694" i="1" s="1"/>
  <c r="T694" i="1"/>
  <c r="P694" i="1"/>
  <c r="O694" i="1"/>
  <c r="N694" i="1"/>
  <c r="M694" i="1"/>
  <c r="L694" i="1"/>
  <c r="K694" i="1"/>
  <c r="J694" i="1"/>
  <c r="AI693" i="1"/>
  <c r="X693" i="1"/>
  <c r="W693" i="1"/>
  <c r="T693" i="1"/>
  <c r="P693" i="1"/>
  <c r="O693" i="1"/>
  <c r="N693" i="1"/>
  <c r="M693" i="1"/>
  <c r="L693" i="1"/>
  <c r="K693" i="1"/>
  <c r="J693" i="1"/>
  <c r="AI692" i="1"/>
  <c r="W692" i="1"/>
  <c r="X692" i="1" s="1"/>
  <c r="T692" i="1"/>
  <c r="P692" i="1"/>
  <c r="O692" i="1"/>
  <c r="N692" i="1"/>
  <c r="M692" i="1"/>
  <c r="L692" i="1"/>
  <c r="K692" i="1"/>
  <c r="J692" i="1"/>
  <c r="AI691" i="1"/>
  <c r="X691" i="1"/>
  <c r="W691" i="1"/>
  <c r="T691" i="1"/>
  <c r="P691" i="1"/>
  <c r="O691" i="1"/>
  <c r="N691" i="1"/>
  <c r="M691" i="1"/>
  <c r="L691" i="1"/>
  <c r="K691" i="1"/>
  <c r="J691" i="1"/>
  <c r="AI690" i="1"/>
  <c r="X690" i="1"/>
  <c r="W690" i="1"/>
  <c r="T690" i="1"/>
  <c r="P690" i="1"/>
  <c r="O690" i="1"/>
  <c r="N690" i="1"/>
  <c r="M690" i="1"/>
  <c r="L690" i="1"/>
  <c r="K690" i="1"/>
  <c r="J690" i="1"/>
  <c r="AI689" i="1"/>
  <c r="X689" i="1"/>
  <c r="W689" i="1"/>
  <c r="T689" i="1"/>
  <c r="P689" i="1"/>
  <c r="O689" i="1"/>
  <c r="N689" i="1"/>
  <c r="M689" i="1"/>
  <c r="L689" i="1"/>
  <c r="K689" i="1"/>
  <c r="J689" i="1"/>
  <c r="AI688" i="1"/>
  <c r="W688" i="1"/>
  <c r="X688" i="1" s="1"/>
  <c r="T688" i="1"/>
  <c r="P688" i="1"/>
  <c r="O688" i="1"/>
  <c r="N688" i="1"/>
  <c r="M688" i="1"/>
  <c r="L688" i="1"/>
  <c r="K688" i="1"/>
  <c r="J688" i="1"/>
  <c r="AI687" i="1"/>
  <c r="X687" i="1"/>
  <c r="W687" i="1"/>
  <c r="T687" i="1"/>
  <c r="P687" i="1"/>
  <c r="O687" i="1"/>
  <c r="N687" i="1"/>
  <c r="M687" i="1"/>
  <c r="L687" i="1"/>
  <c r="K687" i="1"/>
  <c r="J687" i="1"/>
  <c r="AI686" i="1"/>
  <c r="X686" i="1"/>
  <c r="W686" i="1"/>
  <c r="T686" i="1"/>
  <c r="P686" i="1"/>
  <c r="O686" i="1"/>
  <c r="N686" i="1"/>
  <c r="M686" i="1"/>
  <c r="L686" i="1"/>
  <c r="K686" i="1"/>
  <c r="J686" i="1"/>
  <c r="AI685" i="1"/>
  <c r="X685" i="1"/>
  <c r="W685" i="1"/>
  <c r="T685" i="1"/>
  <c r="P685" i="1"/>
  <c r="O685" i="1"/>
  <c r="N685" i="1"/>
  <c r="M685" i="1"/>
  <c r="L685" i="1"/>
  <c r="K685" i="1"/>
  <c r="J685" i="1"/>
  <c r="AI684" i="1"/>
  <c r="W684" i="1"/>
  <c r="X684" i="1" s="1"/>
  <c r="T684" i="1"/>
  <c r="P684" i="1"/>
  <c r="O684" i="1"/>
  <c r="N684" i="1"/>
  <c r="M684" i="1"/>
  <c r="L684" i="1"/>
  <c r="K684" i="1"/>
  <c r="J684" i="1"/>
  <c r="AI683" i="1"/>
  <c r="X683" i="1"/>
  <c r="W683" i="1"/>
  <c r="T683" i="1"/>
  <c r="P683" i="1"/>
  <c r="O683" i="1"/>
  <c r="N683" i="1"/>
  <c r="M683" i="1"/>
  <c r="L683" i="1"/>
  <c r="K683" i="1"/>
  <c r="J683" i="1"/>
  <c r="AI682" i="1"/>
  <c r="X682" i="1"/>
  <c r="W682" i="1"/>
  <c r="T682" i="1"/>
  <c r="P682" i="1"/>
  <c r="O682" i="1"/>
  <c r="N682" i="1"/>
  <c r="M682" i="1"/>
  <c r="L682" i="1"/>
  <c r="K682" i="1"/>
  <c r="J682" i="1"/>
  <c r="AI681" i="1"/>
  <c r="W681" i="1"/>
  <c r="X681" i="1" s="1"/>
  <c r="T681" i="1"/>
  <c r="P681" i="1"/>
  <c r="O681" i="1"/>
  <c r="N681" i="1"/>
  <c r="M681" i="1"/>
  <c r="L681" i="1"/>
  <c r="K681" i="1"/>
  <c r="J681" i="1"/>
  <c r="AI680" i="1"/>
  <c r="W680" i="1"/>
  <c r="X680" i="1" s="1"/>
  <c r="T680" i="1"/>
  <c r="P680" i="1"/>
  <c r="O680" i="1"/>
  <c r="N680" i="1"/>
  <c r="M680" i="1"/>
  <c r="L680" i="1"/>
  <c r="K680" i="1"/>
  <c r="J680" i="1"/>
  <c r="AI679" i="1"/>
  <c r="X679" i="1"/>
  <c r="W679" i="1"/>
  <c r="T679" i="1"/>
  <c r="P679" i="1"/>
  <c r="O679" i="1"/>
  <c r="N679" i="1"/>
  <c r="M679" i="1"/>
  <c r="L679" i="1"/>
  <c r="K679" i="1"/>
  <c r="J679" i="1"/>
  <c r="AI678" i="1"/>
  <c r="W678" i="1"/>
  <c r="X678" i="1" s="1"/>
  <c r="T678" i="1"/>
  <c r="P678" i="1"/>
  <c r="O678" i="1"/>
  <c r="N678" i="1"/>
  <c r="M678" i="1"/>
  <c r="L678" i="1"/>
  <c r="K678" i="1"/>
  <c r="J678" i="1"/>
  <c r="AI677" i="1"/>
  <c r="X677" i="1"/>
  <c r="W677" i="1"/>
  <c r="T677" i="1"/>
  <c r="P677" i="1"/>
  <c r="O677" i="1"/>
  <c r="N677" i="1"/>
  <c r="M677" i="1"/>
  <c r="L677" i="1"/>
  <c r="K677" i="1"/>
  <c r="J677" i="1"/>
  <c r="AI676" i="1"/>
  <c r="W676" i="1"/>
  <c r="X676" i="1" s="1"/>
  <c r="T676" i="1"/>
  <c r="P676" i="1"/>
  <c r="O676" i="1"/>
  <c r="N676" i="1"/>
  <c r="M676" i="1"/>
  <c r="L676" i="1"/>
  <c r="K676" i="1"/>
  <c r="J676" i="1"/>
  <c r="AI675" i="1"/>
  <c r="X675" i="1"/>
  <c r="W675" i="1"/>
  <c r="T675" i="1"/>
  <c r="P675" i="1"/>
  <c r="O675" i="1"/>
  <c r="N675" i="1"/>
  <c r="M675" i="1"/>
  <c r="L675" i="1"/>
  <c r="K675" i="1"/>
  <c r="J675" i="1"/>
  <c r="AI674" i="1"/>
  <c r="X674" i="1"/>
  <c r="W674" i="1"/>
  <c r="T674" i="1"/>
  <c r="P674" i="1"/>
  <c r="O674" i="1"/>
  <c r="N674" i="1"/>
  <c r="M674" i="1"/>
  <c r="L674" i="1"/>
  <c r="K674" i="1"/>
  <c r="J674" i="1"/>
  <c r="AI673" i="1"/>
  <c r="X673" i="1"/>
  <c r="W673" i="1"/>
  <c r="T673" i="1"/>
  <c r="P673" i="1"/>
  <c r="O673" i="1"/>
  <c r="N673" i="1"/>
  <c r="M673" i="1"/>
  <c r="L673" i="1"/>
  <c r="K673" i="1"/>
  <c r="J673" i="1"/>
  <c r="AI672" i="1"/>
  <c r="W672" i="1"/>
  <c r="X672" i="1" s="1"/>
  <c r="T672" i="1"/>
  <c r="P672" i="1"/>
  <c r="O672" i="1"/>
  <c r="N672" i="1"/>
  <c r="M672" i="1"/>
  <c r="L672" i="1"/>
  <c r="K672" i="1"/>
  <c r="J672" i="1"/>
  <c r="AI671" i="1"/>
  <c r="X671" i="1"/>
  <c r="W671" i="1"/>
  <c r="T671" i="1"/>
  <c r="P671" i="1"/>
  <c r="O671" i="1"/>
  <c r="N671" i="1"/>
  <c r="M671" i="1"/>
  <c r="L671" i="1"/>
  <c r="K671" i="1"/>
  <c r="J671" i="1"/>
  <c r="AI670" i="1"/>
  <c r="X670" i="1"/>
  <c r="W670" i="1"/>
  <c r="T670" i="1"/>
  <c r="P670" i="1"/>
  <c r="O670" i="1"/>
  <c r="N670" i="1"/>
  <c r="M670" i="1"/>
  <c r="L670" i="1"/>
  <c r="K670" i="1"/>
  <c r="J670" i="1"/>
  <c r="AI669" i="1"/>
  <c r="W669" i="1"/>
  <c r="X669" i="1" s="1"/>
  <c r="T669" i="1"/>
  <c r="P669" i="1"/>
  <c r="O669" i="1"/>
  <c r="N669" i="1"/>
  <c r="M669" i="1"/>
  <c r="L669" i="1"/>
  <c r="K669" i="1"/>
  <c r="J669" i="1"/>
  <c r="AI668" i="1"/>
  <c r="W668" i="1"/>
  <c r="X668" i="1" s="1"/>
  <c r="T668" i="1"/>
  <c r="P668" i="1"/>
  <c r="O668" i="1"/>
  <c r="N668" i="1"/>
  <c r="M668" i="1"/>
  <c r="L668" i="1"/>
  <c r="K668" i="1"/>
  <c r="J668" i="1"/>
  <c r="AI667" i="1"/>
  <c r="X667" i="1"/>
  <c r="W667" i="1"/>
  <c r="T667" i="1"/>
  <c r="P667" i="1"/>
  <c r="O667" i="1"/>
  <c r="N667" i="1"/>
  <c r="M667" i="1"/>
  <c r="L667" i="1"/>
  <c r="K667" i="1"/>
  <c r="J667" i="1"/>
  <c r="AI666" i="1"/>
  <c r="W666" i="1"/>
  <c r="X666" i="1" s="1"/>
  <c r="T666" i="1"/>
  <c r="P666" i="1"/>
  <c r="O666" i="1"/>
  <c r="N666" i="1"/>
  <c r="M666" i="1"/>
  <c r="L666" i="1"/>
  <c r="K666" i="1"/>
  <c r="J666" i="1"/>
  <c r="AI665" i="1"/>
  <c r="W665" i="1"/>
  <c r="X665" i="1" s="1"/>
  <c r="T665" i="1"/>
  <c r="P665" i="1"/>
  <c r="O665" i="1"/>
  <c r="N665" i="1"/>
  <c r="M665" i="1"/>
  <c r="L665" i="1"/>
  <c r="K665" i="1"/>
  <c r="J665" i="1"/>
  <c r="AI664" i="1"/>
  <c r="W664" i="1"/>
  <c r="X664" i="1" s="1"/>
  <c r="T664" i="1"/>
  <c r="P664" i="1"/>
  <c r="O664" i="1"/>
  <c r="N664" i="1"/>
  <c r="M664" i="1"/>
  <c r="L664" i="1"/>
  <c r="K664" i="1"/>
  <c r="J664" i="1"/>
  <c r="AI663" i="1"/>
  <c r="X663" i="1"/>
  <c r="W663" i="1"/>
  <c r="T663" i="1"/>
  <c r="P663" i="1"/>
  <c r="O663" i="1"/>
  <c r="N663" i="1"/>
  <c r="M663" i="1"/>
  <c r="L663" i="1"/>
  <c r="K663" i="1"/>
  <c r="J663" i="1"/>
  <c r="AI662" i="1"/>
  <c r="W662" i="1"/>
  <c r="X662" i="1" s="1"/>
  <c r="T662" i="1"/>
  <c r="P662" i="1"/>
  <c r="O662" i="1"/>
  <c r="N662" i="1"/>
  <c r="M662" i="1"/>
  <c r="L662" i="1"/>
  <c r="K662" i="1"/>
  <c r="J662" i="1"/>
  <c r="AI661" i="1"/>
  <c r="X661" i="1"/>
  <c r="W661" i="1"/>
  <c r="T661" i="1"/>
  <c r="P661" i="1"/>
  <c r="O661" i="1"/>
  <c r="N661" i="1"/>
  <c r="M661" i="1"/>
  <c r="L661" i="1"/>
  <c r="K661" i="1"/>
  <c r="J661" i="1"/>
  <c r="AI660" i="1"/>
  <c r="W660" i="1"/>
  <c r="X660" i="1" s="1"/>
  <c r="T660" i="1"/>
  <c r="P660" i="1"/>
  <c r="O660" i="1"/>
  <c r="N660" i="1"/>
  <c r="M660" i="1"/>
  <c r="L660" i="1"/>
  <c r="K660" i="1"/>
  <c r="J660" i="1"/>
  <c r="AI659" i="1"/>
  <c r="X659" i="1"/>
  <c r="W659" i="1"/>
  <c r="T659" i="1"/>
  <c r="P659" i="1"/>
  <c r="O659" i="1"/>
  <c r="N659" i="1"/>
  <c r="M659" i="1"/>
  <c r="L659" i="1"/>
  <c r="K659" i="1"/>
  <c r="J659" i="1"/>
  <c r="AI658" i="1"/>
  <c r="X658" i="1"/>
  <c r="W658" i="1"/>
  <c r="T658" i="1"/>
  <c r="P658" i="1"/>
  <c r="O658" i="1"/>
  <c r="N658" i="1"/>
  <c r="M658" i="1"/>
  <c r="L658" i="1"/>
  <c r="K658" i="1"/>
  <c r="J658" i="1"/>
  <c r="AI657" i="1"/>
  <c r="X657" i="1"/>
  <c r="W657" i="1"/>
  <c r="T657" i="1"/>
  <c r="P657" i="1"/>
  <c r="O657" i="1"/>
  <c r="N657" i="1"/>
  <c r="M657" i="1"/>
  <c r="L657" i="1"/>
  <c r="K657" i="1"/>
  <c r="J657" i="1"/>
  <c r="AI656" i="1"/>
  <c r="W656" i="1"/>
  <c r="X656" i="1" s="1"/>
  <c r="T656" i="1"/>
  <c r="P656" i="1"/>
  <c r="O656" i="1"/>
  <c r="N656" i="1"/>
  <c r="M656" i="1"/>
  <c r="L656" i="1"/>
  <c r="K656" i="1"/>
  <c r="J656" i="1"/>
  <c r="AI655" i="1"/>
  <c r="X655" i="1"/>
  <c r="W655" i="1"/>
  <c r="T655" i="1"/>
  <c r="P655" i="1"/>
  <c r="O655" i="1"/>
  <c r="N655" i="1"/>
  <c r="M655" i="1"/>
  <c r="L655" i="1"/>
  <c r="K655" i="1"/>
  <c r="J655" i="1"/>
  <c r="AI654" i="1"/>
  <c r="X654" i="1"/>
  <c r="W654" i="1"/>
  <c r="T654" i="1"/>
  <c r="P654" i="1"/>
  <c r="O654" i="1"/>
  <c r="N654" i="1"/>
  <c r="M654" i="1"/>
  <c r="L654" i="1"/>
  <c r="K654" i="1"/>
  <c r="J654" i="1"/>
  <c r="AI653" i="1"/>
  <c r="X653" i="1"/>
  <c r="W653" i="1"/>
  <c r="T653" i="1"/>
  <c r="P653" i="1"/>
  <c r="O653" i="1"/>
  <c r="N653" i="1"/>
  <c r="M653" i="1"/>
  <c r="L653" i="1"/>
  <c r="K653" i="1"/>
  <c r="J653" i="1"/>
  <c r="AI652" i="1"/>
  <c r="W652" i="1"/>
  <c r="X652" i="1" s="1"/>
  <c r="T652" i="1"/>
  <c r="P652" i="1"/>
  <c r="O652" i="1"/>
  <c r="N652" i="1"/>
  <c r="M652" i="1"/>
  <c r="L652" i="1"/>
  <c r="K652" i="1"/>
  <c r="J652" i="1"/>
  <c r="AI651" i="1"/>
  <c r="X651" i="1"/>
  <c r="W651" i="1"/>
  <c r="T651" i="1"/>
  <c r="P651" i="1"/>
  <c r="O651" i="1"/>
  <c r="N651" i="1"/>
  <c r="M651" i="1"/>
  <c r="L651" i="1"/>
  <c r="K651" i="1"/>
  <c r="J651" i="1"/>
  <c r="AI650" i="1"/>
  <c r="X650" i="1"/>
  <c r="W650" i="1"/>
  <c r="T650" i="1"/>
  <c r="P650" i="1"/>
  <c r="O650" i="1"/>
  <c r="N650" i="1"/>
  <c r="M650" i="1"/>
  <c r="L650" i="1"/>
  <c r="K650" i="1"/>
  <c r="J650" i="1"/>
  <c r="AH649" i="1"/>
  <c r="AI649" i="1" s="1"/>
  <c r="W649" i="1"/>
  <c r="X649" i="1" s="1"/>
  <c r="T649" i="1"/>
  <c r="P649" i="1"/>
  <c r="O649" i="1"/>
  <c r="N649" i="1"/>
  <c r="M649" i="1"/>
  <c r="L649" i="1"/>
  <c r="K649" i="1"/>
  <c r="J649" i="1"/>
  <c r="AI648" i="1"/>
  <c r="X648" i="1"/>
  <c r="W648" i="1"/>
  <c r="T648" i="1"/>
  <c r="P648" i="1"/>
  <c r="O648" i="1"/>
  <c r="N648" i="1"/>
  <c r="M648" i="1"/>
  <c r="L648" i="1"/>
  <c r="K648" i="1"/>
  <c r="J648" i="1"/>
  <c r="AI647" i="1"/>
  <c r="W647" i="1"/>
  <c r="X647" i="1" s="1"/>
  <c r="T647" i="1"/>
  <c r="P647" i="1"/>
  <c r="O647" i="1"/>
  <c r="N647" i="1"/>
  <c r="M647" i="1"/>
  <c r="L647" i="1"/>
  <c r="K647" i="1"/>
  <c r="J647" i="1"/>
  <c r="AI646" i="1"/>
  <c r="X646" i="1"/>
  <c r="W646" i="1"/>
  <c r="T646" i="1"/>
  <c r="P646" i="1"/>
  <c r="O646" i="1"/>
  <c r="N646" i="1"/>
  <c r="M646" i="1"/>
  <c r="L646" i="1"/>
  <c r="K646" i="1"/>
  <c r="J646" i="1"/>
  <c r="AI645" i="1"/>
  <c r="X645" i="1"/>
  <c r="W645" i="1"/>
  <c r="T645" i="1"/>
  <c r="P645" i="1"/>
  <c r="O645" i="1"/>
  <c r="N645" i="1"/>
  <c r="M645" i="1"/>
  <c r="L645" i="1"/>
  <c r="K645" i="1"/>
  <c r="J645" i="1"/>
  <c r="AI644" i="1"/>
  <c r="X644" i="1"/>
  <c r="W644" i="1"/>
  <c r="T644" i="1"/>
  <c r="P644" i="1"/>
  <c r="O644" i="1"/>
  <c r="N644" i="1"/>
  <c r="M644" i="1"/>
  <c r="L644" i="1"/>
  <c r="K644" i="1"/>
  <c r="J644" i="1"/>
  <c r="AI643" i="1"/>
  <c r="W643" i="1"/>
  <c r="X643" i="1" s="1"/>
  <c r="T643" i="1"/>
  <c r="P643" i="1"/>
  <c r="O643" i="1"/>
  <c r="N643" i="1"/>
  <c r="M643" i="1"/>
  <c r="L643" i="1"/>
  <c r="K643" i="1"/>
  <c r="J643" i="1"/>
  <c r="AI642" i="1"/>
  <c r="AH642" i="1"/>
  <c r="W642" i="1"/>
  <c r="X642" i="1" s="1"/>
  <c r="T642" i="1"/>
  <c r="P642" i="1"/>
  <c r="O642" i="1"/>
  <c r="N642" i="1"/>
  <c r="M642" i="1"/>
  <c r="L642" i="1"/>
  <c r="K642" i="1"/>
  <c r="J642" i="1"/>
  <c r="AI641" i="1"/>
  <c r="AH641" i="1"/>
  <c r="W641" i="1"/>
  <c r="X641" i="1" s="1"/>
  <c r="T641" i="1"/>
  <c r="P641" i="1"/>
  <c r="O641" i="1"/>
  <c r="N641" i="1"/>
  <c r="M641" i="1"/>
  <c r="L641" i="1"/>
  <c r="K641" i="1"/>
  <c r="J641" i="1"/>
  <c r="AI640" i="1"/>
  <c r="X640" i="1"/>
  <c r="W640" i="1"/>
  <c r="T640" i="1"/>
  <c r="P640" i="1"/>
  <c r="O640" i="1"/>
  <c r="N640" i="1"/>
  <c r="M640" i="1"/>
  <c r="L640" i="1"/>
  <c r="K640" i="1"/>
  <c r="J640" i="1"/>
  <c r="AI639" i="1"/>
  <c r="AH639" i="1"/>
  <c r="X639" i="1"/>
  <c r="W639" i="1"/>
  <c r="T639" i="1"/>
  <c r="P639" i="1"/>
  <c r="O639" i="1"/>
  <c r="N639" i="1"/>
  <c r="M639" i="1"/>
  <c r="L639" i="1"/>
  <c r="K639" i="1"/>
  <c r="J639" i="1"/>
  <c r="AI638" i="1"/>
  <c r="W638" i="1"/>
  <c r="X638" i="1" s="1"/>
  <c r="T638" i="1"/>
  <c r="P638" i="1"/>
  <c r="O638" i="1"/>
  <c r="N638" i="1"/>
  <c r="M638" i="1"/>
  <c r="L638" i="1"/>
  <c r="K638" i="1"/>
  <c r="J638" i="1"/>
  <c r="AH637" i="1"/>
  <c r="AI637" i="1" s="1"/>
  <c r="X637" i="1"/>
  <c r="W637" i="1"/>
  <c r="T637" i="1"/>
  <c r="P637" i="1"/>
  <c r="O637" i="1"/>
  <c r="N637" i="1"/>
  <c r="M637" i="1"/>
  <c r="L637" i="1"/>
  <c r="K637" i="1"/>
  <c r="J637" i="1"/>
  <c r="AI636" i="1"/>
  <c r="X636" i="1"/>
  <c r="W636" i="1"/>
  <c r="T636" i="1"/>
  <c r="P636" i="1"/>
  <c r="O636" i="1"/>
  <c r="N636" i="1"/>
  <c r="M636" i="1"/>
  <c r="L636" i="1"/>
  <c r="K636" i="1"/>
  <c r="J636" i="1"/>
  <c r="AI635" i="1"/>
  <c r="W635" i="1"/>
  <c r="X635" i="1" s="1"/>
  <c r="T635" i="1"/>
  <c r="P635" i="1"/>
  <c r="O635" i="1"/>
  <c r="N635" i="1"/>
  <c r="M635" i="1"/>
  <c r="L635" i="1"/>
  <c r="K635" i="1"/>
  <c r="J635" i="1"/>
  <c r="AI634" i="1"/>
  <c r="X634" i="1"/>
  <c r="W634" i="1"/>
  <c r="T634" i="1"/>
  <c r="P634" i="1"/>
  <c r="O634" i="1"/>
  <c r="N634" i="1"/>
  <c r="M634" i="1"/>
  <c r="L634" i="1"/>
  <c r="K634" i="1"/>
  <c r="J634" i="1"/>
  <c r="AI633" i="1"/>
  <c r="X633" i="1"/>
  <c r="W633" i="1"/>
  <c r="T633" i="1"/>
  <c r="P633" i="1"/>
  <c r="O633" i="1"/>
  <c r="N633" i="1"/>
  <c r="M633" i="1"/>
  <c r="L633" i="1"/>
  <c r="K633" i="1"/>
  <c r="J633" i="1"/>
  <c r="AI632" i="1"/>
  <c r="W632" i="1"/>
  <c r="X632" i="1" s="1"/>
  <c r="T632" i="1"/>
  <c r="P632" i="1"/>
  <c r="O632" i="1"/>
  <c r="N632" i="1"/>
  <c r="M632" i="1"/>
  <c r="L632" i="1"/>
  <c r="K632" i="1"/>
  <c r="J632" i="1"/>
  <c r="AI631" i="1"/>
  <c r="AH631" i="1"/>
  <c r="X631" i="1"/>
  <c r="W631" i="1"/>
  <c r="T631" i="1"/>
  <c r="P631" i="1"/>
  <c r="O631" i="1"/>
  <c r="N631" i="1"/>
  <c r="M631" i="1"/>
  <c r="L631" i="1"/>
  <c r="K631" i="1"/>
  <c r="J631" i="1"/>
  <c r="AI630" i="1"/>
  <c r="AH630" i="1"/>
  <c r="W630" i="1"/>
  <c r="X630" i="1" s="1"/>
  <c r="T630" i="1"/>
  <c r="P630" i="1"/>
  <c r="O630" i="1"/>
  <c r="N630" i="1"/>
  <c r="M630" i="1"/>
  <c r="L630" i="1"/>
  <c r="K630" i="1"/>
  <c r="J630" i="1"/>
  <c r="AI629" i="1"/>
  <c r="AH629" i="1"/>
  <c r="X629" i="1"/>
  <c r="W629" i="1"/>
  <c r="T629" i="1"/>
  <c r="P629" i="1"/>
  <c r="O629" i="1"/>
  <c r="N629" i="1"/>
  <c r="M629" i="1"/>
  <c r="L629" i="1"/>
  <c r="K629" i="1"/>
  <c r="J629" i="1"/>
  <c r="AI628" i="1"/>
  <c r="AH628" i="1"/>
  <c r="W628" i="1"/>
  <c r="X628" i="1" s="1"/>
  <c r="T628" i="1"/>
  <c r="P628" i="1"/>
  <c r="O628" i="1"/>
  <c r="N628" i="1"/>
  <c r="M628" i="1"/>
  <c r="L628" i="1"/>
  <c r="K628" i="1"/>
  <c r="J628" i="1"/>
  <c r="AI627" i="1"/>
  <c r="AH627" i="1"/>
  <c r="X627" i="1"/>
  <c r="W627" i="1"/>
  <c r="T627" i="1"/>
  <c r="P627" i="1"/>
  <c r="O627" i="1"/>
  <c r="N627" i="1"/>
  <c r="M627" i="1"/>
  <c r="L627" i="1"/>
  <c r="K627" i="1"/>
  <c r="J627" i="1"/>
  <c r="AI626" i="1"/>
  <c r="W626" i="1"/>
  <c r="X626" i="1" s="1"/>
  <c r="T626" i="1"/>
  <c r="P626" i="1"/>
  <c r="O626" i="1"/>
  <c r="N626" i="1"/>
  <c r="M626" i="1"/>
  <c r="L626" i="1"/>
  <c r="K626" i="1"/>
  <c r="J626" i="1"/>
  <c r="AH625" i="1"/>
  <c r="AI625" i="1" s="1"/>
  <c r="X625" i="1"/>
  <c r="W625" i="1"/>
  <c r="T625" i="1"/>
  <c r="P625" i="1"/>
  <c r="O625" i="1"/>
  <c r="N625" i="1"/>
  <c r="M625" i="1"/>
  <c r="L625" i="1"/>
  <c r="K625" i="1"/>
  <c r="J625" i="1"/>
  <c r="AI624" i="1"/>
  <c r="AH624" i="1"/>
  <c r="W624" i="1"/>
  <c r="X624" i="1" s="1"/>
  <c r="T624" i="1"/>
  <c r="P624" i="1"/>
  <c r="O624" i="1"/>
  <c r="N624" i="1"/>
  <c r="M624" i="1"/>
  <c r="L624" i="1"/>
  <c r="K624" i="1"/>
  <c r="J624" i="1"/>
  <c r="AH623" i="1"/>
  <c r="AI623" i="1" s="1"/>
  <c r="X623" i="1"/>
  <c r="W623" i="1"/>
  <c r="T623" i="1"/>
  <c r="P623" i="1"/>
  <c r="O623" i="1"/>
  <c r="N623" i="1"/>
  <c r="M623" i="1"/>
  <c r="L623" i="1"/>
  <c r="K623" i="1"/>
  <c r="J623" i="1"/>
  <c r="AI622" i="1"/>
  <c r="X622" i="1"/>
  <c r="W622" i="1"/>
  <c r="T622" i="1"/>
  <c r="P622" i="1"/>
  <c r="O622" i="1"/>
  <c r="N622" i="1"/>
  <c r="M622" i="1"/>
  <c r="L622" i="1"/>
  <c r="K622" i="1"/>
  <c r="J622" i="1"/>
  <c r="AI621" i="1"/>
  <c r="W621" i="1"/>
  <c r="X621" i="1" s="1"/>
  <c r="T621" i="1"/>
  <c r="P621" i="1"/>
  <c r="O621" i="1"/>
  <c r="N621" i="1"/>
  <c r="M621" i="1"/>
  <c r="L621" i="1"/>
  <c r="K621" i="1"/>
  <c r="J621" i="1"/>
  <c r="AI620" i="1"/>
  <c r="X620" i="1"/>
  <c r="W620" i="1"/>
  <c r="T620" i="1"/>
  <c r="P620" i="1"/>
  <c r="O620" i="1"/>
  <c r="N620" i="1"/>
  <c r="M620" i="1"/>
  <c r="L620" i="1"/>
  <c r="K620" i="1"/>
  <c r="J620" i="1"/>
  <c r="AI619" i="1"/>
  <c r="W619" i="1"/>
  <c r="X619" i="1" s="1"/>
  <c r="T619" i="1"/>
  <c r="P619" i="1"/>
  <c r="O619" i="1"/>
  <c r="N619" i="1"/>
  <c r="M619" i="1"/>
  <c r="L619" i="1"/>
  <c r="K619" i="1"/>
  <c r="J619" i="1"/>
  <c r="AI618" i="1"/>
  <c r="W618" i="1"/>
  <c r="X618" i="1" s="1"/>
  <c r="T618" i="1"/>
  <c r="P618" i="1"/>
  <c r="O618" i="1"/>
  <c r="N618" i="1"/>
  <c r="M618" i="1"/>
  <c r="L618" i="1"/>
  <c r="K618" i="1"/>
  <c r="J618" i="1"/>
  <c r="AI617" i="1"/>
  <c r="AH617" i="1"/>
  <c r="X617" i="1"/>
  <c r="W617" i="1"/>
  <c r="T617" i="1"/>
  <c r="P617" i="1"/>
  <c r="O617" i="1"/>
  <c r="N617" i="1"/>
  <c r="M617" i="1"/>
  <c r="L617" i="1"/>
  <c r="K617" i="1"/>
  <c r="J617" i="1"/>
  <c r="AI616" i="1"/>
  <c r="AH616" i="1"/>
  <c r="W616" i="1"/>
  <c r="X616" i="1" s="1"/>
  <c r="T616" i="1"/>
  <c r="P616" i="1"/>
  <c r="O616" i="1"/>
  <c r="N616" i="1"/>
  <c r="M616" i="1"/>
  <c r="L616" i="1"/>
  <c r="K616" i="1"/>
  <c r="J616" i="1"/>
  <c r="AI615" i="1"/>
  <c r="X615" i="1"/>
  <c r="W615" i="1"/>
  <c r="T615" i="1"/>
  <c r="P615" i="1"/>
  <c r="O615" i="1"/>
  <c r="N615" i="1"/>
  <c r="M615" i="1"/>
  <c r="L615" i="1"/>
  <c r="K615" i="1"/>
  <c r="J615" i="1"/>
  <c r="AI614" i="1"/>
  <c r="X614" i="1"/>
  <c r="W614" i="1"/>
  <c r="T614" i="1"/>
  <c r="P614" i="1"/>
  <c r="O614" i="1"/>
  <c r="N614" i="1"/>
  <c r="M614" i="1"/>
  <c r="L614" i="1"/>
  <c r="K614" i="1"/>
  <c r="J614" i="1"/>
  <c r="AI613" i="1"/>
  <c r="W613" i="1"/>
  <c r="X613" i="1" s="1"/>
  <c r="T613" i="1"/>
  <c r="P613" i="1"/>
  <c r="O613" i="1"/>
  <c r="N613" i="1"/>
  <c r="M613" i="1"/>
  <c r="L613" i="1"/>
  <c r="K613" i="1"/>
  <c r="J613" i="1"/>
  <c r="AI612" i="1"/>
  <c r="AH612" i="1"/>
  <c r="T612" i="1"/>
  <c r="P612" i="1"/>
  <c r="O612" i="1"/>
  <c r="N612" i="1"/>
  <c r="M612" i="1"/>
  <c r="L612" i="1"/>
  <c r="K612" i="1"/>
  <c r="J612" i="1"/>
  <c r="AH611" i="1"/>
  <c r="AI611" i="1" s="1"/>
  <c r="X611" i="1"/>
  <c r="W611" i="1"/>
  <c r="T611" i="1"/>
  <c r="P611" i="1"/>
  <c r="O611" i="1"/>
  <c r="N611" i="1"/>
  <c r="M611" i="1"/>
  <c r="L611" i="1"/>
  <c r="K611" i="1"/>
  <c r="J611" i="1"/>
  <c r="AH610" i="1"/>
  <c r="AI610" i="1" s="1"/>
  <c r="X610" i="1"/>
  <c r="W610" i="1"/>
  <c r="T610" i="1"/>
  <c r="P610" i="1"/>
  <c r="O610" i="1"/>
  <c r="N610" i="1"/>
  <c r="M610" i="1"/>
  <c r="L610" i="1"/>
  <c r="K610" i="1"/>
  <c r="J610" i="1"/>
  <c r="AI609" i="1"/>
  <c r="X609" i="1"/>
  <c r="W609" i="1"/>
  <c r="T609" i="1"/>
  <c r="P609" i="1"/>
  <c r="O609" i="1"/>
  <c r="N609" i="1"/>
  <c r="M609" i="1"/>
  <c r="L609" i="1"/>
  <c r="K609" i="1"/>
  <c r="J609" i="1"/>
  <c r="AI608" i="1"/>
  <c r="AH608" i="1"/>
  <c r="W608" i="1"/>
  <c r="X608" i="1" s="1"/>
  <c r="T608" i="1"/>
  <c r="P608" i="1"/>
  <c r="O608" i="1"/>
  <c r="N608" i="1"/>
  <c r="M608" i="1"/>
  <c r="L608" i="1"/>
  <c r="K608" i="1"/>
  <c r="J608" i="1"/>
  <c r="AI607" i="1"/>
  <c r="AH607" i="1"/>
  <c r="X607" i="1"/>
  <c r="W607" i="1"/>
  <c r="P607" i="1"/>
  <c r="O607" i="1"/>
  <c r="N607" i="1"/>
  <c r="M607" i="1"/>
  <c r="L607" i="1"/>
  <c r="K607" i="1"/>
  <c r="J607" i="1"/>
  <c r="AI606" i="1"/>
  <c r="AH606" i="1"/>
  <c r="W606" i="1"/>
  <c r="X606" i="1" s="1"/>
  <c r="T606" i="1"/>
  <c r="P606" i="1"/>
  <c r="O606" i="1"/>
  <c r="N606" i="1"/>
  <c r="M606" i="1"/>
  <c r="L606" i="1"/>
  <c r="K606" i="1"/>
  <c r="J606" i="1"/>
  <c r="W605" i="1"/>
  <c r="X605" i="1" s="1"/>
  <c r="T605" i="1"/>
  <c r="P605" i="1"/>
  <c r="O605" i="1"/>
  <c r="N605" i="1"/>
  <c r="M605" i="1"/>
  <c r="L605" i="1"/>
  <c r="K605" i="1"/>
  <c r="J605" i="1"/>
  <c r="AI604" i="1"/>
  <c r="X604" i="1"/>
  <c r="W604" i="1"/>
  <c r="T604" i="1"/>
  <c r="P604" i="1"/>
  <c r="O604" i="1"/>
  <c r="N604" i="1"/>
  <c r="M604" i="1"/>
  <c r="L604" i="1"/>
  <c r="K604" i="1"/>
  <c r="J604" i="1"/>
  <c r="AI603" i="1"/>
  <c r="W603" i="1"/>
  <c r="X603" i="1" s="1"/>
  <c r="T603" i="1"/>
  <c r="P603" i="1"/>
  <c r="O603" i="1"/>
  <c r="N603" i="1"/>
  <c r="M603" i="1"/>
  <c r="L603" i="1"/>
  <c r="K603" i="1"/>
  <c r="J603" i="1"/>
  <c r="AI602" i="1"/>
  <c r="W602" i="1"/>
  <c r="X602" i="1" s="1"/>
  <c r="T602" i="1"/>
  <c r="P602" i="1"/>
  <c r="O602" i="1"/>
  <c r="N602" i="1"/>
  <c r="M602" i="1"/>
  <c r="L602" i="1"/>
  <c r="K602" i="1"/>
  <c r="J602" i="1"/>
  <c r="AI601" i="1"/>
  <c r="X601" i="1"/>
  <c r="W601" i="1"/>
  <c r="T601" i="1"/>
  <c r="P601" i="1"/>
  <c r="O601" i="1"/>
  <c r="N601" i="1"/>
  <c r="M601" i="1"/>
  <c r="L601" i="1"/>
  <c r="K601" i="1"/>
  <c r="J601" i="1"/>
  <c r="AI600" i="1"/>
  <c r="X600" i="1"/>
  <c r="W600" i="1"/>
  <c r="T600" i="1"/>
  <c r="P600" i="1"/>
  <c r="O600" i="1"/>
  <c r="N600" i="1"/>
  <c r="M600" i="1"/>
  <c r="L600" i="1"/>
  <c r="K600" i="1"/>
  <c r="J600" i="1"/>
  <c r="AI599" i="1"/>
  <c r="X599" i="1"/>
  <c r="W599" i="1"/>
  <c r="T599" i="1"/>
  <c r="P599" i="1"/>
  <c r="O599" i="1"/>
  <c r="N599" i="1"/>
  <c r="M599" i="1"/>
  <c r="L599" i="1"/>
  <c r="K599" i="1"/>
  <c r="J599" i="1"/>
  <c r="AI598" i="1"/>
  <c r="AH598" i="1"/>
  <c r="W598" i="1"/>
  <c r="X598" i="1" s="1"/>
  <c r="T598" i="1"/>
  <c r="P598" i="1"/>
  <c r="O598" i="1"/>
  <c r="N598" i="1"/>
  <c r="M598" i="1"/>
  <c r="L598" i="1"/>
  <c r="K598" i="1"/>
  <c r="J598" i="1"/>
  <c r="AH597" i="1"/>
  <c r="AI597" i="1" s="1"/>
  <c r="W597" i="1"/>
  <c r="X597" i="1" s="1"/>
  <c r="T597" i="1"/>
  <c r="P597" i="1"/>
  <c r="O597" i="1"/>
  <c r="N597" i="1"/>
  <c r="M597" i="1"/>
  <c r="L597" i="1"/>
  <c r="K597" i="1"/>
  <c r="J597" i="1"/>
  <c r="AI596" i="1"/>
  <c r="AH596" i="1"/>
  <c r="W596" i="1"/>
  <c r="X596" i="1" s="1"/>
  <c r="T596" i="1"/>
  <c r="P596" i="1"/>
  <c r="O596" i="1"/>
  <c r="N596" i="1"/>
  <c r="M596" i="1"/>
  <c r="L596" i="1"/>
  <c r="K596" i="1"/>
  <c r="J596" i="1"/>
  <c r="AH595" i="1"/>
  <c r="AI595" i="1" s="1"/>
  <c r="X595" i="1"/>
  <c r="W595" i="1"/>
  <c r="T595" i="1"/>
  <c r="P595" i="1"/>
  <c r="O595" i="1"/>
  <c r="N595" i="1"/>
  <c r="M595" i="1"/>
  <c r="L595" i="1"/>
  <c r="K595" i="1"/>
  <c r="J595" i="1"/>
  <c r="AI594" i="1"/>
  <c r="X594" i="1"/>
  <c r="W594" i="1"/>
  <c r="T594" i="1"/>
  <c r="P594" i="1"/>
  <c r="O594" i="1"/>
  <c r="N594" i="1"/>
  <c r="M594" i="1"/>
  <c r="L594" i="1"/>
  <c r="K594" i="1"/>
  <c r="J594" i="1"/>
  <c r="AI593" i="1"/>
  <c r="W593" i="1"/>
  <c r="X593" i="1" s="1"/>
  <c r="T593" i="1"/>
  <c r="P593" i="1"/>
  <c r="O593" i="1"/>
  <c r="N593" i="1"/>
  <c r="M593" i="1"/>
  <c r="L593" i="1"/>
  <c r="K593" i="1"/>
  <c r="J593" i="1"/>
  <c r="AI592" i="1"/>
  <c r="X592" i="1"/>
  <c r="W592" i="1"/>
  <c r="T592" i="1"/>
  <c r="P592" i="1"/>
  <c r="O592" i="1"/>
  <c r="N592" i="1"/>
  <c r="M592" i="1"/>
  <c r="L592" i="1"/>
  <c r="K592" i="1"/>
  <c r="J592" i="1"/>
  <c r="AI591" i="1"/>
  <c r="X591" i="1"/>
  <c r="W591" i="1"/>
  <c r="T591" i="1"/>
  <c r="P591" i="1"/>
  <c r="O591" i="1"/>
  <c r="N591" i="1"/>
  <c r="M591" i="1"/>
  <c r="L591" i="1"/>
  <c r="K591" i="1"/>
  <c r="J591" i="1"/>
  <c r="AI590" i="1"/>
  <c r="W590" i="1"/>
  <c r="X590" i="1" s="1"/>
  <c r="T590" i="1"/>
  <c r="P590" i="1"/>
  <c r="O590" i="1"/>
  <c r="N590" i="1"/>
  <c r="M590" i="1"/>
  <c r="L590" i="1"/>
  <c r="K590" i="1"/>
  <c r="J590" i="1"/>
  <c r="AI589" i="1"/>
  <c r="W589" i="1"/>
  <c r="X589" i="1" s="1"/>
  <c r="T589" i="1"/>
  <c r="P589" i="1"/>
  <c r="O589" i="1"/>
  <c r="N589" i="1"/>
  <c r="M589" i="1"/>
  <c r="L589" i="1"/>
  <c r="K589" i="1"/>
  <c r="J589" i="1"/>
  <c r="AI588" i="1"/>
  <c r="X588" i="1"/>
  <c r="W588" i="1"/>
  <c r="T588" i="1"/>
  <c r="P588" i="1"/>
  <c r="O588" i="1"/>
  <c r="N588" i="1"/>
  <c r="M588" i="1"/>
  <c r="L588" i="1"/>
  <c r="K588" i="1"/>
  <c r="J588" i="1"/>
  <c r="AI587" i="1"/>
  <c r="X587" i="1"/>
  <c r="W587" i="1"/>
  <c r="T587" i="1"/>
  <c r="P587" i="1"/>
  <c r="O587" i="1"/>
  <c r="N587" i="1"/>
  <c r="M587" i="1"/>
  <c r="L587" i="1"/>
  <c r="K587" i="1"/>
  <c r="J587" i="1"/>
  <c r="AI586" i="1"/>
  <c r="W586" i="1"/>
  <c r="X586" i="1" s="1"/>
  <c r="T586" i="1"/>
  <c r="P586" i="1"/>
  <c r="O586" i="1"/>
  <c r="N586" i="1"/>
  <c r="M586" i="1"/>
  <c r="L586" i="1"/>
  <c r="K586" i="1"/>
  <c r="J586" i="1"/>
  <c r="AI585" i="1"/>
  <c r="W585" i="1"/>
  <c r="X585" i="1" s="1"/>
  <c r="T585" i="1"/>
  <c r="P585" i="1"/>
  <c r="O585" i="1"/>
  <c r="N585" i="1"/>
  <c r="M585" i="1"/>
  <c r="L585" i="1"/>
  <c r="K585" i="1"/>
  <c r="J585" i="1"/>
  <c r="AI584" i="1"/>
  <c r="X584" i="1"/>
  <c r="W584" i="1"/>
  <c r="T584" i="1"/>
  <c r="P584" i="1"/>
  <c r="O584" i="1"/>
  <c r="N584" i="1"/>
  <c r="M584" i="1"/>
  <c r="L584" i="1"/>
  <c r="K584" i="1"/>
  <c r="J584" i="1"/>
  <c r="AI583" i="1"/>
  <c r="Z583" i="1"/>
  <c r="X583" i="1"/>
  <c r="W583" i="1"/>
  <c r="T583" i="1"/>
  <c r="P583" i="1"/>
  <c r="O583" i="1"/>
  <c r="N583" i="1"/>
  <c r="M583" i="1"/>
  <c r="L583" i="1"/>
  <c r="K583" i="1"/>
  <c r="J583" i="1"/>
  <c r="AI582" i="1"/>
  <c r="W582" i="1"/>
  <c r="X582" i="1" s="1"/>
  <c r="T582" i="1"/>
  <c r="P582" i="1"/>
  <c r="O582" i="1"/>
  <c r="N582" i="1"/>
  <c r="M582" i="1"/>
  <c r="L582" i="1"/>
  <c r="K582" i="1"/>
  <c r="J582" i="1"/>
  <c r="AI581" i="1"/>
  <c r="W581" i="1"/>
  <c r="X581" i="1" s="1"/>
  <c r="T581" i="1"/>
  <c r="P581" i="1"/>
  <c r="O581" i="1"/>
  <c r="N581" i="1"/>
  <c r="M581" i="1"/>
  <c r="L581" i="1"/>
  <c r="K581" i="1"/>
  <c r="J581" i="1"/>
  <c r="AI580" i="1"/>
  <c r="AH580" i="1"/>
  <c r="W580" i="1"/>
  <c r="X580" i="1" s="1"/>
  <c r="T580" i="1"/>
  <c r="P580" i="1"/>
  <c r="O580" i="1"/>
  <c r="N580" i="1"/>
  <c r="M580" i="1"/>
  <c r="L580" i="1"/>
  <c r="K580" i="1"/>
  <c r="J580" i="1"/>
  <c r="AI579" i="1"/>
  <c r="X579" i="1"/>
  <c r="W579" i="1"/>
  <c r="T579" i="1"/>
  <c r="P579" i="1"/>
  <c r="O579" i="1"/>
  <c r="N579" i="1"/>
  <c r="M579" i="1"/>
  <c r="L579" i="1"/>
  <c r="K579" i="1"/>
  <c r="J579" i="1"/>
  <c r="AI578" i="1"/>
  <c r="X578" i="1"/>
  <c r="W578" i="1"/>
  <c r="T578" i="1"/>
  <c r="P578" i="1"/>
  <c r="O578" i="1"/>
  <c r="N578" i="1"/>
  <c r="M578" i="1"/>
  <c r="L578" i="1"/>
  <c r="K578" i="1"/>
  <c r="J578" i="1"/>
  <c r="AI577" i="1"/>
  <c r="W577" i="1"/>
  <c r="X577" i="1" s="1"/>
  <c r="T577" i="1"/>
  <c r="P577" i="1"/>
  <c r="O577" i="1"/>
  <c r="N577" i="1"/>
  <c r="M577" i="1"/>
  <c r="L577" i="1"/>
  <c r="K577" i="1"/>
  <c r="J577" i="1"/>
  <c r="AI576" i="1"/>
  <c r="W576" i="1"/>
  <c r="X576" i="1" s="1"/>
  <c r="T576" i="1"/>
  <c r="P576" i="1"/>
  <c r="O576" i="1"/>
  <c r="N576" i="1"/>
  <c r="M576" i="1"/>
  <c r="L576" i="1"/>
  <c r="K576" i="1"/>
  <c r="J576" i="1"/>
  <c r="AI575" i="1"/>
  <c r="W575" i="1"/>
  <c r="X575" i="1" s="1"/>
  <c r="T575" i="1"/>
  <c r="P575" i="1"/>
  <c r="O575" i="1"/>
  <c r="N575" i="1"/>
  <c r="M575" i="1"/>
  <c r="L575" i="1"/>
  <c r="K575" i="1"/>
  <c r="J575" i="1"/>
  <c r="AI574" i="1"/>
  <c r="W574" i="1"/>
  <c r="X574" i="1" s="1"/>
  <c r="T574" i="1"/>
  <c r="P574" i="1"/>
  <c r="O574" i="1"/>
  <c r="N574" i="1"/>
  <c r="M574" i="1"/>
  <c r="L574" i="1"/>
  <c r="K574" i="1"/>
  <c r="J574" i="1"/>
  <c r="AI573" i="1"/>
  <c r="W573" i="1"/>
  <c r="X573" i="1" s="1"/>
  <c r="T573" i="1"/>
  <c r="P573" i="1"/>
  <c r="O573" i="1"/>
  <c r="N573" i="1"/>
  <c r="M573" i="1"/>
  <c r="L573" i="1"/>
  <c r="K573" i="1"/>
  <c r="J573" i="1"/>
  <c r="AI572" i="1"/>
  <c r="AB572" i="1"/>
  <c r="W572" i="1"/>
  <c r="X572" i="1" s="1"/>
  <c r="T572" i="1"/>
  <c r="P572" i="1"/>
  <c r="O572" i="1"/>
  <c r="N572" i="1"/>
  <c r="M572" i="1"/>
  <c r="L572" i="1"/>
  <c r="K572" i="1"/>
  <c r="J572" i="1"/>
  <c r="AI571" i="1"/>
  <c r="AB571" i="1"/>
  <c r="W571" i="1"/>
  <c r="X571" i="1" s="1"/>
  <c r="T571" i="1"/>
  <c r="P571" i="1"/>
  <c r="O571" i="1"/>
  <c r="N571" i="1"/>
  <c r="M571" i="1"/>
  <c r="L571" i="1"/>
  <c r="K571" i="1"/>
  <c r="J571" i="1"/>
  <c r="AI570" i="1"/>
  <c r="AB570" i="1"/>
  <c r="W570" i="1"/>
  <c r="X570" i="1" s="1"/>
  <c r="T570" i="1"/>
  <c r="P570" i="1"/>
  <c r="O570" i="1"/>
  <c r="N570" i="1"/>
  <c r="M570" i="1"/>
  <c r="L570" i="1"/>
  <c r="K570" i="1"/>
  <c r="J570" i="1"/>
  <c r="W569" i="1"/>
  <c r="X569" i="1" s="1"/>
  <c r="T569" i="1"/>
  <c r="P569" i="1"/>
  <c r="O569" i="1"/>
  <c r="N569" i="1"/>
  <c r="M569" i="1"/>
  <c r="L569" i="1"/>
  <c r="K569" i="1"/>
  <c r="J569" i="1"/>
  <c r="X568" i="1"/>
  <c r="W568" i="1"/>
  <c r="T568" i="1"/>
  <c r="P568" i="1"/>
  <c r="O568" i="1"/>
  <c r="N568" i="1"/>
  <c r="M568" i="1"/>
  <c r="L568" i="1"/>
  <c r="K568" i="1"/>
  <c r="J568" i="1"/>
  <c r="X567" i="1"/>
  <c r="W567" i="1"/>
  <c r="T567" i="1"/>
  <c r="P567" i="1"/>
  <c r="O567" i="1"/>
  <c r="N567" i="1"/>
  <c r="M567" i="1"/>
  <c r="L567" i="1"/>
  <c r="K567" i="1"/>
  <c r="J567" i="1"/>
  <c r="X566" i="1"/>
  <c r="W566" i="1"/>
  <c r="T566" i="1"/>
  <c r="P566" i="1"/>
  <c r="O566" i="1"/>
  <c r="N566" i="1"/>
  <c r="M566" i="1"/>
  <c r="L566" i="1"/>
  <c r="K566" i="1"/>
  <c r="J566" i="1"/>
  <c r="X565" i="1"/>
  <c r="W565" i="1"/>
  <c r="T565" i="1"/>
  <c r="P565" i="1"/>
  <c r="O565" i="1"/>
  <c r="N565" i="1"/>
  <c r="M565" i="1"/>
  <c r="L565" i="1"/>
  <c r="K565" i="1"/>
  <c r="J565" i="1"/>
  <c r="AI564" i="1"/>
  <c r="X564" i="1"/>
  <c r="W564" i="1"/>
  <c r="T564" i="1"/>
  <c r="P564" i="1"/>
  <c r="O564" i="1"/>
  <c r="N564" i="1"/>
  <c r="M564" i="1"/>
  <c r="L564" i="1"/>
  <c r="K564" i="1"/>
  <c r="J564" i="1"/>
  <c r="W563" i="1"/>
  <c r="X563" i="1" s="1"/>
  <c r="T563" i="1"/>
  <c r="P563" i="1"/>
  <c r="O563" i="1"/>
  <c r="N563" i="1"/>
  <c r="M563" i="1"/>
  <c r="L563" i="1"/>
  <c r="K563" i="1"/>
  <c r="J563" i="1"/>
  <c r="W562" i="1"/>
  <c r="X562" i="1" s="1"/>
  <c r="T562" i="1"/>
  <c r="P562" i="1"/>
  <c r="O562" i="1"/>
  <c r="N562" i="1"/>
  <c r="M562" i="1"/>
  <c r="L562" i="1"/>
  <c r="K562" i="1"/>
  <c r="J562" i="1"/>
  <c r="W561" i="1"/>
  <c r="X561" i="1" s="1"/>
  <c r="T561" i="1"/>
  <c r="P561" i="1"/>
  <c r="O561" i="1"/>
  <c r="N561" i="1"/>
  <c r="M561" i="1"/>
  <c r="L561" i="1"/>
  <c r="K561" i="1"/>
  <c r="J561" i="1"/>
  <c r="AI560" i="1"/>
  <c r="W560" i="1"/>
  <c r="X560" i="1" s="1"/>
  <c r="T560" i="1"/>
  <c r="P560" i="1"/>
  <c r="O560" i="1"/>
  <c r="N560" i="1"/>
  <c r="M560" i="1"/>
  <c r="L560" i="1"/>
  <c r="K560" i="1"/>
  <c r="J560" i="1"/>
  <c r="AI559" i="1"/>
  <c r="W559" i="1"/>
  <c r="X559" i="1" s="1"/>
  <c r="T559" i="1"/>
  <c r="P559" i="1"/>
  <c r="O559" i="1"/>
  <c r="N559" i="1"/>
  <c r="M559" i="1"/>
  <c r="L559" i="1"/>
  <c r="K559" i="1"/>
  <c r="J559" i="1"/>
  <c r="AI558" i="1"/>
  <c r="T558" i="1"/>
  <c r="P558" i="1"/>
  <c r="O558" i="1"/>
  <c r="N558" i="1"/>
  <c r="M558" i="1"/>
  <c r="L558" i="1"/>
  <c r="K558" i="1"/>
  <c r="J558" i="1"/>
  <c r="AI557" i="1"/>
  <c r="X557" i="1"/>
  <c r="W557" i="1"/>
  <c r="T557" i="1"/>
  <c r="P557" i="1"/>
  <c r="O557" i="1"/>
  <c r="N557" i="1"/>
  <c r="M557" i="1"/>
  <c r="L557" i="1"/>
  <c r="K557" i="1"/>
  <c r="J557" i="1"/>
  <c r="AI556" i="1"/>
  <c r="W556" i="1"/>
  <c r="X556" i="1" s="1"/>
  <c r="T556" i="1"/>
  <c r="P556" i="1"/>
  <c r="O556" i="1"/>
  <c r="N556" i="1"/>
  <c r="M556" i="1"/>
  <c r="L556" i="1"/>
  <c r="K556" i="1"/>
  <c r="J556" i="1"/>
  <c r="AI555" i="1"/>
  <c r="X555" i="1"/>
  <c r="W555" i="1"/>
  <c r="T555" i="1"/>
  <c r="P555" i="1"/>
  <c r="O555" i="1"/>
  <c r="N555" i="1"/>
  <c r="M555" i="1"/>
  <c r="L555" i="1"/>
  <c r="K555" i="1"/>
  <c r="J555" i="1"/>
  <c r="AI554" i="1"/>
  <c r="W554" i="1"/>
  <c r="X554" i="1" s="1"/>
  <c r="T554" i="1"/>
  <c r="P554" i="1"/>
  <c r="O554" i="1"/>
  <c r="N554" i="1"/>
  <c r="M554" i="1"/>
  <c r="L554" i="1"/>
  <c r="K554" i="1"/>
  <c r="J554" i="1"/>
  <c r="AI553" i="1"/>
  <c r="W553" i="1"/>
  <c r="X553" i="1" s="1"/>
  <c r="T553" i="1"/>
  <c r="P553" i="1"/>
  <c r="O553" i="1"/>
  <c r="N553" i="1"/>
  <c r="M553" i="1"/>
  <c r="L553" i="1"/>
  <c r="K553" i="1"/>
  <c r="J553" i="1"/>
  <c r="AI552" i="1"/>
  <c r="X552" i="1"/>
  <c r="W552" i="1"/>
  <c r="T552" i="1"/>
  <c r="P552" i="1"/>
  <c r="O552" i="1"/>
  <c r="N552" i="1"/>
  <c r="M552" i="1"/>
  <c r="L552" i="1"/>
  <c r="K552" i="1"/>
  <c r="J552" i="1"/>
  <c r="AI551" i="1"/>
  <c r="X551" i="1"/>
  <c r="W551" i="1"/>
  <c r="T551" i="1"/>
  <c r="P551" i="1"/>
  <c r="O551" i="1"/>
  <c r="N551" i="1"/>
  <c r="M551" i="1"/>
  <c r="L551" i="1"/>
  <c r="K551" i="1"/>
  <c r="J551" i="1"/>
  <c r="AI550" i="1"/>
  <c r="X550" i="1"/>
  <c r="W550" i="1"/>
  <c r="T550" i="1"/>
  <c r="P550" i="1"/>
  <c r="O550" i="1"/>
  <c r="N550" i="1"/>
  <c r="M550" i="1"/>
  <c r="L550" i="1"/>
  <c r="K550" i="1"/>
  <c r="J550" i="1"/>
  <c r="AI549" i="1"/>
  <c r="X549" i="1"/>
  <c r="W549" i="1"/>
  <c r="T549" i="1"/>
  <c r="P549" i="1"/>
  <c r="O549" i="1"/>
  <c r="N549" i="1"/>
  <c r="M549" i="1"/>
  <c r="L549" i="1"/>
  <c r="K549" i="1"/>
  <c r="J549" i="1"/>
  <c r="AI548" i="1"/>
  <c r="X548" i="1"/>
  <c r="W548" i="1"/>
  <c r="T548" i="1"/>
  <c r="P548" i="1"/>
  <c r="O548" i="1"/>
  <c r="N548" i="1"/>
  <c r="M548" i="1"/>
  <c r="L548" i="1"/>
  <c r="K548" i="1"/>
  <c r="J548" i="1"/>
  <c r="AI547" i="1"/>
  <c r="X547" i="1"/>
  <c r="W547" i="1"/>
  <c r="T547" i="1"/>
  <c r="P547" i="1"/>
  <c r="O547" i="1"/>
  <c r="N547" i="1"/>
  <c r="M547" i="1"/>
  <c r="L547" i="1"/>
  <c r="K547" i="1"/>
  <c r="J547" i="1"/>
  <c r="AI546" i="1"/>
  <c r="W546" i="1"/>
  <c r="X546" i="1" s="1"/>
  <c r="T546" i="1"/>
  <c r="P546" i="1"/>
  <c r="O546" i="1"/>
  <c r="N546" i="1"/>
  <c r="M546" i="1"/>
  <c r="L546" i="1"/>
  <c r="K546" i="1"/>
  <c r="J546" i="1"/>
  <c r="AI545" i="1"/>
  <c r="X545" i="1"/>
  <c r="W545" i="1"/>
  <c r="T545" i="1"/>
  <c r="P545" i="1"/>
  <c r="O545" i="1"/>
  <c r="N545" i="1"/>
  <c r="M545" i="1"/>
  <c r="L545" i="1"/>
  <c r="K545" i="1"/>
  <c r="J545" i="1"/>
  <c r="AI544" i="1"/>
  <c r="X544" i="1"/>
  <c r="W544" i="1"/>
  <c r="T544" i="1"/>
  <c r="P544" i="1"/>
  <c r="O544" i="1"/>
  <c r="N544" i="1"/>
  <c r="M544" i="1"/>
  <c r="L544" i="1"/>
  <c r="K544" i="1"/>
  <c r="J544" i="1"/>
  <c r="AI543" i="1"/>
  <c r="W543" i="1"/>
  <c r="X543" i="1" s="1"/>
  <c r="T543" i="1"/>
  <c r="P543" i="1"/>
  <c r="O543" i="1"/>
  <c r="N543" i="1"/>
  <c r="M543" i="1"/>
  <c r="L543" i="1"/>
  <c r="K543" i="1"/>
  <c r="J543" i="1"/>
  <c r="AI542" i="1"/>
  <c r="W542" i="1"/>
  <c r="X542" i="1" s="1"/>
  <c r="T542" i="1"/>
  <c r="P542" i="1"/>
  <c r="O542" i="1"/>
  <c r="N542" i="1"/>
  <c r="M542" i="1"/>
  <c r="L542" i="1"/>
  <c r="K542" i="1"/>
  <c r="J542" i="1"/>
  <c r="AI541" i="1"/>
  <c r="W541" i="1"/>
  <c r="T541" i="1"/>
  <c r="P541" i="1"/>
  <c r="O541" i="1"/>
  <c r="N541" i="1"/>
  <c r="M541" i="1"/>
  <c r="L541" i="1"/>
  <c r="K541" i="1"/>
  <c r="J541" i="1"/>
  <c r="W540" i="1"/>
  <c r="X540" i="1" s="1"/>
  <c r="T540" i="1"/>
  <c r="P540" i="1"/>
  <c r="O540" i="1"/>
  <c r="N540" i="1"/>
  <c r="M540" i="1"/>
  <c r="L540" i="1"/>
  <c r="K540" i="1"/>
  <c r="J540" i="1"/>
  <c r="AI539" i="1"/>
  <c r="W539" i="1"/>
  <c r="X539" i="1" s="1"/>
  <c r="T539" i="1"/>
  <c r="P539" i="1"/>
  <c r="O539" i="1"/>
  <c r="N539" i="1"/>
  <c r="M539" i="1"/>
  <c r="L539" i="1"/>
  <c r="K539" i="1"/>
  <c r="J539" i="1"/>
  <c r="AI538" i="1"/>
  <c r="W538" i="1"/>
  <c r="X538" i="1" s="1"/>
  <c r="T538" i="1"/>
  <c r="P538" i="1"/>
  <c r="O538" i="1"/>
  <c r="N538" i="1"/>
  <c r="M538" i="1"/>
  <c r="L538" i="1"/>
  <c r="K538" i="1"/>
  <c r="J538" i="1"/>
  <c r="AI537" i="1"/>
  <c r="T537" i="1"/>
  <c r="P537" i="1"/>
  <c r="O537" i="1"/>
  <c r="N537" i="1"/>
  <c r="M537" i="1"/>
  <c r="L537" i="1"/>
  <c r="K537" i="1"/>
  <c r="J537" i="1"/>
  <c r="AI536" i="1"/>
  <c r="X536" i="1"/>
  <c r="W536" i="1"/>
  <c r="T536" i="1"/>
  <c r="P536" i="1"/>
  <c r="O536" i="1"/>
  <c r="N536" i="1"/>
  <c r="M536" i="1"/>
  <c r="L536" i="1"/>
  <c r="K536" i="1"/>
  <c r="J536" i="1"/>
  <c r="AI535" i="1"/>
  <c r="X535" i="1"/>
  <c r="W535" i="1"/>
  <c r="T535" i="1"/>
  <c r="P535" i="1"/>
  <c r="O535" i="1"/>
  <c r="N535" i="1"/>
  <c r="M535" i="1"/>
  <c r="L535" i="1"/>
  <c r="K535" i="1"/>
  <c r="J535" i="1"/>
  <c r="AI534" i="1"/>
  <c r="AB534" i="1"/>
  <c r="Z534" i="1"/>
  <c r="X534" i="1"/>
  <c r="W534" i="1"/>
  <c r="T534" i="1"/>
  <c r="P534" i="1"/>
  <c r="O534" i="1"/>
  <c r="N534" i="1"/>
  <c r="M534" i="1"/>
  <c r="L534" i="1"/>
  <c r="K534" i="1"/>
  <c r="J534" i="1"/>
  <c r="AI533" i="1"/>
  <c r="AB533" i="1"/>
  <c r="Z533" i="1"/>
  <c r="X533" i="1"/>
  <c r="W533" i="1"/>
  <c r="T533" i="1"/>
  <c r="P533" i="1"/>
  <c r="O533" i="1"/>
  <c r="N533" i="1"/>
  <c r="M533" i="1"/>
  <c r="L533" i="1"/>
  <c r="K533" i="1"/>
  <c r="J533" i="1"/>
  <c r="AI532" i="1"/>
  <c r="AB532" i="1"/>
  <c r="Z532" i="1"/>
  <c r="W532" i="1"/>
  <c r="X532" i="1" s="1"/>
  <c r="T532" i="1"/>
  <c r="P532" i="1"/>
  <c r="O532" i="1"/>
  <c r="N532" i="1"/>
  <c r="M532" i="1"/>
  <c r="L532" i="1"/>
  <c r="K532" i="1"/>
  <c r="J532" i="1"/>
  <c r="AI531" i="1"/>
  <c r="AB531" i="1"/>
  <c r="Z531" i="1"/>
  <c r="W531" i="1"/>
  <c r="X531" i="1" s="1"/>
  <c r="T531" i="1"/>
  <c r="P531" i="1"/>
  <c r="O531" i="1"/>
  <c r="N531" i="1"/>
  <c r="M531" i="1"/>
  <c r="L531" i="1"/>
  <c r="K531" i="1"/>
  <c r="J531" i="1"/>
  <c r="AI530" i="1"/>
  <c r="AB530" i="1"/>
  <c r="Z530" i="1"/>
  <c r="W530" i="1"/>
  <c r="X530" i="1" s="1"/>
  <c r="T530" i="1"/>
  <c r="P530" i="1"/>
  <c r="O530" i="1"/>
  <c r="N530" i="1"/>
  <c r="M530" i="1"/>
  <c r="L530" i="1"/>
  <c r="K530" i="1"/>
  <c r="J530" i="1"/>
  <c r="AI529" i="1"/>
  <c r="AB529" i="1"/>
  <c r="Z529" i="1"/>
  <c r="X529" i="1"/>
  <c r="W529" i="1"/>
  <c r="T529" i="1"/>
  <c r="P529" i="1"/>
  <c r="O529" i="1"/>
  <c r="N529" i="1"/>
  <c r="M529" i="1"/>
  <c r="L529" i="1"/>
  <c r="K529" i="1"/>
  <c r="J529" i="1"/>
  <c r="AI528" i="1"/>
  <c r="AB528" i="1"/>
  <c r="Z528" i="1"/>
  <c r="X528" i="1"/>
  <c r="W528" i="1"/>
  <c r="T528" i="1"/>
  <c r="P528" i="1"/>
  <c r="O528" i="1"/>
  <c r="N528" i="1"/>
  <c r="M528" i="1"/>
  <c r="L528" i="1"/>
  <c r="K528" i="1"/>
  <c r="J528" i="1"/>
  <c r="AI527" i="1"/>
  <c r="AB527" i="1"/>
  <c r="Z527" i="1"/>
  <c r="X527" i="1"/>
  <c r="W527" i="1"/>
  <c r="T527" i="1"/>
  <c r="P527" i="1"/>
  <c r="O527" i="1"/>
  <c r="N527" i="1"/>
  <c r="M527" i="1"/>
  <c r="L527" i="1"/>
  <c r="K527" i="1"/>
  <c r="J527" i="1"/>
  <c r="AI526" i="1"/>
  <c r="AB526" i="1"/>
  <c r="W526" i="1"/>
  <c r="X526" i="1" s="1"/>
  <c r="T526" i="1"/>
  <c r="P526" i="1"/>
  <c r="O526" i="1"/>
  <c r="N526" i="1"/>
  <c r="M526" i="1"/>
  <c r="L526" i="1"/>
  <c r="K526" i="1"/>
  <c r="J526" i="1"/>
  <c r="AI525" i="1"/>
  <c r="AB525" i="1"/>
  <c r="Z525" i="1"/>
  <c r="W525" i="1"/>
  <c r="X525" i="1" s="1"/>
  <c r="T525" i="1"/>
  <c r="P525" i="1"/>
  <c r="O525" i="1"/>
  <c r="N525" i="1"/>
  <c r="M525" i="1"/>
  <c r="L525" i="1"/>
  <c r="K525" i="1"/>
  <c r="J525" i="1"/>
  <c r="AI524" i="1"/>
  <c r="AB524" i="1"/>
  <c r="W524" i="1"/>
  <c r="X524" i="1" s="1"/>
  <c r="T524" i="1"/>
  <c r="P524" i="1"/>
  <c r="O524" i="1"/>
  <c r="N524" i="1"/>
  <c r="M524" i="1"/>
  <c r="L524" i="1"/>
  <c r="K524" i="1"/>
  <c r="J524" i="1"/>
  <c r="AI523" i="1"/>
  <c r="X523" i="1"/>
  <c r="W523" i="1"/>
  <c r="T523" i="1"/>
  <c r="P523" i="1"/>
  <c r="O523" i="1"/>
  <c r="N523" i="1"/>
  <c r="M523" i="1"/>
  <c r="L523" i="1"/>
  <c r="K523" i="1"/>
  <c r="J523" i="1"/>
  <c r="AI522" i="1"/>
  <c r="X522" i="1"/>
  <c r="W522" i="1"/>
  <c r="T522" i="1"/>
  <c r="P522" i="1"/>
  <c r="O522" i="1"/>
  <c r="N522" i="1"/>
  <c r="M522" i="1"/>
  <c r="L522" i="1"/>
  <c r="K522" i="1"/>
  <c r="J522" i="1"/>
  <c r="AI521" i="1"/>
  <c r="W521" i="1"/>
  <c r="X521" i="1" s="1"/>
  <c r="T521" i="1"/>
  <c r="P521" i="1"/>
  <c r="O521" i="1"/>
  <c r="N521" i="1"/>
  <c r="M521" i="1"/>
  <c r="L521" i="1"/>
  <c r="K521" i="1"/>
  <c r="J521" i="1"/>
  <c r="AI520" i="1"/>
  <c r="W520" i="1"/>
  <c r="X520" i="1" s="1"/>
  <c r="T520" i="1"/>
  <c r="P520" i="1"/>
  <c r="O520" i="1"/>
  <c r="N520" i="1"/>
  <c r="M520" i="1"/>
  <c r="L520" i="1"/>
  <c r="K520" i="1"/>
  <c r="J520" i="1"/>
  <c r="W519" i="1"/>
  <c r="X519" i="1" s="1"/>
  <c r="T519" i="1"/>
  <c r="P519" i="1"/>
  <c r="O519" i="1"/>
  <c r="N519" i="1"/>
  <c r="M519" i="1"/>
  <c r="L519" i="1"/>
  <c r="K519" i="1"/>
  <c r="J519" i="1"/>
  <c r="AI518" i="1"/>
  <c r="X518" i="1"/>
  <c r="W518" i="1"/>
  <c r="T518" i="1"/>
  <c r="P518" i="1"/>
  <c r="O518" i="1"/>
  <c r="N518" i="1"/>
  <c r="M518" i="1"/>
  <c r="L518" i="1"/>
  <c r="K518" i="1"/>
  <c r="J518" i="1"/>
  <c r="AI517" i="1"/>
  <c r="X517" i="1"/>
  <c r="W517" i="1"/>
  <c r="T517" i="1"/>
  <c r="P517" i="1"/>
  <c r="O517" i="1"/>
  <c r="N517" i="1"/>
  <c r="M517" i="1"/>
  <c r="L517" i="1"/>
  <c r="K517" i="1"/>
  <c r="J517" i="1"/>
  <c r="AI516" i="1"/>
  <c r="W516" i="1"/>
  <c r="X516" i="1" s="1"/>
  <c r="T516" i="1"/>
  <c r="P516" i="1"/>
  <c r="O516" i="1"/>
  <c r="N516" i="1"/>
  <c r="M516" i="1"/>
  <c r="L516" i="1"/>
  <c r="K516" i="1"/>
  <c r="J516" i="1"/>
  <c r="AI515" i="1"/>
  <c r="W515" i="1"/>
  <c r="X515" i="1" s="1"/>
  <c r="T515" i="1"/>
  <c r="P515" i="1"/>
  <c r="O515" i="1"/>
  <c r="N515" i="1"/>
  <c r="M515" i="1"/>
  <c r="L515" i="1"/>
  <c r="K515" i="1"/>
  <c r="J515" i="1"/>
  <c r="W514" i="1"/>
  <c r="X514" i="1" s="1"/>
  <c r="T514" i="1"/>
  <c r="P514" i="1"/>
  <c r="O514" i="1"/>
  <c r="N514" i="1"/>
  <c r="M514" i="1"/>
  <c r="L514" i="1"/>
  <c r="K514" i="1"/>
  <c r="J514" i="1"/>
  <c r="W513" i="1"/>
  <c r="X513" i="1" s="1"/>
  <c r="T513" i="1"/>
  <c r="P513" i="1"/>
  <c r="O513" i="1"/>
  <c r="N513" i="1"/>
  <c r="M513" i="1"/>
  <c r="L513" i="1"/>
  <c r="K513" i="1"/>
  <c r="J513" i="1"/>
  <c r="AI512" i="1"/>
  <c r="X512" i="1"/>
  <c r="W512" i="1"/>
  <c r="T512" i="1"/>
  <c r="P512" i="1"/>
  <c r="O512" i="1"/>
  <c r="N512" i="1"/>
  <c r="M512" i="1"/>
  <c r="L512" i="1"/>
  <c r="K512" i="1"/>
  <c r="J512" i="1"/>
  <c r="AI511" i="1"/>
  <c r="X511" i="1"/>
  <c r="W511" i="1"/>
  <c r="T511" i="1"/>
  <c r="P511" i="1"/>
  <c r="O511" i="1"/>
  <c r="N511" i="1"/>
  <c r="M511" i="1"/>
  <c r="L511" i="1"/>
  <c r="K511" i="1"/>
  <c r="J511" i="1"/>
  <c r="AI510" i="1"/>
  <c r="X510" i="1"/>
  <c r="W510" i="1"/>
  <c r="T510" i="1"/>
  <c r="P510" i="1"/>
  <c r="O510" i="1"/>
  <c r="N510" i="1"/>
  <c r="M510" i="1"/>
  <c r="L510" i="1"/>
  <c r="K510" i="1"/>
  <c r="J510" i="1"/>
  <c r="AI509" i="1"/>
  <c r="W509" i="1"/>
  <c r="X509" i="1" s="1"/>
  <c r="T509" i="1"/>
  <c r="P509" i="1"/>
  <c r="O509" i="1"/>
  <c r="N509" i="1"/>
  <c r="M509" i="1"/>
  <c r="L509" i="1"/>
  <c r="K509" i="1"/>
  <c r="J509" i="1"/>
  <c r="AI508" i="1"/>
  <c r="X508" i="1"/>
  <c r="W508" i="1"/>
  <c r="T508" i="1"/>
  <c r="P508" i="1"/>
  <c r="O508" i="1"/>
  <c r="N508" i="1"/>
  <c r="M508" i="1"/>
  <c r="L508" i="1"/>
  <c r="K508" i="1"/>
  <c r="J508" i="1"/>
  <c r="AI507" i="1"/>
  <c r="X507" i="1"/>
  <c r="W507" i="1"/>
  <c r="T507" i="1"/>
  <c r="P507" i="1"/>
  <c r="O507" i="1"/>
  <c r="N507" i="1"/>
  <c r="M507" i="1"/>
  <c r="L507" i="1"/>
  <c r="K507" i="1"/>
  <c r="J507" i="1"/>
  <c r="AI506" i="1"/>
  <c r="W506" i="1"/>
  <c r="X506" i="1" s="1"/>
  <c r="T506" i="1"/>
  <c r="P506" i="1"/>
  <c r="O506" i="1"/>
  <c r="N506" i="1"/>
  <c r="M506" i="1"/>
  <c r="L506" i="1"/>
  <c r="K506" i="1"/>
  <c r="J506" i="1"/>
  <c r="AI505" i="1"/>
  <c r="W505" i="1"/>
  <c r="X505" i="1" s="1"/>
  <c r="T505" i="1"/>
  <c r="P505" i="1"/>
  <c r="O505" i="1"/>
  <c r="N505" i="1"/>
  <c r="M505" i="1"/>
  <c r="L505" i="1"/>
  <c r="K505" i="1"/>
  <c r="J505" i="1"/>
  <c r="AI504" i="1"/>
  <c r="X504" i="1"/>
  <c r="W504" i="1"/>
  <c r="T504" i="1"/>
  <c r="P504" i="1"/>
  <c r="O504" i="1"/>
  <c r="N504" i="1"/>
  <c r="M504" i="1"/>
  <c r="L504" i="1"/>
  <c r="K504" i="1"/>
  <c r="J504" i="1"/>
  <c r="AI503" i="1"/>
  <c r="X503" i="1"/>
  <c r="W503" i="1"/>
  <c r="T503" i="1"/>
  <c r="P503" i="1"/>
  <c r="O503" i="1"/>
  <c r="N503" i="1"/>
  <c r="M503" i="1"/>
  <c r="L503" i="1"/>
  <c r="K503" i="1"/>
  <c r="J503" i="1"/>
  <c r="X502" i="1"/>
  <c r="W502" i="1"/>
  <c r="T502" i="1"/>
  <c r="P502" i="1"/>
  <c r="O502" i="1"/>
  <c r="N502" i="1"/>
  <c r="M502" i="1"/>
  <c r="L502" i="1"/>
  <c r="K502" i="1"/>
  <c r="J502" i="1"/>
  <c r="AI501" i="1"/>
  <c r="W501" i="1"/>
  <c r="X501" i="1" s="1"/>
  <c r="T501" i="1"/>
  <c r="P501" i="1"/>
  <c r="O501" i="1"/>
  <c r="N501" i="1"/>
  <c r="M501" i="1"/>
  <c r="L501" i="1"/>
  <c r="K501" i="1"/>
  <c r="J501" i="1"/>
  <c r="X500" i="1"/>
  <c r="W500" i="1"/>
  <c r="T500" i="1"/>
  <c r="P500" i="1"/>
  <c r="O500" i="1"/>
  <c r="N500" i="1"/>
  <c r="M500" i="1"/>
  <c r="L500" i="1"/>
  <c r="K500" i="1"/>
  <c r="J500" i="1"/>
  <c r="W499" i="1"/>
  <c r="X499" i="1" s="1"/>
  <c r="T499" i="1"/>
  <c r="P499" i="1"/>
  <c r="O499" i="1"/>
  <c r="N499" i="1"/>
  <c r="M499" i="1"/>
  <c r="L499" i="1"/>
  <c r="K499" i="1"/>
  <c r="J499" i="1"/>
  <c r="AI498" i="1"/>
  <c r="AH498" i="1"/>
  <c r="W498" i="1"/>
  <c r="X498" i="1" s="1"/>
  <c r="T498" i="1"/>
  <c r="P498" i="1"/>
  <c r="O498" i="1"/>
  <c r="N498" i="1"/>
  <c r="M498" i="1"/>
  <c r="L498" i="1"/>
  <c r="K498" i="1"/>
  <c r="J498" i="1"/>
  <c r="AI497" i="1"/>
  <c r="W497" i="1"/>
  <c r="X497" i="1" s="1"/>
  <c r="T497" i="1"/>
  <c r="P497" i="1"/>
  <c r="O497" i="1"/>
  <c r="N497" i="1"/>
  <c r="M497" i="1"/>
  <c r="L497" i="1"/>
  <c r="K497" i="1"/>
  <c r="J497" i="1"/>
  <c r="AI496" i="1"/>
  <c r="X496" i="1"/>
  <c r="W496" i="1"/>
  <c r="T496" i="1"/>
  <c r="P496" i="1"/>
  <c r="O496" i="1"/>
  <c r="N496" i="1"/>
  <c r="M496" i="1"/>
  <c r="L496" i="1"/>
  <c r="K496" i="1"/>
  <c r="J496" i="1"/>
  <c r="AI495" i="1"/>
  <c r="X495" i="1"/>
  <c r="W495" i="1"/>
  <c r="T495" i="1"/>
  <c r="P495" i="1"/>
  <c r="O495" i="1"/>
  <c r="N495" i="1"/>
  <c r="M495" i="1"/>
  <c r="L495" i="1"/>
  <c r="K495" i="1"/>
  <c r="J495" i="1"/>
  <c r="AI494" i="1"/>
  <c r="W494" i="1"/>
  <c r="X494" i="1" s="1"/>
  <c r="T494" i="1"/>
  <c r="P494" i="1"/>
  <c r="O494" i="1"/>
  <c r="N494" i="1"/>
  <c r="M494" i="1"/>
  <c r="L494" i="1"/>
  <c r="K494" i="1"/>
  <c r="J494" i="1"/>
  <c r="AI493" i="1"/>
  <c r="W493" i="1"/>
  <c r="X493" i="1" s="1"/>
  <c r="T493" i="1"/>
  <c r="P493" i="1"/>
  <c r="O493" i="1"/>
  <c r="N493" i="1"/>
  <c r="M493" i="1"/>
  <c r="L493" i="1"/>
  <c r="K493" i="1"/>
  <c r="J493" i="1"/>
  <c r="AI492" i="1"/>
  <c r="X492" i="1"/>
  <c r="W492" i="1"/>
  <c r="T492" i="1"/>
  <c r="P492" i="1"/>
  <c r="O492" i="1"/>
  <c r="N492" i="1"/>
  <c r="M492" i="1"/>
  <c r="L492" i="1"/>
  <c r="K492" i="1"/>
  <c r="J492" i="1"/>
  <c r="X491" i="1"/>
  <c r="W491" i="1"/>
  <c r="T491" i="1"/>
  <c r="P491" i="1"/>
  <c r="O491" i="1"/>
  <c r="N491" i="1"/>
  <c r="M491" i="1"/>
  <c r="L491" i="1"/>
  <c r="K491" i="1"/>
  <c r="J491" i="1"/>
  <c r="AI490" i="1"/>
  <c r="X490" i="1"/>
  <c r="W490" i="1"/>
  <c r="T490" i="1"/>
  <c r="P490" i="1"/>
  <c r="O490" i="1"/>
  <c r="N490" i="1"/>
  <c r="M490" i="1"/>
  <c r="L490" i="1"/>
  <c r="K490" i="1"/>
  <c r="J490" i="1"/>
  <c r="AI489" i="1"/>
  <c r="W489" i="1"/>
  <c r="X489" i="1" s="1"/>
  <c r="T489" i="1"/>
  <c r="P489" i="1"/>
  <c r="O489" i="1"/>
  <c r="N489" i="1"/>
  <c r="M489" i="1"/>
  <c r="L489" i="1"/>
  <c r="K489" i="1"/>
  <c r="J489" i="1"/>
  <c r="AI488" i="1"/>
  <c r="W488" i="1"/>
  <c r="X488" i="1" s="1"/>
  <c r="T488" i="1"/>
  <c r="P488" i="1"/>
  <c r="O488" i="1"/>
  <c r="N488" i="1"/>
  <c r="M488" i="1"/>
  <c r="L488" i="1"/>
  <c r="K488" i="1"/>
  <c r="J488" i="1"/>
  <c r="W487" i="1"/>
  <c r="X487" i="1" s="1"/>
  <c r="T487" i="1"/>
  <c r="P487" i="1"/>
  <c r="O487" i="1"/>
  <c r="N487" i="1"/>
  <c r="M487" i="1"/>
  <c r="L487" i="1"/>
  <c r="K487" i="1"/>
  <c r="J487" i="1"/>
  <c r="AI486" i="1"/>
  <c r="X486" i="1"/>
  <c r="W486" i="1"/>
  <c r="T486" i="1"/>
  <c r="P486" i="1"/>
  <c r="O486" i="1"/>
  <c r="N486" i="1"/>
  <c r="M486" i="1"/>
  <c r="L486" i="1"/>
  <c r="K486" i="1"/>
  <c r="J486" i="1"/>
  <c r="AI485" i="1"/>
  <c r="X485" i="1"/>
  <c r="W485" i="1"/>
  <c r="T485" i="1"/>
  <c r="P485" i="1"/>
  <c r="O485" i="1"/>
  <c r="N485" i="1"/>
  <c r="M485" i="1"/>
  <c r="L485" i="1"/>
  <c r="K485" i="1"/>
  <c r="J485" i="1"/>
  <c r="AI484" i="1"/>
  <c r="W484" i="1"/>
  <c r="X484" i="1" s="1"/>
  <c r="T484" i="1"/>
  <c r="P484" i="1"/>
  <c r="O484" i="1"/>
  <c r="N484" i="1"/>
  <c r="M484" i="1"/>
  <c r="L484" i="1"/>
  <c r="K484" i="1"/>
  <c r="J484" i="1"/>
  <c r="AI483" i="1"/>
  <c r="W483" i="1"/>
  <c r="X483" i="1" s="1"/>
  <c r="T483" i="1"/>
  <c r="P483" i="1"/>
  <c r="O483" i="1"/>
  <c r="N483" i="1"/>
  <c r="M483" i="1"/>
  <c r="L483" i="1"/>
  <c r="K483" i="1"/>
  <c r="J483" i="1"/>
  <c r="AI482" i="1"/>
  <c r="T482" i="1"/>
  <c r="P482" i="1"/>
  <c r="O482" i="1"/>
  <c r="N482" i="1"/>
  <c r="M482" i="1"/>
  <c r="L482" i="1"/>
  <c r="K482" i="1"/>
  <c r="J482" i="1"/>
  <c r="AI481" i="1"/>
  <c r="W481" i="1"/>
  <c r="X481" i="1" s="1"/>
  <c r="T481" i="1"/>
  <c r="P481" i="1"/>
  <c r="O481" i="1"/>
  <c r="N481" i="1"/>
  <c r="M481" i="1"/>
  <c r="L481" i="1"/>
  <c r="K481" i="1"/>
  <c r="J481" i="1"/>
  <c r="AI480" i="1"/>
  <c r="X480" i="1"/>
  <c r="W480" i="1"/>
  <c r="T480" i="1"/>
  <c r="P480" i="1"/>
  <c r="O480" i="1"/>
  <c r="N480" i="1"/>
  <c r="M480" i="1"/>
  <c r="L480" i="1"/>
  <c r="K480" i="1"/>
  <c r="J480" i="1"/>
  <c r="AI479" i="1"/>
  <c r="X479" i="1"/>
  <c r="W479" i="1"/>
  <c r="T479" i="1"/>
  <c r="P479" i="1"/>
  <c r="O479" i="1"/>
  <c r="N479" i="1"/>
  <c r="M479" i="1"/>
  <c r="L479" i="1"/>
  <c r="K479" i="1"/>
  <c r="J479" i="1"/>
  <c r="AI478" i="1"/>
  <c r="W478" i="1"/>
  <c r="X478" i="1" s="1"/>
  <c r="T478" i="1"/>
  <c r="P478" i="1"/>
  <c r="O478" i="1"/>
  <c r="N478" i="1"/>
  <c r="M478" i="1"/>
  <c r="L478" i="1"/>
  <c r="K478" i="1"/>
  <c r="J478" i="1"/>
  <c r="AI477" i="1"/>
  <c r="W477" i="1"/>
  <c r="X477" i="1" s="1"/>
  <c r="T477" i="1"/>
  <c r="P477" i="1"/>
  <c r="O477" i="1"/>
  <c r="N477" i="1"/>
  <c r="M477" i="1"/>
  <c r="L477" i="1"/>
  <c r="K477" i="1"/>
  <c r="J477" i="1"/>
  <c r="AI476" i="1"/>
  <c r="X476" i="1"/>
  <c r="W476" i="1"/>
  <c r="T476" i="1"/>
  <c r="P476" i="1"/>
  <c r="O476" i="1"/>
  <c r="N476" i="1"/>
  <c r="M476" i="1"/>
  <c r="L476" i="1"/>
  <c r="K476" i="1"/>
  <c r="J476" i="1"/>
  <c r="AI475" i="1"/>
  <c r="X475" i="1"/>
  <c r="W475" i="1"/>
  <c r="T475" i="1"/>
  <c r="P475" i="1"/>
  <c r="O475" i="1"/>
  <c r="N475" i="1"/>
  <c r="M475" i="1"/>
  <c r="L475" i="1"/>
  <c r="K475" i="1"/>
  <c r="J475" i="1"/>
  <c r="AI474" i="1"/>
  <c r="X474" i="1"/>
  <c r="W474" i="1"/>
  <c r="T474" i="1"/>
  <c r="P474" i="1"/>
  <c r="O474" i="1"/>
  <c r="N474" i="1"/>
  <c r="M474" i="1"/>
  <c r="L474" i="1"/>
  <c r="K474" i="1"/>
  <c r="J474" i="1"/>
  <c r="AI473" i="1"/>
  <c r="W473" i="1"/>
  <c r="X473" i="1" s="1"/>
  <c r="T473" i="1"/>
  <c r="P473" i="1"/>
  <c r="O473" i="1"/>
  <c r="N473" i="1"/>
  <c r="M473" i="1"/>
  <c r="L473" i="1"/>
  <c r="K473" i="1"/>
  <c r="J473" i="1"/>
  <c r="AI472" i="1"/>
  <c r="X472" i="1"/>
  <c r="W472" i="1"/>
  <c r="T472" i="1"/>
  <c r="P472" i="1"/>
  <c r="O472" i="1"/>
  <c r="N472" i="1"/>
  <c r="M472" i="1"/>
  <c r="L472" i="1"/>
  <c r="K472" i="1"/>
  <c r="J472" i="1"/>
  <c r="X471" i="1"/>
  <c r="W471" i="1"/>
  <c r="T471" i="1"/>
  <c r="P471" i="1"/>
  <c r="O471" i="1"/>
  <c r="N471" i="1"/>
  <c r="M471" i="1"/>
  <c r="L471" i="1"/>
  <c r="K471" i="1"/>
  <c r="J471" i="1"/>
  <c r="AI470" i="1"/>
  <c r="X470" i="1"/>
  <c r="W470" i="1"/>
  <c r="T470" i="1"/>
  <c r="P470" i="1"/>
  <c r="O470" i="1"/>
  <c r="N470" i="1"/>
  <c r="M470" i="1"/>
  <c r="L470" i="1"/>
  <c r="K470" i="1"/>
  <c r="J470" i="1"/>
  <c r="AI469" i="1"/>
  <c r="W469" i="1"/>
  <c r="X469" i="1" s="1"/>
  <c r="T469" i="1"/>
  <c r="P469" i="1"/>
  <c r="O469" i="1"/>
  <c r="N469" i="1"/>
  <c r="M469" i="1"/>
  <c r="L469" i="1"/>
  <c r="K469" i="1"/>
  <c r="J469" i="1"/>
  <c r="AI468" i="1"/>
  <c r="W468" i="1"/>
  <c r="X468" i="1" s="1"/>
  <c r="T468" i="1"/>
  <c r="P468" i="1"/>
  <c r="O468" i="1"/>
  <c r="N468" i="1"/>
  <c r="M468" i="1"/>
  <c r="L468" i="1"/>
  <c r="K468" i="1"/>
  <c r="J468" i="1"/>
  <c r="AI467" i="1"/>
  <c r="X467" i="1"/>
  <c r="W467" i="1"/>
  <c r="T467" i="1"/>
  <c r="P467" i="1"/>
  <c r="O467" i="1"/>
  <c r="N467" i="1"/>
  <c r="M467" i="1"/>
  <c r="L467" i="1"/>
  <c r="K467" i="1"/>
  <c r="J467" i="1"/>
  <c r="AI466" i="1"/>
  <c r="X466" i="1"/>
  <c r="W466" i="1"/>
  <c r="T466" i="1"/>
  <c r="P466" i="1"/>
  <c r="O466" i="1"/>
  <c r="N466" i="1"/>
  <c r="M466" i="1"/>
  <c r="L466" i="1"/>
  <c r="K466" i="1"/>
  <c r="J466" i="1"/>
  <c r="AI465" i="1"/>
  <c r="P465" i="1"/>
  <c r="O465" i="1"/>
  <c r="N465" i="1"/>
  <c r="M465" i="1"/>
  <c r="L465" i="1"/>
  <c r="K465" i="1"/>
  <c r="J465" i="1"/>
  <c r="AI464" i="1"/>
  <c r="W464" i="1"/>
  <c r="X464" i="1" s="1"/>
  <c r="T464" i="1"/>
  <c r="P464" i="1"/>
  <c r="O464" i="1"/>
  <c r="N464" i="1"/>
  <c r="M464" i="1"/>
  <c r="L464" i="1"/>
  <c r="K464" i="1"/>
  <c r="J464" i="1"/>
  <c r="AI463" i="1"/>
  <c r="W463" i="1"/>
  <c r="T463" i="1"/>
  <c r="P463" i="1"/>
  <c r="O463" i="1"/>
  <c r="N463" i="1"/>
  <c r="M463" i="1"/>
  <c r="L463" i="1"/>
  <c r="K463" i="1"/>
  <c r="J463" i="1"/>
  <c r="W462" i="1"/>
  <c r="T462" i="1"/>
  <c r="P462" i="1"/>
  <c r="O462" i="1"/>
  <c r="N462" i="1"/>
  <c r="M462" i="1"/>
  <c r="L462" i="1"/>
  <c r="K462" i="1"/>
  <c r="J462" i="1"/>
  <c r="AI461" i="1"/>
  <c r="W461" i="1"/>
  <c r="T461" i="1"/>
  <c r="P461" i="1"/>
  <c r="O461" i="1"/>
  <c r="N461" i="1"/>
  <c r="M461" i="1"/>
  <c r="L461" i="1"/>
  <c r="K461" i="1"/>
  <c r="J461" i="1"/>
  <c r="AI460" i="1"/>
  <c r="AH460" i="1"/>
  <c r="W460" i="1"/>
  <c r="X460" i="1" s="1"/>
  <c r="T460" i="1"/>
  <c r="P460" i="1"/>
  <c r="O460" i="1"/>
  <c r="N460" i="1"/>
  <c r="M460" i="1"/>
  <c r="L460" i="1"/>
  <c r="K460" i="1"/>
  <c r="J460" i="1"/>
  <c r="AI459" i="1"/>
  <c r="X459" i="1"/>
  <c r="W459" i="1"/>
  <c r="T459" i="1"/>
  <c r="P459" i="1"/>
  <c r="O459" i="1"/>
  <c r="N459" i="1"/>
  <c r="M459" i="1"/>
  <c r="L459" i="1"/>
  <c r="K459" i="1"/>
  <c r="J459" i="1"/>
  <c r="AI458" i="1"/>
  <c r="X458" i="1"/>
  <c r="W458" i="1"/>
  <c r="T458" i="1"/>
  <c r="P458" i="1"/>
  <c r="O458" i="1"/>
  <c r="N458" i="1"/>
  <c r="M458" i="1"/>
  <c r="L458" i="1"/>
  <c r="K458" i="1"/>
  <c r="J458" i="1"/>
  <c r="AI457" i="1"/>
  <c r="X457" i="1"/>
  <c r="W457" i="1"/>
  <c r="T457" i="1"/>
  <c r="P457" i="1"/>
  <c r="O457" i="1"/>
  <c r="N457" i="1"/>
  <c r="M457" i="1"/>
  <c r="L457" i="1"/>
  <c r="K457" i="1"/>
  <c r="J457" i="1"/>
  <c r="AI456" i="1"/>
  <c r="W456" i="1"/>
  <c r="X456" i="1" s="1"/>
  <c r="T456" i="1"/>
  <c r="P456" i="1"/>
  <c r="O456" i="1"/>
  <c r="N456" i="1"/>
  <c r="M456" i="1"/>
  <c r="L456" i="1"/>
  <c r="K456" i="1"/>
  <c r="J456" i="1"/>
  <c r="AI455" i="1"/>
  <c r="X455" i="1"/>
  <c r="W455" i="1"/>
  <c r="T455" i="1"/>
  <c r="P455" i="1"/>
  <c r="O455" i="1"/>
  <c r="N455" i="1"/>
  <c r="M455" i="1"/>
  <c r="L455" i="1"/>
  <c r="K455" i="1"/>
  <c r="J455" i="1"/>
  <c r="AI454" i="1"/>
  <c r="X454" i="1"/>
  <c r="W454" i="1"/>
  <c r="T454" i="1"/>
  <c r="P454" i="1"/>
  <c r="O454" i="1"/>
  <c r="N454" i="1"/>
  <c r="M454" i="1"/>
  <c r="L454" i="1"/>
  <c r="K454" i="1"/>
  <c r="J454" i="1"/>
  <c r="AI453" i="1"/>
  <c r="W453" i="1"/>
  <c r="X453" i="1" s="1"/>
  <c r="T453" i="1"/>
  <c r="P453" i="1"/>
  <c r="O453" i="1"/>
  <c r="N453" i="1"/>
  <c r="M453" i="1"/>
  <c r="L453" i="1"/>
  <c r="K453" i="1"/>
  <c r="J453" i="1"/>
  <c r="AI452" i="1"/>
  <c r="W452" i="1"/>
  <c r="X452" i="1" s="1"/>
  <c r="T452" i="1"/>
  <c r="P452" i="1"/>
  <c r="O452" i="1"/>
  <c r="N452" i="1"/>
  <c r="M452" i="1"/>
  <c r="L452" i="1"/>
  <c r="K452" i="1"/>
  <c r="J452" i="1"/>
  <c r="AI451" i="1"/>
  <c r="X451" i="1"/>
  <c r="W451" i="1"/>
  <c r="T451" i="1"/>
  <c r="P451" i="1"/>
  <c r="O451" i="1"/>
  <c r="N451" i="1"/>
  <c r="M451" i="1"/>
  <c r="L451" i="1"/>
  <c r="K451" i="1"/>
  <c r="J451" i="1"/>
  <c r="AI450" i="1"/>
  <c r="X450" i="1"/>
  <c r="W450" i="1"/>
  <c r="T450" i="1"/>
  <c r="P450" i="1"/>
  <c r="O450" i="1"/>
  <c r="N450" i="1"/>
  <c r="M450" i="1"/>
  <c r="L450" i="1"/>
  <c r="K450" i="1"/>
  <c r="J450" i="1"/>
  <c r="AI449" i="1"/>
  <c r="X449" i="1"/>
  <c r="W449" i="1"/>
  <c r="T449" i="1"/>
  <c r="P449" i="1"/>
  <c r="O449" i="1"/>
  <c r="N449" i="1"/>
  <c r="M449" i="1"/>
  <c r="L449" i="1"/>
  <c r="K449" i="1"/>
  <c r="J449" i="1"/>
  <c r="AI448" i="1"/>
  <c r="AH448" i="1"/>
  <c r="W448" i="1"/>
  <c r="X448" i="1" s="1"/>
  <c r="T448" i="1"/>
  <c r="P448" i="1"/>
  <c r="O448" i="1"/>
  <c r="N448" i="1"/>
  <c r="M448" i="1"/>
  <c r="L448" i="1"/>
  <c r="K448" i="1"/>
  <c r="J448" i="1"/>
  <c r="AI447" i="1"/>
  <c r="W447" i="1"/>
  <c r="X447" i="1" s="1"/>
  <c r="T447" i="1"/>
  <c r="P447" i="1"/>
  <c r="O447" i="1"/>
  <c r="N447" i="1"/>
  <c r="M447" i="1"/>
  <c r="L447" i="1"/>
  <c r="K447" i="1"/>
  <c r="J447" i="1"/>
  <c r="AI446" i="1"/>
  <c r="X446" i="1"/>
  <c r="W446" i="1"/>
  <c r="P446" i="1"/>
  <c r="O446" i="1"/>
  <c r="N446" i="1"/>
  <c r="M446" i="1"/>
  <c r="L446" i="1"/>
  <c r="K446" i="1"/>
  <c r="J446" i="1"/>
  <c r="AI445" i="1"/>
  <c r="W445" i="1"/>
  <c r="X445" i="1" s="1"/>
  <c r="T445" i="1"/>
  <c r="P445" i="1"/>
  <c r="O445" i="1"/>
  <c r="N445" i="1"/>
  <c r="M445" i="1"/>
  <c r="L445" i="1"/>
  <c r="K445" i="1"/>
  <c r="J445" i="1"/>
  <c r="X444" i="1"/>
  <c r="W444" i="1"/>
  <c r="T444" i="1"/>
  <c r="P444" i="1"/>
  <c r="O444" i="1"/>
  <c r="N444" i="1"/>
  <c r="M444" i="1"/>
  <c r="L444" i="1"/>
  <c r="K444" i="1"/>
  <c r="J444" i="1"/>
  <c r="AI443" i="1"/>
  <c r="X443" i="1"/>
  <c r="W443" i="1"/>
  <c r="T443" i="1"/>
  <c r="P443" i="1"/>
  <c r="O443" i="1"/>
  <c r="N443" i="1"/>
  <c r="M443" i="1"/>
  <c r="L443" i="1"/>
  <c r="K443" i="1"/>
  <c r="J443" i="1"/>
  <c r="AI442" i="1"/>
  <c r="W442" i="1"/>
  <c r="X442" i="1" s="1"/>
  <c r="T442" i="1"/>
  <c r="P442" i="1"/>
  <c r="O442" i="1"/>
  <c r="N442" i="1"/>
  <c r="M442" i="1"/>
  <c r="L442" i="1"/>
  <c r="K442" i="1"/>
  <c r="J442" i="1"/>
  <c r="AI441" i="1"/>
  <c r="W441" i="1"/>
  <c r="X441" i="1" s="1"/>
  <c r="T441" i="1"/>
  <c r="P441" i="1"/>
  <c r="O441" i="1"/>
  <c r="N441" i="1"/>
  <c r="M441" i="1"/>
  <c r="L441" i="1"/>
  <c r="K441" i="1"/>
  <c r="J441" i="1"/>
  <c r="AI440" i="1"/>
  <c r="X440" i="1"/>
  <c r="W440" i="1"/>
  <c r="T440" i="1"/>
  <c r="P440" i="1"/>
  <c r="O440" i="1"/>
  <c r="N440" i="1"/>
  <c r="M440" i="1"/>
  <c r="L440" i="1"/>
  <c r="K440" i="1"/>
  <c r="J440" i="1"/>
  <c r="AI439" i="1"/>
  <c r="X439" i="1"/>
  <c r="W439" i="1"/>
  <c r="T439" i="1"/>
  <c r="P439" i="1"/>
  <c r="O439" i="1"/>
  <c r="N439" i="1"/>
  <c r="M439" i="1"/>
  <c r="L439" i="1"/>
  <c r="K439" i="1"/>
  <c r="J439" i="1"/>
  <c r="AI438" i="1"/>
  <c r="X438" i="1"/>
  <c r="W438" i="1"/>
  <c r="T438" i="1"/>
  <c r="P438" i="1"/>
  <c r="O438" i="1"/>
  <c r="N438" i="1"/>
  <c r="M438" i="1"/>
  <c r="L438" i="1"/>
  <c r="K438" i="1"/>
  <c r="J438" i="1"/>
  <c r="AI437" i="1"/>
  <c r="W437" i="1"/>
  <c r="X437" i="1" s="1"/>
  <c r="T437" i="1"/>
  <c r="P437" i="1"/>
  <c r="O437" i="1"/>
  <c r="N437" i="1"/>
  <c r="M437" i="1"/>
  <c r="L437" i="1"/>
  <c r="K437" i="1"/>
  <c r="J437" i="1"/>
  <c r="X436" i="1"/>
  <c r="W436" i="1"/>
  <c r="P436" i="1"/>
  <c r="O436" i="1"/>
  <c r="N436" i="1"/>
  <c r="M436" i="1"/>
  <c r="L436" i="1"/>
  <c r="K436" i="1"/>
  <c r="J436" i="1"/>
  <c r="AI435" i="1"/>
  <c r="W435" i="1"/>
  <c r="X435" i="1" s="1"/>
  <c r="P435" i="1"/>
  <c r="O435" i="1"/>
  <c r="N435" i="1"/>
  <c r="M435" i="1"/>
  <c r="L435" i="1"/>
  <c r="K435" i="1"/>
  <c r="J435" i="1"/>
  <c r="AI434" i="1"/>
  <c r="X434" i="1"/>
  <c r="W434" i="1"/>
  <c r="T434" i="1"/>
  <c r="P434" i="1"/>
  <c r="O434" i="1"/>
  <c r="N434" i="1"/>
  <c r="M434" i="1"/>
  <c r="L434" i="1"/>
  <c r="K434" i="1"/>
  <c r="J434" i="1"/>
  <c r="AI433" i="1"/>
  <c r="W433" i="1"/>
  <c r="X433" i="1" s="1"/>
  <c r="T433" i="1"/>
  <c r="P433" i="1"/>
  <c r="O433" i="1"/>
  <c r="N433" i="1"/>
  <c r="M433" i="1"/>
  <c r="L433" i="1"/>
  <c r="K433" i="1"/>
  <c r="J433" i="1"/>
  <c r="AI432" i="1"/>
  <c r="W432" i="1"/>
  <c r="X432" i="1" s="1"/>
  <c r="T432" i="1"/>
  <c r="P432" i="1"/>
  <c r="O432" i="1"/>
  <c r="N432" i="1"/>
  <c r="M432" i="1"/>
  <c r="L432" i="1"/>
  <c r="K432" i="1"/>
  <c r="J432" i="1"/>
  <c r="W431" i="1"/>
  <c r="T431" i="1"/>
  <c r="P431" i="1"/>
  <c r="O431" i="1"/>
  <c r="N431" i="1"/>
  <c r="M431" i="1"/>
  <c r="L431" i="1"/>
  <c r="K431" i="1"/>
  <c r="J431" i="1"/>
  <c r="AI430" i="1"/>
  <c r="AH430" i="1"/>
  <c r="X430" i="1"/>
  <c r="W430" i="1"/>
  <c r="T430" i="1"/>
  <c r="P430" i="1"/>
  <c r="O430" i="1"/>
  <c r="N430" i="1"/>
  <c r="M430" i="1"/>
  <c r="L430" i="1"/>
  <c r="K430" i="1"/>
  <c r="J430" i="1"/>
  <c r="AI429" i="1"/>
  <c r="W429" i="1"/>
  <c r="X429" i="1" s="1"/>
  <c r="T429" i="1"/>
  <c r="P429" i="1"/>
  <c r="O429" i="1"/>
  <c r="N429" i="1"/>
  <c r="M429" i="1"/>
  <c r="L429" i="1"/>
  <c r="K429" i="1"/>
  <c r="J429" i="1"/>
  <c r="AI428" i="1"/>
  <c r="X428" i="1"/>
  <c r="W428" i="1"/>
  <c r="T428" i="1"/>
  <c r="P428" i="1"/>
  <c r="O428" i="1"/>
  <c r="N428" i="1"/>
  <c r="M428" i="1"/>
  <c r="L428" i="1"/>
  <c r="K428" i="1"/>
  <c r="J428" i="1"/>
  <c r="AI427" i="1"/>
  <c r="X427" i="1"/>
  <c r="W427" i="1"/>
  <c r="T427" i="1"/>
  <c r="P427" i="1"/>
  <c r="O427" i="1"/>
  <c r="N427" i="1"/>
  <c r="M427" i="1"/>
  <c r="L427" i="1"/>
  <c r="K427" i="1"/>
  <c r="J427" i="1"/>
  <c r="W426" i="1"/>
  <c r="X426" i="1" s="1"/>
  <c r="P426" i="1"/>
  <c r="O426" i="1"/>
  <c r="N426" i="1"/>
  <c r="M426" i="1"/>
  <c r="L426" i="1"/>
  <c r="K426" i="1"/>
  <c r="J426" i="1"/>
  <c r="AI425" i="1"/>
  <c r="X425" i="1"/>
  <c r="W425" i="1"/>
  <c r="T425" i="1"/>
  <c r="P425" i="1"/>
  <c r="O425" i="1"/>
  <c r="N425" i="1"/>
  <c r="M425" i="1"/>
  <c r="L425" i="1"/>
  <c r="K425" i="1"/>
  <c r="J425" i="1"/>
  <c r="AI424" i="1"/>
  <c r="X424" i="1"/>
  <c r="W424" i="1"/>
  <c r="T424" i="1"/>
  <c r="P424" i="1"/>
  <c r="O424" i="1"/>
  <c r="N424" i="1"/>
  <c r="M424" i="1"/>
  <c r="L424" i="1"/>
  <c r="K424" i="1"/>
  <c r="J424" i="1"/>
  <c r="AI423" i="1"/>
  <c r="W423" i="1"/>
  <c r="X423" i="1" s="1"/>
  <c r="T423" i="1"/>
  <c r="P423" i="1"/>
  <c r="O423" i="1"/>
  <c r="N423" i="1"/>
  <c r="M423" i="1"/>
  <c r="L423" i="1"/>
  <c r="K423" i="1"/>
  <c r="J423" i="1"/>
  <c r="AI422" i="1"/>
  <c r="X422" i="1"/>
  <c r="W422" i="1"/>
  <c r="T422" i="1"/>
  <c r="P422" i="1"/>
  <c r="O422" i="1"/>
  <c r="N422" i="1"/>
  <c r="M422" i="1"/>
  <c r="L422" i="1"/>
  <c r="K422" i="1"/>
  <c r="J422" i="1"/>
  <c r="AI421" i="1"/>
  <c r="X421" i="1"/>
  <c r="W421" i="1"/>
  <c r="T421" i="1"/>
  <c r="P421" i="1"/>
  <c r="O421" i="1"/>
  <c r="N421" i="1"/>
  <c r="M421" i="1"/>
  <c r="L421" i="1"/>
  <c r="K421" i="1"/>
  <c r="J421" i="1"/>
  <c r="W420" i="1"/>
  <c r="X420" i="1" s="1"/>
  <c r="T420" i="1"/>
  <c r="P420" i="1"/>
  <c r="O420" i="1"/>
  <c r="N420" i="1"/>
  <c r="M420" i="1"/>
  <c r="L420" i="1"/>
  <c r="K420" i="1"/>
  <c r="J420" i="1"/>
  <c r="AI419" i="1"/>
  <c r="X419" i="1"/>
  <c r="W419" i="1"/>
  <c r="T419" i="1"/>
  <c r="P419" i="1"/>
  <c r="O419" i="1"/>
  <c r="N419" i="1"/>
  <c r="M419" i="1"/>
  <c r="L419" i="1"/>
  <c r="K419" i="1"/>
  <c r="J419" i="1"/>
  <c r="AI418" i="1"/>
  <c r="X418" i="1"/>
  <c r="W418" i="1"/>
  <c r="T418" i="1"/>
  <c r="P418" i="1"/>
  <c r="O418" i="1"/>
  <c r="N418" i="1"/>
  <c r="M418" i="1"/>
  <c r="L418" i="1"/>
  <c r="K418" i="1"/>
  <c r="J418" i="1"/>
  <c r="AI417" i="1"/>
  <c r="X417" i="1"/>
  <c r="W417" i="1"/>
  <c r="T417" i="1"/>
  <c r="P417" i="1"/>
  <c r="O417" i="1"/>
  <c r="N417" i="1"/>
  <c r="M417" i="1"/>
  <c r="L417" i="1"/>
  <c r="K417" i="1"/>
  <c r="J417" i="1"/>
  <c r="AI416" i="1"/>
  <c r="W416" i="1"/>
  <c r="X416" i="1" s="1"/>
  <c r="T416" i="1"/>
  <c r="P416" i="1"/>
  <c r="O416" i="1"/>
  <c r="N416" i="1"/>
  <c r="M416" i="1"/>
  <c r="L416" i="1"/>
  <c r="K416" i="1"/>
  <c r="J416" i="1"/>
  <c r="AI415" i="1"/>
  <c r="X415" i="1"/>
  <c r="W415" i="1"/>
  <c r="T415" i="1"/>
  <c r="P415" i="1"/>
  <c r="O415" i="1"/>
  <c r="N415" i="1"/>
  <c r="M415" i="1"/>
  <c r="L415" i="1"/>
  <c r="K415" i="1"/>
  <c r="J415" i="1"/>
  <c r="X414" i="1"/>
  <c r="W414" i="1"/>
  <c r="P414" i="1"/>
  <c r="O414" i="1"/>
  <c r="N414" i="1"/>
  <c r="M414" i="1"/>
  <c r="L414" i="1"/>
  <c r="K414" i="1"/>
  <c r="J414" i="1"/>
  <c r="X413" i="1"/>
  <c r="W413" i="1"/>
  <c r="T413" i="1"/>
  <c r="P413" i="1"/>
  <c r="O413" i="1"/>
  <c r="N413" i="1"/>
  <c r="M413" i="1"/>
  <c r="L413" i="1"/>
  <c r="K413" i="1"/>
  <c r="J413" i="1"/>
  <c r="AI412" i="1"/>
  <c r="X412" i="1"/>
  <c r="W412" i="1"/>
  <c r="T412" i="1"/>
  <c r="P412" i="1"/>
  <c r="O412" i="1"/>
  <c r="N412" i="1"/>
  <c r="M412" i="1"/>
  <c r="L412" i="1"/>
  <c r="K412" i="1"/>
  <c r="J412" i="1"/>
  <c r="X411" i="1"/>
  <c r="W411" i="1"/>
  <c r="T411" i="1"/>
  <c r="P411" i="1"/>
  <c r="O411" i="1"/>
  <c r="N411" i="1"/>
  <c r="M411" i="1"/>
  <c r="L411" i="1"/>
  <c r="K411" i="1"/>
  <c r="J411" i="1"/>
  <c r="AI410" i="1"/>
  <c r="X410" i="1"/>
  <c r="W410" i="1"/>
  <c r="T410" i="1"/>
  <c r="P410" i="1"/>
  <c r="O410" i="1"/>
  <c r="N410" i="1"/>
  <c r="M410" i="1"/>
  <c r="L410" i="1"/>
  <c r="K410" i="1"/>
  <c r="J410" i="1"/>
  <c r="AI409" i="1"/>
  <c r="X409" i="1"/>
  <c r="W409" i="1"/>
  <c r="T409" i="1"/>
  <c r="P409" i="1"/>
  <c r="O409" i="1"/>
  <c r="N409" i="1"/>
  <c r="M409" i="1"/>
  <c r="L409" i="1"/>
  <c r="K409" i="1"/>
  <c r="J409" i="1"/>
  <c r="AI408" i="1"/>
  <c r="W408" i="1"/>
  <c r="X408" i="1" s="1"/>
  <c r="T408" i="1"/>
  <c r="P408" i="1"/>
  <c r="O408" i="1"/>
  <c r="N408" i="1"/>
  <c r="M408" i="1"/>
  <c r="L408" i="1"/>
  <c r="K408" i="1"/>
  <c r="J408" i="1"/>
  <c r="AI407" i="1"/>
  <c r="X407" i="1"/>
  <c r="W407" i="1"/>
  <c r="T407" i="1"/>
  <c r="P407" i="1"/>
  <c r="O407" i="1"/>
  <c r="N407" i="1"/>
  <c r="M407" i="1"/>
  <c r="L407" i="1"/>
  <c r="K407" i="1"/>
  <c r="J407" i="1"/>
  <c r="W406" i="1"/>
  <c r="X406" i="1" s="1"/>
  <c r="T406" i="1"/>
  <c r="P406" i="1"/>
  <c r="O406" i="1"/>
  <c r="N406" i="1"/>
  <c r="M406" i="1"/>
  <c r="L406" i="1"/>
  <c r="K406" i="1"/>
  <c r="J406" i="1"/>
  <c r="AI405" i="1"/>
  <c r="W405" i="1"/>
  <c r="X405" i="1" s="1"/>
  <c r="T405" i="1"/>
  <c r="P405" i="1"/>
  <c r="O405" i="1"/>
  <c r="N405" i="1"/>
  <c r="M405" i="1"/>
  <c r="L405" i="1"/>
  <c r="K405" i="1"/>
  <c r="J405" i="1"/>
  <c r="AI404" i="1"/>
  <c r="X404" i="1"/>
  <c r="W404" i="1"/>
  <c r="T404" i="1"/>
  <c r="P404" i="1"/>
  <c r="O404" i="1"/>
  <c r="N404" i="1"/>
  <c r="M404" i="1"/>
  <c r="L404" i="1"/>
  <c r="K404" i="1"/>
  <c r="J404" i="1"/>
  <c r="AI403" i="1"/>
  <c r="X403" i="1"/>
  <c r="W403" i="1"/>
  <c r="T403" i="1"/>
  <c r="P403" i="1"/>
  <c r="O403" i="1"/>
  <c r="N403" i="1"/>
  <c r="M403" i="1"/>
  <c r="L403" i="1"/>
  <c r="K403" i="1"/>
  <c r="J403" i="1"/>
  <c r="AI402" i="1"/>
  <c r="W402" i="1"/>
  <c r="X402" i="1" s="1"/>
  <c r="T402" i="1"/>
  <c r="P402" i="1"/>
  <c r="O402" i="1"/>
  <c r="N402" i="1"/>
  <c r="M402" i="1"/>
  <c r="L402" i="1"/>
  <c r="K402" i="1"/>
  <c r="J402" i="1"/>
  <c r="AI401" i="1"/>
  <c r="W401" i="1"/>
  <c r="X401" i="1" s="1"/>
  <c r="T401" i="1"/>
  <c r="P401" i="1"/>
  <c r="O401" i="1"/>
  <c r="N401" i="1"/>
  <c r="M401" i="1"/>
  <c r="L401" i="1"/>
  <c r="K401" i="1"/>
  <c r="J401" i="1"/>
  <c r="X400" i="1"/>
  <c r="W400" i="1"/>
  <c r="T400" i="1"/>
  <c r="P400" i="1"/>
  <c r="O400" i="1"/>
  <c r="N400" i="1"/>
  <c r="M400" i="1"/>
  <c r="L400" i="1"/>
  <c r="K400" i="1"/>
  <c r="J400" i="1"/>
  <c r="AI399" i="1"/>
  <c r="X399" i="1"/>
  <c r="W399" i="1"/>
  <c r="T399" i="1"/>
  <c r="P399" i="1"/>
  <c r="O399" i="1"/>
  <c r="N399" i="1"/>
  <c r="M399" i="1"/>
  <c r="L399" i="1"/>
  <c r="K399" i="1"/>
  <c r="J399" i="1"/>
  <c r="AI398" i="1"/>
  <c r="W398" i="1"/>
  <c r="X398" i="1" s="1"/>
  <c r="T398" i="1"/>
  <c r="P398" i="1"/>
  <c r="O398" i="1"/>
  <c r="N398" i="1"/>
  <c r="M398" i="1"/>
  <c r="L398" i="1"/>
  <c r="K398" i="1"/>
  <c r="J398" i="1"/>
  <c r="AI397" i="1"/>
  <c r="X397" i="1"/>
  <c r="W397" i="1"/>
  <c r="T397" i="1"/>
  <c r="P397" i="1"/>
  <c r="O397" i="1"/>
  <c r="N397" i="1"/>
  <c r="M397" i="1"/>
  <c r="L397" i="1"/>
  <c r="K397" i="1"/>
  <c r="J397" i="1"/>
  <c r="AI396" i="1"/>
  <c r="X396" i="1"/>
  <c r="W396" i="1"/>
  <c r="T396" i="1"/>
  <c r="P396" i="1"/>
  <c r="O396" i="1"/>
  <c r="N396" i="1"/>
  <c r="M396" i="1"/>
  <c r="L396" i="1"/>
  <c r="K396" i="1"/>
  <c r="J396" i="1"/>
  <c r="AI395" i="1"/>
  <c r="X395" i="1"/>
  <c r="W395" i="1"/>
  <c r="T395" i="1"/>
  <c r="P395" i="1"/>
  <c r="O395" i="1"/>
  <c r="N395" i="1"/>
  <c r="M395" i="1"/>
  <c r="L395" i="1"/>
  <c r="K395" i="1"/>
  <c r="J395" i="1"/>
  <c r="AI394" i="1"/>
  <c r="W394" i="1"/>
  <c r="X394" i="1" s="1"/>
  <c r="T394" i="1"/>
  <c r="P394" i="1"/>
  <c r="O394" i="1"/>
  <c r="N394" i="1"/>
  <c r="M394" i="1"/>
  <c r="L394" i="1"/>
  <c r="K394" i="1"/>
  <c r="J394" i="1"/>
  <c r="X393" i="1"/>
  <c r="W393" i="1"/>
  <c r="T393" i="1"/>
  <c r="P393" i="1"/>
  <c r="O393" i="1"/>
  <c r="N393" i="1"/>
  <c r="M393" i="1"/>
  <c r="L393" i="1"/>
  <c r="K393" i="1"/>
  <c r="J393" i="1"/>
  <c r="W392" i="1"/>
  <c r="X392" i="1" s="1"/>
  <c r="T392" i="1"/>
  <c r="P392" i="1"/>
  <c r="O392" i="1"/>
  <c r="N392" i="1"/>
  <c r="M392" i="1"/>
  <c r="L392" i="1"/>
  <c r="K392" i="1"/>
  <c r="J392" i="1"/>
  <c r="AI391" i="1"/>
  <c r="X391" i="1"/>
  <c r="W391" i="1"/>
  <c r="T391" i="1"/>
  <c r="P391" i="1"/>
  <c r="O391" i="1"/>
  <c r="N391" i="1"/>
  <c r="M391" i="1"/>
  <c r="L391" i="1"/>
  <c r="K391" i="1"/>
  <c r="J391" i="1"/>
  <c r="AH390" i="1"/>
  <c r="AI390" i="1" s="1"/>
  <c r="X390" i="1"/>
  <c r="W390" i="1"/>
  <c r="T390" i="1"/>
  <c r="P390" i="1"/>
  <c r="O390" i="1"/>
  <c r="N390" i="1"/>
  <c r="M390" i="1"/>
  <c r="L390" i="1"/>
  <c r="K390" i="1"/>
  <c r="J390" i="1"/>
  <c r="AI389" i="1"/>
  <c r="X389" i="1"/>
  <c r="W389" i="1"/>
  <c r="T389" i="1"/>
  <c r="P389" i="1"/>
  <c r="O389" i="1"/>
  <c r="N389" i="1"/>
  <c r="M389" i="1"/>
  <c r="L389" i="1"/>
  <c r="K389" i="1"/>
  <c r="J389" i="1"/>
  <c r="AI388" i="1"/>
  <c r="W388" i="1"/>
  <c r="X388" i="1" s="1"/>
  <c r="T388" i="1"/>
  <c r="P388" i="1"/>
  <c r="O388" i="1"/>
  <c r="N388" i="1"/>
  <c r="M388" i="1"/>
  <c r="L388" i="1"/>
  <c r="K388" i="1"/>
  <c r="J388" i="1"/>
  <c r="AI387" i="1"/>
  <c r="W387" i="1"/>
  <c r="X387" i="1" s="1"/>
  <c r="T387" i="1"/>
  <c r="P387" i="1"/>
  <c r="O387" i="1"/>
  <c r="N387" i="1"/>
  <c r="M387" i="1"/>
  <c r="L387" i="1"/>
  <c r="K387" i="1"/>
  <c r="J387" i="1"/>
  <c r="AI386" i="1"/>
  <c r="X386" i="1"/>
  <c r="W386" i="1"/>
  <c r="T386" i="1"/>
  <c r="P386" i="1"/>
  <c r="O386" i="1"/>
  <c r="N386" i="1"/>
  <c r="M386" i="1"/>
  <c r="L386" i="1"/>
  <c r="K386" i="1"/>
  <c r="J386" i="1"/>
  <c r="AI385" i="1"/>
  <c r="AH385" i="1"/>
  <c r="X385" i="1"/>
  <c r="W385" i="1"/>
  <c r="T385" i="1"/>
  <c r="P385" i="1"/>
  <c r="O385" i="1"/>
  <c r="N385" i="1"/>
  <c r="M385" i="1"/>
  <c r="L385" i="1"/>
  <c r="K385" i="1"/>
  <c r="J385" i="1"/>
  <c r="AI384" i="1"/>
  <c r="X384" i="1"/>
  <c r="W384" i="1"/>
  <c r="T384" i="1"/>
  <c r="P384" i="1"/>
  <c r="O384" i="1"/>
  <c r="N384" i="1"/>
  <c r="M384" i="1"/>
  <c r="L384" i="1"/>
  <c r="K384" i="1"/>
  <c r="J384" i="1"/>
  <c r="AI383" i="1"/>
  <c r="X383" i="1"/>
  <c r="W383" i="1"/>
  <c r="T383" i="1"/>
  <c r="P383" i="1"/>
  <c r="O383" i="1"/>
  <c r="N383" i="1"/>
  <c r="M383" i="1"/>
  <c r="L383" i="1"/>
  <c r="K383" i="1"/>
  <c r="J383" i="1"/>
  <c r="AI382" i="1"/>
  <c r="W382" i="1"/>
  <c r="X382" i="1" s="1"/>
  <c r="P382" i="1"/>
  <c r="O382" i="1"/>
  <c r="N382" i="1"/>
  <c r="M382" i="1"/>
  <c r="L382" i="1"/>
  <c r="K382" i="1"/>
  <c r="J382" i="1"/>
  <c r="AI381" i="1"/>
  <c r="X381" i="1"/>
  <c r="W381" i="1"/>
  <c r="T381" i="1"/>
  <c r="P381" i="1"/>
  <c r="O381" i="1"/>
  <c r="N381" i="1"/>
  <c r="M381" i="1"/>
  <c r="L381" i="1"/>
  <c r="K381" i="1"/>
  <c r="J381" i="1"/>
  <c r="AI380" i="1"/>
  <c r="X380" i="1"/>
  <c r="W380" i="1"/>
  <c r="T380" i="1"/>
  <c r="P380" i="1"/>
  <c r="O380" i="1"/>
  <c r="N380" i="1"/>
  <c r="M380" i="1"/>
  <c r="L380" i="1"/>
  <c r="K380" i="1"/>
  <c r="J380" i="1"/>
  <c r="AI379" i="1"/>
  <c r="W379" i="1"/>
  <c r="X379" i="1" s="1"/>
  <c r="P379" i="1"/>
  <c r="O379" i="1"/>
  <c r="N379" i="1"/>
  <c r="M379" i="1"/>
  <c r="L379" i="1"/>
  <c r="K379" i="1"/>
  <c r="J379" i="1"/>
  <c r="AI378" i="1"/>
  <c r="X378" i="1"/>
  <c r="W378" i="1"/>
  <c r="T378" i="1"/>
  <c r="P378" i="1"/>
  <c r="O378" i="1"/>
  <c r="N378" i="1"/>
  <c r="M378" i="1"/>
  <c r="L378" i="1"/>
  <c r="K378" i="1"/>
  <c r="J378" i="1"/>
  <c r="AI377" i="1"/>
  <c r="X377" i="1"/>
  <c r="W377" i="1"/>
  <c r="T377" i="1"/>
  <c r="P377" i="1"/>
  <c r="O377" i="1"/>
  <c r="N377" i="1"/>
  <c r="M377" i="1"/>
  <c r="L377" i="1"/>
  <c r="K377" i="1"/>
  <c r="J377" i="1"/>
  <c r="AI376" i="1"/>
  <c r="W376" i="1"/>
  <c r="X376" i="1" s="1"/>
  <c r="T376" i="1"/>
  <c r="P376" i="1"/>
  <c r="O376" i="1"/>
  <c r="N376" i="1"/>
  <c r="M376" i="1"/>
  <c r="L376" i="1"/>
  <c r="K376" i="1"/>
  <c r="J376" i="1"/>
  <c r="AI375" i="1"/>
  <c r="X375" i="1"/>
  <c r="W375" i="1"/>
  <c r="T375" i="1"/>
  <c r="P375" i="1"/>
  <c r="O375" i="1"/>
  <c r="N375" i="1"/>
  <c r="M375" i="1"/>
  <c r="L375" i="1"/>
  <c r="K375" i="1"/>
  <c r="J375" i="1"/>
  <c r="AI374" i="1"/>
  <c r="X374" i="1"/>
  <c r="W374" i="1"/>
  <c r="T374" i="1"/>
  <c r="P374" i="1"/>
  <c r="O374" i="1"/>
  <c r="N374" i="1"/>
  <c r="M374" i="1"/>
  <c r="L374" i="1"/>
  <c r="K374" i="1"/>
  <c r="J374" i="1"/>
  <c r="AI373" i="1"/>
  <c r="W373" i="1"/>
  <c r="X373" i="1" s="1"/>
  <c r="T373" i="1"/>
  <c r="P373" i="1"/>
  <c r="O373" i="1"/>
  <c r="N373" i="1"/>
  <c r="M373" i="1"/>
  <c r="L373" i="1"/>
  <c r="K373" i="1"/>
  <c r="J373" i="1"/>
  <c r="AI372" i="1"/>
  <c r="W372" i="1"/>
  <c r="X372" i="1" s="1"/>
  <c r="T372" i="1"/>
  <c r="P372" i="1"/>
  <c r="O372" i="1"/>
  <c r="N372" i="1"/>
  <c r="M372" i="1"/>
  <c r="L372" i="1"/>
  <c r="K372" i="1"/>
  <c r="J372" i="1"/>
  <c r="AI371" i="1"/>
  <c r="X371" i="1"/>
  <c r="W371" i="1"/>
  <c r="T371" i="1"/>
  <c r="P371" i="1"/>
  <c r="O371" i="1"/>
  <c r="N371" i="1"/>
  <c r="M371" i="1"/>
  <c r="L371" i="1"/>
  <c r="K371" i="1"/>
  <c r="J371" i="1"/>
  <c r="AI370" i="1"/>
  <c r="X370" i="1"/>
  <c r="W370" i="1"/>
  <c r="T370" i="1"/>
  <c r="P370" i="1"/>
  <c r="O370" i="1"/>
  <c r="N370" i="1"/>
  <c r="M370" i="1"/>
  <c r="L370" i="1"/>
  <c r="K370" i="1"/>
  <c r="J370" i="1"/>
  <c r="AI369" i="1"/>
  <c r="X369" i="1"/>
  <c r="W369" i="1"/>
  <c r="T369" i="1"/>
  <c r="P369" i="1"/>
  <c r="O369" i="1"/>
  <c r="N369" i="1"/>
  <c r="M369" i="1"/>
  <c r="L369" i="1"/>
  <c r="K369" i="1"/>
  <c r="J369" i="1"/>
  <c r="AI368" i="1"/>
  <c r="W368" i="1"/>
  <c r="X368" i="1" s="1"/>
  <c r="T368" i="1"/>
  <c r="P368" i="1"/>
  <c r="O368" i="1"/>
  <c r="N368" i="1"/>
  <c r="M368" i="1"/>
  <c r="L368" i="1"/>
  <c r="K368" i="1"/>
  <c r="J368" i="1"/>
  <c r="AI367" i="1"/>
  <c r="X367" i="1"/>
  <c r="W367" i="1"/>
  <c r="T367" i="1"/>
  <c r="P367" i="1"/>
  <c r="O367" i="1"/>
  <c r="N367" i="1"/>
  <c r="M367" i="1"/>
  <c r="L367" i="1"/>
  <c r="K367" i="1"/>
  <c r="J367" i="1"/>
  <c r="AI366" i="1"/>
  <c r="X366" i="1"/>
  <c r="W366" i="1"/>
  <c r="T366" i="1"/>
  <c r="P366" i="1"/>
  <c r="O366" i="1"/>
  <c r="N366" i="1"/>
  <c r="M366" i="1"/>
  <c r="L366" i="1"/>
  <c r="K366" i="1"/>
  <c r="J366" i="1"/>
  <c r="AI365" i="1"/>
  <c r="X365" i="1"/>
  <c r="W365" i="1"/>
  <c r="T365" i="1"/>
  <c r="P365" i="1"/>
  <c r="O365" i="1"/>
  <c r="N365" i="1"/>
  <c r="M365" i="1"/>
  <c r="L365" i="1"/>
  <c r="K365" i="1"/>
  <c r="J365" i="1"/>
  <c r="AI364" i="1"/>
  <c r="W364" i="1"/>
  <c r="X364" i="1" s="1"/>
  <c r="T364" i="1"/>
  <c r="P364" i="1"/>
  <c r="O364" i="1"/>
  <c r="N364" i="1"/>
  <c r="M364" i="1"/>
  <c r="L364" i="1"/>
  <c r="K364" i="1"/>
  <c r="J364" i="1"/>
  <c r="AI363" i="1"/>
  <c r="X363" i="1"/>
  <c r="W363" i="1"/>
  <c r="T363" i="1"/>
  <c r="P363" i="1"/>
  <c r="O363" i="1"/>
  <c r="N363" i="1"/>
  <c r="M363" i="1"/>
  <c r="L363" i="1"/>
  <c r="K363" i="1"/>
  <c r="J363" i="1"/>
  <c r="AI362" i="1"/>
  <c r="X362" i="1"/>
  <c r="W362" i="1"/>
  <c r="T362" i="1"/>
  <c r="P362" i="1"/>
  <c r="O362" i="1"/>
  <c r="N362" i="1"/>
  <c r="M362" i="1"/>
  <c r="L362" i="1"/>
  <c r="K362" i="1"/>
  <c r="J362" i="1"/>
  <c r="AI361" i="1"/>
  <c r="W361" i="1"/>
  <c r="X361" i="1" s="1"/>
  <c r="P361" i="1"/>
  <c r="O361" i="1"/>
  <c r="N361" i="1"/>
  <c r="M361" i="1"/>
  <c r="L361" i="1"/>
  <c r="K361" i="1"/>
  <c r="J361" i="1"/>
  <c r="AI360" i="1"/>
  <c r="X360" i="1"/>
  <c r="W360" i="1"/>
  <c r="P360" i="1"/>
  <c r="O360" i="1"/>
  <c r="N360" i="1"/>
  <c r="M360" i="1"/>
  <c r="L360" i="1"/>
  <c r="K360" i="1"/>
  <c r="J360" i="1"/>
  <c r="AI359" i="1"/>
  <c r="W359" i="1"/>
  <c r="X359" i="1" s="1"/>
  <c r="P359" i="1"/>
  <c r="O359" i="1"/>
  <c r="N359" i="1"/>
  <c r="M359" i="1"/>
  <c r="L359" i="1"/>
  <c r="K359" i="1"/>
  <c r="J359" i="1"/>
  <c r="AI358" i="1"/>
  <c r="X358" i="1"/>
  <c r="W358" i="1"/>
  <c r="T358" i="1"/>
  <c r="P358" i="1"/>
  <c r="O358" i="1"/>
  <c r="N358" i="1"/>
  <c r="M358" i="1"/>
  <c r="L358" i="1"/>
  <c r="K358" i="1"/>
  <c r="J358" i="1"/>
  <c r="AI357" i="1"/>
  <c r="X357" i="1"/>
  <c r="W357" i="1"/>
  <c r="P357" i="1"/>
  <c r="O357" i="1"/>
  <c r="N357" i="1"/>
  <c r="M357" i="1"/>
  <c r="L357" i="1"/>
  <c r="K357" i="1"/>
  <c r="J357" i="1"/>
  <c r="AI356" i="1"/>
  <c r="W356" i="1"/>
  <c r="X356" i="1" s="1"/>
  <c r="P356" i="1"/>
  <c r="O356" i="1"/>
  <c r="N356" i="1"/>
  <c r="M356" i="1"/>
  <c r="L356" i="1"/>
  <c r="K356" i="1"/>
  <c r="J356" i="1"/>
  <c r="AI355" i="1"/>
  <c r="X355" i="1"/>
  <c r="W355" i="1"/>
  <c r="T355" i="1"/>
  <c r="P355" i="1"/>
  <c r="O355" i="1"/>
  <c r="N355" i="1"/>
  <c r="M355" i="1"/>
  <c r="L355" i="1"/>
  <c r="K355" i="1"/>
  <c r="J355" i="1"/>
  <c r="AI354" i="1"/>
  <c r="W354" i="1"/>
  <c r="X354" i="1" s="1"/>
  <c r="T354" i="1"/>
  <c r="P354" i="1"/>
  <c r="O354" i="1"/>
  <c r="N354" i="1"/>
  <c r="M354" i="1"/>
  <c r="L354" i="1"/>
  <c r="K354" i="1"/>
  <c r="J354" i="1"/>
  <c r="AI353" i="1"/>
  <c r="W353" i="1"/>
  <c r="X353" i="1" s="1"/>
  <c r="T353" i="1"/>
  <c r="P353" i="1"/>
  <c r="O353" i="1"/>
  <c r="N353" i="1"/>
  <c r="M353" i="1"/>
  <c r="L353" i="1"/>
  <c r="K353" i="1"/>
  <c r="J353" i="1"/>
  <c r="AI352" i="1"/>
  <c r="X352" i="1"/>
  <c r="W352" i="1"/>
  <c r="T352" i="1"/>
  <c r="P352" i="1"/>
  <c r="O352" i="1"/>
  <c r="N352" i="1"/>
  <c r="M352" i="1"/>
  <c r="L352" i="1"/>
  <c r="K352" i="1"/>
  <c r="J352" i="1"/>
  <c r="AI351" i="1"/>
  <c r="W351" i="1"/>
  <c r="X351" i="1" s="1"/>
  <c r="P351" i="1"/>
  <c r="O351" i="1"/>
  <c r="N351" i="1"/>
  <c r="M351" i="1"/>
  <c r="L351" i="1"/>
  <c r="K351" i="1"/>
  <c r="J351" i="1"/>
  <c r="AI350" i="1"/>
  <c r="W350" i="1"/>
  <c r="X350" i="1" s="1"/>
  <c r="P350" i="1"/>
  <c r="O350" i="1"/>
  <c r="N350" i="1"/>
  <c r="M350" i="1"/>
  <c r="L350" i="1"/>
  <c r="K350" i="1"/>
  <c r="J350" i="1"/>
  <c r="AI349" i="1"/>
  <c r="X349" i="1"/>
  <c r="W349" i="1"/>
  <c r="P349" i="1"/>
  <c r="O349" i="1"/>
  <c r="N349" i="1"/>
  <c r="M349" i="1"/>
  <c r="L349" i="1"/>
  <c r="K349" i="1"/>
  <c r="J349" i="1"/>
  <c r="AI348" i="1"/>
  <c r="W348" i="1"/>
  <c r="X348" i="1" s="1"/>
  <c r="P348" i="1"/>
  <c r="O348" i="1"/>
  <c r="N348" i="1"/>
  <c r="M348" i="1"/>
  <c r="L348" i="1"/>
  <c r="K348" i="1"/>
  <c r="J348" i="1"/>
  <c r="AI347" i="1"/>
  <c r="X347" i="1"/>
  <c r="W347" i="1"/>
  <c r="P347" i="1"/>
  <c r="O347" i="1"/>
  <c r="N347" i="1"/>
  <c r="M347" i="1"/>
  <c r="L347" i="1"/>
  <c r="K347" i="1"/>
  <c r="J347" i="1"/>
  <c r="AI346" i="1"/>
  <c r="W346" i="1"/>
  <c r="X346" i="1" s="1"/>
  <c r="P346" i="1"/>
  <c r="O346" i="1"/>
  <c r="N346" i="1"/>
  <c r="M346" i="1"/>
  <c r="L346" i="1"/>
  <c r="K346" i="1"/>
  <c r="J346" i="1"/>
  <c r="AI345" i="1"/>
  <c r="X345" i="1"/>
  <c r="W345" i="1"/>
  <c r="T345" i="1"/>
  <c r="P345" i="1"/>
  <c r="O345" i="1"/>
  <c r="N345" i="1"/>
  <c r="M345" i="1"/>
  <c r="L345" i="1"/>
  <c r="K345" i="1"/>
  <c r="J345" i="1"/>
  <c r="AI344" i="1"/>
  <c r="W344" i="1"/>
  <c r="X344" i="1" s="1"/>
  <c r="T344" i="1"/>
  <c r="P344" i="1"/>
  <c r="O344" i="1"/>
  <c r="N344" i="1"/>
  <c r="M344" i="1"/>
  <c r="L344" i="1"/>
  <c r="K344" i="1"/>
  <c r="J344" i="1"/>
  <c r="AI343" i="1"/>
  <c r="W343" i="1"/>
  <c r="X343" i="1" s="1"/>
  <c r="P343" i="1"/>
  <c r="O343" i="1"/>
  <c r="N343" i="1"/>
  <c r="M343" i="1"/>
  <c r="L343" i="1"/>
  <c r="K343" i="1"/>
  <c r="J343" i="1"/>
  <c r="AI342" i="1"/>
  <c r="X342" i="1"/>
  <c r="W342" i="1"/>
  <c r="P342" i="1"/>
  <c r="O342" i="1"/>
  <c r="N342" i="1"/>
  <c r="M342" i="1"/>
  <c r="L342" i="1"/>
  <c r="K342" i="1"/>
  <c r="J342" i="1"/>
  <c r="AI341" i="1"/>
  <c r="W341" i="1"/>
  <c r="X341" i="1" s="1"/>
  <c r="P341" i="1"/>
  <c r="O341" i="1"/>
  <c r="N341" i="1"/>
  <c r="M341" i="1"/>
  <c r="L341" i="1"/>
  <c r="K341" i="1"/>
  <c r="J341" i="1"/>
  <c r="AI340" i="1"/>
  <c r="X340" i="1"/>
  <c r="W340" i="1"/>
  <c r="T340" i="1"/>
  <c r="P340" i="1"/>
  <c r="O340" i="1"/>
  <c r="N340" i="1"/>
  <c r="M340" i="1"/>
  <c r="L340" i="1"/>
  <c r="K340" i="1"/>
  <c r="J340" i="1"/>
  <c r="W339" i="1"/>
  <c r="X339" i="1" s="1"/>
  <c r="T339" i="1"/>
  <c r="P339" i="1"/>
  <c r="O339" i="1"/>
  <c r="N339" i="1"/>
  <c r="M339" i="1"/>
  <c r="L339" i="1"/>
  <c r="K339" i="1"/>
  <c r="J339" i="1"/>
  <c r="AI338" i="1"/>
  <c r="X338" i="1"/>
  <c r="W338" i="1"/>
  <c r="T338" i="1"/>
  <c r="P338" i="1"/>
  <c r="O338" i="1"/>
  <c r="N338" i="1"/>
  <c r="M338" i="1"/>
  <c r="L338" i="1"/>
  <c r="K338" i="1"/>
  <c r="J338" i="1"/>
  <c r="W337" i="1"/>
  <c r="X337" i="1" s="1"/>
  <c r="T337" i="1"/>
  <c r="P337" i="1"/>
  <c r="O337" i="1"/>
  <c r="N337" i="1"/>
  <c r="M337" i="1"/>
  <c r="L337" i="1"/>
  <c r="K337" i="1"/>
  <c r="J337" i="1"/>
  <c r="AI336" i="1"/>
  <c r="W336" i="1"/>
  <c r="X336" i="1" s="1"/>
  <c r="T336" i="1"/>
  <c r="P336" i="1"/>
  <c r="O336" i="1"/>
  <c r="N336" i="1"/>
  <c r="M336" i="1"/>
  <c r="L336" i="1"/>
  <c r="K336" i="1"/>
  <c r="J336" i="1"/>
  <c r="AI335" i="1"/>
  <c r="X335" i="1"/>
  <c r="W335" i="1"/>
  <c r="P335" i="1"/>
  <c r="O335" i="1"/>
  <c r="N335" i="1"/>
  <c r="M335" i="1"/>
  <c r="L335" i="1"/>
  <c r="K335" i="1"/>
  <c r="J335" i="1"/>
  <c r="AI334" i="1"/>
  <c r="W334" i="1"/>
  <c r="X334" i="1" s="1"/>
  <c r="T334" i="1"/>
  <c r="P334" i="1"/>
  <c r="O334" i="1"/>
  <c r="N334" i="1"/>
  <c r="M334" i="1"/>
  <c r="L334" i="1"/>
  <c r="K334" i="1"/>
  <c r="J334" i="1"/>
  <c r="AI333" i="1"/>
  <c r="W333" i="1"/>
  <c r="X333" i="1" s="1"/>
  <c r="T333" i="1"/>
  <c r="P333" i="1"/>
  <c r="O333" i="1"/>
  <c r="N333" i="1"/>
  <c r="M333" i="1"/>
  <c r="L333" i="1"/>
  <c r="K333" i="1"/>
  <c r="J333" i="1"/>
  <c r="AI332" i="1"/>
  <c r="X332" i="1"/>
  <c r="W332" i="1"/>
  <c r="T332" i="1"/>
  <c r="P332" i="1"/>
  <c r="O332" i="1"/>
  <c r="N332" i="1"/>
  <c r="M332" i="1"/>
  <c r="L332" i="1"/>
  <c r="K332" i="1"/>
  <c r="J332" i="1"/>
  <c r="AI331" i="1"/>
  <c r="W331" i="1"/>
  <c r="X331" i="1" s="1"/>
  <c r="T331" i="1"/>
  <c r="P331" i="1"/>
  <c r="O331" i="1"/>
  <c r="N331" i="1"/>
  <c r="M331" i="1"/>
  <c r="L331" i="1"/>
  <c r="K331" i="1"/>
  <c r="J331" i="1"/>
  <c r="AI330" i="1"/>
  <c r="X330" i="1"/>
  <c r="W330" i="1"/>
  <c r="P330" i="1"/>
  <c r="O330" i="1"/>
  <c r="N330" i="1"/>
  <c r="M330" i="1"/>
  <c r="L330" i="1"/>
  <c r="K330" i="1"/>
  <c r="J330" i="1"/>
  <c r="AI329" i="1"/>
  <c r="X329" i="1"/>
  <c r="W329" i="1"/>
  <c r="P329" i="1"/>
  <c r="O329" i="1"/>
  <c r="N329" i="1"/>
  <c r="M329" i="1"/>
  <c r="L329" i="1"/>
  <c r="K329" i="1"/>
  <c r="J329" i="1"/>
  <c r="AI328" i="1"/>
  <c r="X328" i="1"/>
  <c r="W328" i="1"/>
  <c r="P328" i="1"/>
  <c r="O328" i="1"/>
  <c r="N328" i="1"/>
  <c r="M328" i="1"/>
  <c r="L328" i="1"/>
  <c r="K328" i="1"/>
  <c r="J328" i="1"/>
  <c r="AI327" i="1"/>
  <c r="X327" i="1"/>
  <c r="W327" i="1"/>
  <c r="P327" i="1"/>
  <c r="O327" i="1"/>
  <c r="N327" i="1"/>
  <c r="M327" i="1"/>
  <c r="L327" i="1"/>
  <c r="K327" i="1"/>
  <c r="J327" i="1"/>
  <c r="AI326" i="1"/>
  <c r="X326" i="1"/>
  <c r="W326" i="1"/>
  <c r="P326" i="1"/>
  <c r="O326" i="1"/>
  <c r="N326" i="1"/>
  <c r="M326" i="1"/>
  <c r="L326" i="1"/>
  <c r="K326" i="1"/>
  <c r="J326" i="1"/>
  <c r="AI325" i="1"/>
  <c r="X325" i="1"/>
  <c r="W325" i="1"/>
  <c r="P325" i="1"/>
  <c r="O325" i="1"/>
  <c r="N325" i="1"/>
  <c r="M325" i="1"/>
  <c r="L325" i="1"/>
  <c r="K325" i="1"/>
  <c r="J325" i="1"/>
  <c r="AI324" i="1"/>
  <c r="X324" i="1"/>
  <c r="W324" i="1"/>
  <c r="P324" i="1"/>
  <c r="O324" i="1"/>
  <c r="N324" i="1"/>
  <c r="M324" i="1"/>
  <c r="L324" i="1"/>
  <c r="K324" i="1"/>
  <c r="J324" i="1"/>
  <c r="AI323" i="1"/>
  <c r="X323" i="1"/>
  <c r="W323" i="1"/>
  <c r="P323" i="1"/>
  <c r="O323" i="1"/>
  <c r="N323" i="1"/>
  <c r="M323" i="1"/>
  <c r="L323" i="1"/>
  <c r="K323" i="1"/>
  <c r="J323" i="1"/>
  <c r="AI322" i="1"/>
  <c r="X322" i="1"/>
  <c r="W322" i="1"/>
  <c r="P322" i="1"/>
  <c r="O322" i="1"/>
  <c r="N322" i="1"/>
  <c r="M322" i="1"/>
  <c r="L322" i="1"/>
  <c r="K322" i="1"/>
  <c r="J322" i="1"/>
  <c r="AI321" i="1"/>
  <c r="X321" i="1"/>
  <c r="W321" i="1"/>
  <c r="P321" i="1"/>
  <c r="O321" i="1"/>
  <c r="N321" i="1"/>
  <c r="M321" i="1"/>
  <c r="L321" i="1"/>
  <c r="K321" i="1"/>
  <c r="J321" i="1"/>
  <c r="AI320" i="1"/>
  <c r="X320" i="1"/>
  <c r="W320" i="1"/>
  <c r="P320" i="1"/>
  <c r="O320" i="1"/>
  <c r="N320" i="1"/>
  <c r="M320" i="1"/>
  <c r="L320" i="1"/>
  <c r="K320" i="1"/>
  <c r="J320" i="1"/>
  <c r="AI319" i="1"/>
  <c r="X319" i="1"/>
  <c r="W319" i="1"/>
  <c r="P319" i="1"/>
  <c r="O319" i="1"/>
  <c r="N319" i="1"/>
  <c r="M319" i="1"/>
  <c r="L319" i="1"/>
  <c r="K319" i="1"/>
  <c r="J319" i="1"/>
  <c r="AI318" i="1"/>
  <c r="X318" i="1"/>
  <c r="W318" i="1"/>
  <c r="P318" i="1"/>
  <c r="O318" i="1"/>
  <c r="N318" i="1"/>
  <c r="M318" i="1"/>
  <c r="L318" i="1"/>
  <c r="K318" i="1"/>
  <c r="J318" i="1"/>
  <c r="AI317" i="1"/>
  <c r="X317" i="1"/>
  <c r="W317" i="1"/>
  <c r="P317" i="1"/>
  <c r="O317" i="1"/>
  <c r="N317" i="1"/>
  <c r="M317" i="1"/>
  <c r="L317" i="1"/>
  <c r="K317" i="1"/>
  <c r="J317" i="1"/>
  <c r="AI316" i="1"/>
  <c r="X316" i="1"/>
  <c r="W316" i="1"/>
  <c r="P316" i="1"/>
  <c r="O316" i="1"/>
  <c r="N316" i="1"/>
  <c r="M316" i="1"/>
  <c r="L316" i="1"/>
  <c r="K316" i="1"/>
  <c r="J316" i="1"/>
  <c r="AI315" i="1"/>
  <c r="X315" i="1"/>
  <c r="W315" i="1"/>
  <c r="T315" i="1"/>
  <c r="P315" i="1"/>
  <c r="O315" i="1"/>
  <c r="N315" i="1"/>
  <c r="M315" i="1"/>
  <c r="L315" i="1"/>
  <c r="K315" i="1"/>
  <c r="J315" i="1"/>
  <c r="AI314" i="1"/>
  <c r="X314" i="1"/>
  <c r="W314" i="1"/>
  <c r="T314" i="1"/>
  <c r="P314" i="1"/>
  <c r="O314" i="1"/>
  <c r="N314" i="1"/>
  <c r="M314" i="1"/>
  <c r="L314" i="1"/>
  <c r="K314" i="1"/>
  <c r="J314" i="1"/>
  <c r="AI313" i="1"/>
  <c r="X313" i="1"/>
  <c r="W313" i="1"/>
  <c r="P313" i="1"/>
  <c r="O313" i="1"/>
  <c r="N313" i="1"/>
  <c r="M313" i="1"/>
  <c r="L313" i="1"/>
  <c r="K313" i="1"/>
  <c r="J313" i="1"/>
  <c r="AI312" i="1"/>
  <c r="X312" i="1"/>
  <c r="W312" i="1"/>
  <c r="P312" i="1"/>
  <c r="O312" i="1"/>
  <c r="N312" i="1"/>
  <c r="M312" i="1"/>
  <c r="L312" i="1"/>
  <c r="K312" i="1"/>
  <c r="J312" i="1"/>
  <c r="AI311" i="1"/>
  <c r="X311" i="1"/>
  <c r="W311" i="1"/>
  <c r="P311" i="1"/>
  <c r="O311" i="1"/>
  <c r="N311" i="1"/>
  <c r="M311" i="1"/>
  <c r="L311" i="1"/>
  <c r="K311" i="1"/>
  <c r="J311" i="1"/>
  <c r="AI310" i="1"/>
  <c r="X310" i="1"/>
  <c r="W310" i="1"/>
  <c r="P310" i="1"/>
  <c r="O310" i="1"/>
  <c r="N310" i="1"/>
  <c r="M310" i="1"/>
  <c r="L310" i="1"/>
  <c r="K310" i="1"/>
  <c r="J310" i="1"/>
  <c r="AI309" i="1"/>
  <c r="X309" i="1"/>
  <c r="W309" i="1"/>
  <c r="T309" i="1"/>
  <c r="P309" i="1"/>
  <c r="O309" i="1"/>
  <c r="N309" i="1"/>
  <c r="M309" i="1"/>
  <c r="L309" i="1"/>
  <c r="K309" i="1"/>
  <c r="J309" i="1"/>
  <c r="AI308" i="1"/>
  <c r="W308" i="1"/>
  <c r="X308" i="1" s="1"/>
  <c r="T308" i="1"/>
  <c r="P308" i="1"/>
  <c r="O308" i="1"/>
  <c r="N308" i="1"/>
  <c r="M308" i="1"/>
  <c r="L308" i="1"/>
  <c r="K308" i="1"/>
  <c r="J308" i="1"/>
  <c r="AI307" i="1"/>
  <c r="X307" i="1"/>
  <c r="W307" i="1"/>
  <c r="P307" i="1"/>
  <c r="O307" i="1"/>
  <c r="N307" i="1"/>
  <c r="M307" i="1"/>
  <c r="L307" i="1"/>
  <c r="K307" i="1"/>
  <c r="J307" i="1"/>
  <c r="AI306" i="1"/>
  <c r="X306" i="1"/>
  <c r="W306" i="1"/>
  <c r="P306" i="1"/>
  <c r="O306" i="1"/>
  <c r="N306" i="1"/>
  <c r="M306" i="1"/>
  <c r="L306" i="1"/>
  <c r="K306" i="1"/>
  <c r="J306" i="1"/>
  <c r="AI305" i="1"/>
  <c r="X305" i="1"/>
  <c r="W305" i="1"/>
  <c r="P305" i="1"/>
  <c r="O305" i="1"/>
  <c r="N305" i="1"/>
  <c r="M305" i="1"/>
  <c r="L305" i="1"/>
  <c r="K305" i="1"/>
  <c r="J305" i="1"/>
  <c r="AI304" i="1"/>
  <c r="X304" i="1"/>
  <c r="W304" i="1"/>
  <c r="P304" i="1"/>
  <c r="O304" i="1"/>
  <c r="N304" i="1"/>
  <c r="M304" i="1"/>
  <c r="L304" i="1"/>
  <c r="K304" i="1"/>
  <c r="J304" i="1"/>
  <c r="AI303" i="1"/>
  <c r="X303" i="1"/>
  <c r="W303" i="1"/>
  <c r="P303" i="1"/>
  <c r="O303" i="1"/>
  <c r="N303" i="1"/>
  <c r="M303" i="1"/>
  <c r="L303" i="1"/>
  <c r="K303" i="1"/>
  <c r="J303" i="1"/>
  <c r="AI302" i="1"/>
  <c r="X302" i="1"/>
  <c r="W302" i="1"/>
  <c r="P302" i="1"/>
  <c r="O302" i="1"/>
  <c r="N302" i="1"/>
  <c r="M302" i="1"/>
  <c r="L302" i="1"/>
  <c r="K302" i="1"/>
  <c r="J302" i="1"/>
  <c r="AI301" i="1"/>
  <c r="X301" i="1"/>
  <c r="W301" i="1"/>
  <c r="P301" i="1"/>
  <c r="O301" i="1"/>
  <c r="N301" i="1"/>
  <c r="M301" i="1"/>
  <c r="L301" i="1"/>
  <c r="K301" i="1"/>
  <c r="J301" i="1"/>
  <c r="AI300" i="1"/>
  <c r="X300" i="1"/>
  <c r="W300" i="1"/>
  <c r="P300" i="1"/>
  <c r="O300" i="1"/>
  <c r="N300" i="1"/>
  <c r="M300" i="1"/>
  <c r="L300" i="1"/>
  <c r="K300" i="1"/>
  <c r="J300" i="1"/>
  <c r="AI299" i="1"/>
  <c r="X299" i="1"/>
  <c r="W299" i="1"/>
  <c r="P299" i="1"/>
  <c r="O299" i="1"/>
  <c r="N299" i="1"/>
  <c r="M299" i="1"/>
  <c r="L299" i="1"/>
  <c r="K299" i="1"/>
  <c r="J299" i="1"/>
  <c r="AI298" i="1"/>
  <c r="X298" i="1"/>
  <c r="W298" i="1"/>
  <c r="P298" i="1"/>
  <c r="O298" i="1"/>
  <c r="N298" i="1"/>
  <c r="M298" i="1"/>
  <c r="L298" i="1"/>
  <c r="K298" i="1"/>
  <c r="J298" i="1"/>
  <c r="AI297" i="1"/>
  <c r="W297" i="1"/>
  <c r="X297" i="1" s="1"/>
  <c r="P297" i="1"/>
  <c r="O297" i="1"/>
  <c r="N297" i="1"/>
  <c r="M297" i="1"/>
  <c r="L297" i="1"/>
  <c r="K297" i="1"/>
  <c r="J297" i="1"/>
  <c r="AI296" i="1"/>
  <c r="X296" i="1"/>
  <c r="W296" i="1"/>
  <c r="P296" i="1"/>
  <c r="O296" i="1"/>
  <c r="N296" i="1"/>
  <c r="M296" i="1"/>
  <c r="L296" i="1"/>
  <c r="K296" i="1"/>
  <c r="J296" i="1"/>
  <c r="AI295" i="1"/>
  <c r="X295" i="1"/>
  <c r="W295" i="1"/>
  <c r="P295" i="1"/>
  <c r="O295" i="1"/>
  <c r="N295" i="1"/>
  <c r="M295" i="1"/>
  <c r="L295" i="1"/>
  <c r="K295" i="1"/>
  <c r="J295" i="1"/>
  <c r="AI294" i="1"/>
  <c r="X294" i="1"/>
  <c r="W294" i="1"/>
  <c r="P294" i="1"/>
  <c r="O294" i="1"/>
  <c r="N294" i="1"/>
  <c r="M294" i="1"/>
  <c r="L294" i="1"/>
  <c r="K294" i="1"/>
  <c r="J294" i="1"/>
  <c r="AI293" i="1"/>
  <c r="W293" i="1"/>
  <c r="X293" i="1" s="1"/>
  <c r="T293" i="1"/>
  <c r="P293" i="1"/>
  <c r="O293" i="1"/>
  <c r="N293" i="1"/>
  <c r="M293" i="1"/>
  <c r="L293" i="1"/>
  <c r="K293" i="1"/>
  <c r="J293" i="1"/>
  <c r="AI292" i="1"/>
  <c r="X292" i="1"/>
  <c r="W292" i="1"/>
  <c r="P292" i="1"/>
  <c r="O292" i="1"/>
  <c r="N292" i="1"/>
  <c r="M292" i="1"/>
  <c r="L292" i="1"/>
  <c r="K292" i="1"/>
  <c r="J292" i="1"/>
  <c r="AI291" i="1"/>
  <c r="W291" i="1"/>
  <c r="X291" i="1" s="1"/>
  <c r="P291" i="1"/>
  <c r="O291" i="1"/>
  <c r="N291" i="1"/>
  <c r="M291" i="1"/>
  <c r="L291" i="1"/>
  <c r="K291" i="1"/>
  <c r="J291" i="1"/>
  <c r="AI290" i="1"/>
  <c r="X290" i="1"/>
  <c r="W290" i="1"/>
  <c r="P290" i="1"/>
  <c r="O290" i="1"/>
  <c r="N290" i="1"/>
  <c r="M290" i="1"/>
  <c r="L290" i="1"/>
  <c r="K290" i="1"/>
  <c r="J290" i="1"/>
  <c r="AI289" i="1"/>
  <c r="W289" i="1"/>
  <c r="X289" i="1" s="1"/>
  <c r="T289" i="1"/>
  <c r="P289" i="1"/>
  <c r="O289" i="1"/>
  <c r="N289" i="1"/>
  <c r="M289" i="1"/>
  <c r="L289" i="1"/>
  <c r="K289" i="1"/>
  <c r="J289" i="1"/>
  <c r="AI288" i="1"/>
  <c r="X288" i="1"/>
  <c r="W288" i="1"/>
  <c r="P288" i="1"/>
  <c r="O288" i="1"/>
  <c r="N288" i="1"/>
  <c r="M288" i="1"/>
  <c r="L288" i="1"/>
  <c r="K288" i="1"/>
  <c r="J288" i="1"/>
  <c r="AI287" i="1"/>
  <c r="W287" i="1"/>
  <c r="X287" i="1" s="1"/>
  <c r="P287" i="1"/>
  <c r="O287" i="1"/>
  <c r="N287" i="1"/>
  <c r="M287" i="1"/>
  <c r="L287" i="1"/>
  <c r="K287" i="1"/>
  <c r="J287" i="1"/>
  <c r="AI286" i="1"/>
  <c r="X286" i="1"/>
  <c r="W286" i="1"/>
  <c r="P286" i="1"/>
  <c r="O286" i="1"/>
  <c r="N286" i="1"/>
  <c r="M286" i="1"/>
  <c r="L286" i="1"/>
  <c r="K286" i="1"/>
  <c r="J286" i="1"/>
  <c r="AI285" i="1"/>
  <c r="W285" i="1"/>
  <c r="X285" i="1" s="1"/>
  <c r="P285" i="1"/>
  <c r="O285" i="1"/>
  <c r="N285" i="1"/>
  <c r="M285" i="1"/>
  <c r="L285" i="1"/>
  <c r="K285" i="1"/>
  <c r="J285" i="1"/>
  <c r="AI284" i="1"/>
  <c r="X284" i="1"/>
  <c r="W284" i="1"/>
  <c r="T284" i="1"/>
  <c r="P284" i="1"/>
  <c r="O284" i="1"/>
  <c r="N284" i="1"/>
  <c r="M284" i="1"/>
  <c r="L284" i="1"/>
  <c r="K284" i="1"/>
  <c r="J284" i="1"/>
  <c r="AI283" i="1"/>
  <c r="X283" i="1"/>
  <c r="W283" i="1"/>
  <c r="P283" i="1"/>
  <c r="O283" i="1"/>
  <c r="N283" i="1"/>
  <c r="M283" i="1"/>
  <c r="L283" i="1"/>
  <c r="K283" i="1"/>
  <c r="J283" i="1"/>
  <c r="AI282" i="1"/>
  <c r="W282" i="1"/>
  <c r="X282" i="1" s="1"/>
  <c r="P282" i="1"/>
  <c r="O282" i="1"/>
  <c r="N282" i="1"/>
  <c r="M282" i="1"/>
  <c r="L282" i="1"/>
  <c r="K282" i="1"/>
  <c r="J282" i="1"/>
  <c r="AI281" i="1"/>
  <c r="X281" i="1"/>
  <c r="W281" i="1"/>
  <c r="T281" i="1"/>
  <c r="P281" i="1"/>
  <c r="O281" i="1"/>
  <c r="N281" i="1"/>
  <c r="M281" i="1"/>
  <c r="L281" i="1"/>
  <c r="K281" i="1"/>
  <c r="J281" i="1"/>
  <c r="AI280" i="1"/>
  <c r="W280" i="1"/>
  <c r="X280" i="1" s="1"/>
  <c r="P280" i="1"/>
  <c r="O280" i="1"/>
  <c r="N280" i="1"/>
  <c r="M280" i="1"/>
  <c r="L280" i="1"/>
  <c r="K280" i="1"/>
  <c r="J280" i="1"/>
  <c r="AI279" i="1"/>
  <c r="X279" i="1"/>
  <c r="W279" i="1"/>
  <c r="P279" i="1"/>
  <c r="O279" i="1"/>
  <c r="N279" i="1"/>
  <c r="M279" i="1"/>
  <c r="L279" i="1"/>
  <c r="K279" i="1"/>
  <c r="J279" i="1"/>
  <c r="AI278" i="1"/>
  <c r="W278" i="1"/>
  <c r="X278" i="1" s="1"/>
  <c r="P278" i="1"/>
  <c r="O278" i="1"/>
  <c r="N278" i="1"/>
  <c r="M278" i="1"/>
  <c r="L278" i="1"/>
  <c r="K278" i="1"/>
  <c r="J278" i="1"/>
  <c r="AI277" i="1"/>
  <c r="X277" i="1"/>
  <c r="W277" i="1"/>
  <c r="P277" i="1"/>
  <c r="O277" i="1"/>
  <c r="N277" i="1"/>
  <c r="M277" i="1"/>
  <c r="L277" i="1"/>
  <c r="K277" i="1"/>
  <c r="J277" i="1"/>
  <c r="AI276" i="1"/>
  <c r="W276" i="1"/>
  <c r="X276" i="1" s="1"/>
  <c r="P276" i="1"/>
  <c r="O276" i="1"/>
  <c r="N276" i="1"/>
  <c r="M276" i="1"/>
  <c r="L276" i="1"/>
  <c r="K276" i="1"/>
  <c r="J276" i="1"/>
  <c r="AI275" i="1"/>
  <c r="X275" i="1"/>
  <c r="W275" i="1"/>
  <c r="T275" i="1"/>
  <c r="P275" i="1"/>
  <c r="O275" i="1"/>
  <c r="N275" i="1"/>
  <c r="M275" i="1"/>
  <c r="L275" i="1"/>
  <c r="K275" i="1"/>
  <c r="J275" i="1"/>
  <c r="AI274" i="1"/>
  <c r="X274" i="1"/>
  <c r="W274" i="1"/>
  <c r="T274" i="1"/>
  <c r="P274" i="1"/>
  <c r="O274" i="1"/>
  <c r="N274" i="1"/>
  <c r="M274" i="1"/>
  <c r="L274" i="1"/>
  <c r="K274" i="1"/>
  <c r="J274" i="1"/>
  <c r="AI273" i="1"/>
  <c r="W273" i="1"/>
  <c r="X273" i="1" s="1"/>
  <c r="P273" i="1"/>
  <c r="O273" i="1"/>
  <c r="N273" i="1"/>
  <c r="M273" i="1"/>
  <c r="L273" i="1"/>
  <c r="K273" i="1"/>
  <c r="J273" i="1"/>
  <c r="AI272" i="1"/>
  <c r="X272" i="1"/>
  <c r="W272" i="1"/>
  <c r="P272" i="1"/>
  <c r="O272" i="1"/>
  <c r="N272" i="1"/>
  <c r="M272" i="1"/>
  <c r="L272" i="1"/>
  <c r="K272" i="1"/>
  <c r="J272" i="1"/>
  <c r="AI271" i="1"/>
  <c r="W271" i="1"/>
  <c r="X271" i="1" s="1"/>
  <c r="P271" i="1"/>
  <c r="O271" i="1"/>
  <c r="N271" i="1"/>
  <c r="M271" i="1"/>
  <c r="L271" i="1"/>
  <c r="K271" i="1"/>
  <c r="J271" i="1"/>
  <c r="AI270" i="1"/>
  <c r="X270" i="1"/>
  <c r="W270" i="1"/>
  <c r="P270" i="1"/>
  <c r="O270" i="1"/>
  <c r="N270" i="1"/>
  <c r="M270" i="1"/>
  <c r="L270" i="1"/>
  <c r="K270" i="1"/>
  <c r="J270" i="1"/>
  <c r="AI269" i="1"/>
  <c r="W269" i="1"/>
  <c r="X269" i="1" s="1"/>
  <c r="T269" i="1"/>
  <c r="P269" i="1"/>
  <c r="O269" i="1"/>
  <c r="N269" i="1"/>
  <c r="M269" i="1"/>
  <c r="L269" i="1"/>
  <c r="K269" i="1"/>
  <c r="J269" i="1"/>
  <c r="AI268" i="1"/>
  <c r="W268" i="1"/>
  <c r="X268" i="1" s="1"/>
  <c r="P268" i="1"/>
  <c r="O268" i="1"/>
  <c r="N268" i="1"/>
  <c r="M268" i="1"/>
  <c r="L268" i="1"/>
  <c r="K268" i="1"/>
  <c r="J268" i="1"/>
  <c r="AI267" i="1"/>
  <c r="X267" i="1"/>
  <c r="W267" i="1"/>
  <c r="P267" i="1"/>
  <c r="O267" i="1"/>
  <c r="N267" i="1"/>
  <c r="M267" i="1"/>
  <c r="L267" i="1"/>
  <c r="K267" i="1"/>
  <c r="J267" i="1"/>
  <c r="AI266" i="1"/>
  <c r="W266" i="1"/>
  <c r="X266" i="1" s="1"/>
  <c r="P266" i="1"/>
  <c r="O266" i="1"/>
  <c r="N266" i="1"/>
  <c r="M266" i="1"/>
  <c r="L266" i="1"/>
  <c r="K266" i="1"/>
  <c r="J266" i="1"/>
  <c r="AI265" i="1"/>
  <c r="W265" i="1"/>
  <c r="X265" i="1" s="1"/>
  <c r="P265" i="1"/>
  <c r="O265" i="1"/>
  <c r="N265" i="1"/>
  <c r="M265" i="1"/>
  <c r="L265" i="1"/>
  <c r="K265" i="1"/>
  <c r="J265" i="1"/>
  <c r="AI264" i="1"/>
  <c r="X264" i="1"/>
  <c r="W264" i="1"/>
  <c r="T264" i="1"/>
  <c r="P264" i="1"/>
  <c r="O264" i="1"/>
  <c r="N264" i="1"/>
  <c r="M264" i="1"/>
  <c r="L264" i="1"/>
  <c r="K264" i="1"/>
  <c r="J264" i="1"/>
  <c r="AI263" i="1"/>
  <c r="X263" i="1"/>
  <c r="W263" i="1"/>
  <c r="P263" i="1"/>
  <c r="O263" i="1"/>
  <c r="N263" i="1"/>
  <c r="M263" i="1"/>
  <c r="L263" i="1"/>
  <c r="K263" i="1"/>
  <c r="J263" i="1"/>
  <c r="AI262" i="1"/>
  <c r="W262" i="1"/>
  <c r="X262" i="1" s="1"/>
  <c r="T262" i="1"/>
  <c r="P262" i="1"/>
  <c r="O262" i="1"/>
  <c r="N262" i="1"/>
  <c r="M262" i="1"/>
  <c r="L262" i="1"/>
  <c r="K262" i="1"/>
  <c r="J262" i="1"/>
  <c r="AI261" i="1"/>
  <c r="X261" i="1"/>
  <c r="W261" i="1"/>
  <c r="P261" i="1"/>
  <c r="O261" i="1"/>
  <c r="N261" i="1"/>
  <c r="M261" i="1"/>
  <c r="L261" i="1"/>
  <c r="K261" i="1"/>
  <c r="J261" i="1"/>
  <c r="AI260" i="1"/>
  <c r="X260" i="1"/>
  <c r="W260" i="1"/>
  <c r="P260" i="1"/>
  <c r="O260" i="1"/>
  <c r="N260" i="1"/>
  <c r="M260" i="1"/>
  <c r="L260" i="1"/>
  <c r="K260" i="1"/>
  <c r="J260" i="1"/>
  <c r="AI259" i="1"/>
  <c r="W259" i="1"/>
  <c r="X259" i="1" s="1"/>
  <c r="P259" i="1"/>
  <c r="O259" i="1"/>
  <c r="N259" i="1"/>
  <c r="M259" i="1"/>
  <c r="L259" i="1"/>
  <c r="K259" i="1"/>
  <c r="J259" i="1"/>
  <c r="AI258" i="1"/>
  <c r="W258" i="1"/>
  <c r="X258" i="1" s="1"/>
  <c r="P258" i="1"/>
  <c r="O258" i="1"/>
  <c r="N258" i="1"/>
  <c r="M258" i="1"/>
  <c r="L258" i="1"/>
  <c r="K258" i="1"/>
  <c r="J258" i="1"/>
  <c r="AI257" i="1"/>
  <c r="X257" i="1"/>
  <c r="W257" i="1"/>
  <c r="P257" i="1"/>
  <c r="O257" i="1"/>
  <c r="N257" i="1"/>
  <c r="M257" i="1"/>
  <c r="L257" i="1"/>
  <c r="K257" i="1"/>
  <c r="J257" i="1"/>
  <c r="AI256" i="1"/>
  <c r="X256" i="1"/>
  <c r="W256" i="1"/>
  <c r="P256" i="1"/>
  <c r="O256" i="1"/>
  <c r="N256" i="1"/>
  <c r="M256" i="1"/>
  <c r="L256" i="1"/>
  <c r="K256" i="1"/>
  <c r="J256" i="1"/>
  <c r="AI255" i="1"/>
  <c r="W255" i="1"/>
  <c r="X255" i="1" s="1"/>
  <c r="P255" i="1"/>
  <c r="O255" i="1"/>
  <c r="N255" i="1"/>
  <c r="M255" i="1"/>
  <c r="L255" i="1"/>
  <c r="K255" i="1"/>
  <c r="J255" i="1"/>
  <c r="AI254" i="1"/>
  <c r="X254" i="1"/>
  <c r="W254" i="1"/>
  <c r="P254" i="1"/>
  <c r="O254" i="1"/>
  <c r="N254" i="1"/>
  <c r="M254" i="1"/>
  <c r="L254" i="1"/>
  <c r="K254" i="1"/>
  <c r="J254" i="1"/>
  <c r="AI253" i="1"/>
  <c r="W253" i="1"/>
  <c r="X253" i="1" s="1"/>
  <c r="P253" i="1"/>
  <c r="O253" i="1"/>
  <c r="N253" i="1"/>
  <c r="M253" i="1"/>
  <c r="L253" i="1"/>
  <c r="K253" i="1"/>
  <c r="J253" i="1"/>
  <c r="AI252" i="1"/>
  <c r="X252" i="1"/>
  <c r="W252" i="1"/>
  <c r="P252" i="1"/>
  <c r="O252" i="1"/>
  <c r="N252" i="1"/>
  <c r="M252" i="1"/>
  <c r="L252" i="1"/>
  <c r="K252" i="1"/>
  <c r="J252" i="1"/>
  <c r="AI251" i="1"/>
  <c r="W251" i="1"/>
  <c r="X251" i="1" s="1"/>
  <c r="P251" i="1"/>
  <c r="O251" i="1"/>
  <c r="N251" i="1"/>
  <c r="M251" i="1"/>
  <c r="L251" i="1"/>
  <c r="K251" i="1"/>
  <c r="J251" i="1"/>
  <c r="AI250" i="1"/>
  <c r="X250" i="1"/>
  <c r="W250" i="1"/>
  <c r="P250" i="1"/>
  <c r="O250" i="1"/>
  <c r="N250" i="1"/>
  <c r="M250" i="1"/>
  <c r="L250" i="1"/>
  <c r="K250" i="1"/>
  <c r="J250" i="1"/>
  <c r="AI249" i="1"/>
  <c r="W249" i="1"/>
  <c r="X249" i="1" s="1"/>
  <c r="P249" i="1"/>
  <c r="O249" i="1"/>
  <c r="N249" i="1"/>
  <c r="M249" i="1"/>
  <c r="L249" i="1"/>
  <c r="K249" i="1"/>
  <c r="J249" i="1"/>
  <c r="AI248" i="1"/>
  <c r="X248" i="1"/>
  <c r="W248" i="1"/>
  <c r="P248" i="1"/>
  <c r="O248" i="1"/>
  <c r="N248" i="1"/>
  <c r="M248" i="1"/>
  <c r="L248" i="1"/>
  <c r="K248" i="1"/>
  <c r="J248" i="1"/>
  <c r="AI247" i="1"/>
  <c r="W247" i="1"/>
  <c r="X247" i="1" s="1"/>
  <c r="P247" i="1"/>
  <c r="O247" i="1"/>
  <c r="N247" i="1"/>
  <c r="M247" i="1"/>
  <c r="L247" i="1"/>
  <c r="K247" i="1"/>
  <c r="J247" i="1"/>
  <c r="AI246" i="1"/>
  <c r="W246" i="1"/>
  <c r="X246" i="1" s="1"/>
  <c r="P246" i="1"/>
  <c r="O246" i="1"/>
  <c r="N246" i="1"/>
  <c r="M246" i="1"/>
  <c r="L246" i="1"/>
  <c r="K246" i="1"/>
  <c r="J246" i="1"/>
  <c r="AI245" i="1"/>
  <c r="X245" i="1"/>
  <c r="W245" i="1"/>
  <c r="P245" i="1"/>
  <c r="O245" i="1"/>
  <c r="N245" i="1"/>
  <c r="M245" i="1"/>
  <c r="L245" i="1"/>
  <c r="K245" i="1"/>
  <c r="J245" i="1"/>
  <c r="AI244" i="1"/>
  <c r="X244" i="1"/>
  <c r="W244" i="1"/>
  <c r="P244" i="1"/>
  <c r="O244" i="1"/>
  <c r="N244" i="1"/>
  <c r="M244" i="1"/>
  <c r="L244" i="1"/>
  <c r="K244" i="1"/>
  <c r="J244" i="1"/>
  <c r="AI243" i="1"/>
  <c r="W243" i="1"/>
  <c r="X243" i="1" s="1"/>
  <c r="P243" i="1"/>
  <c r="O243" i="1"/>
  <c r="N243" i="1"/>
  <c r="M243" i="1"/>
  <c r="L243" i="1"/>
  <c r="K243" i="1"/>
  <c r="J243" i="1"/>
  <c r="AI242" i="1"/>
  <c r="W242" i="1"/>
  <c r="X242" i="1" s="1"/>
  <c r="P242" i="1"/>
  <c r="O242" i="1"/>
  <c r="N242" i="1"/>
  <c r="M242" i="1"/>
  <c r="L242" i="1"/>
  <c r="K242" i="1"/>
  <c r="J242" i="1"/>
  <c r="AI241" i="1"/>
  <c r="X241" i="1"/>
  <c r="W241" i="1"/>
  <c r="P241" i="1"/>
  <c r="O241" i="1"/>
  <c r="N241" i="1"/>
  <c r="M241" i="1"/>
  <c r="L241" i="1"/>
  <c r="K241" i="1"/>
  <c r="J241" i="1"/>
  <c r="AI240" i="1"/>
  <c r="X240" i="1"/>
  <c r="W240" i="1"/>
  <c r="P240" i="1"/>
  <c r="O240" i="1"/>
  <c r="N240" i="1"/>
  <c r="M240" i="1"/>
  <c r="L240" i="1"/>
  <c r="K240" i="1"/>
  <c r="J240" i="1"/>
  <c r="AI239" i="1"/>
  <c r="W239" i="1"/>
  <c r="X239" i="1" s="1"/>
  <c r="P239" i="1"/>
  <c r="O239" i="1"/>
  <c r="N239" i="1"/>
  <c r="M239" i="1"/>
  <c r="L239" i="1"/>
  <c r="K239" i="1"/>
  <c r="J239" i="1"/>
  <c r="AI238" i="1"/>
  <c r="X238" i="1"/>
  <c r="W238" i="1"/>
  <c r="P238" i="1"/>
  <c r="O238" i="1"/>
  <c r="N238" i="1"/>
  <c r="M238" i="1"/>
  <c r="L238" i="1"/>
  <c r="K238" i="1"/>
  <c r="J238" i="1"/>
  <c r="AI237" i="1"/>
  <c r="W237" i="1"/>
  <c r="X237" i="1" s="1"/>
  <c r="P237" i="1"/>
  <c r="O237" i="1"/>
  <c r="N237" i="1"/>
  <c r="M237" i="1"/>
  <c r="L237" i="1"/>
  <c r="K237" i="1"/>
  <c r="J237" i="1"/>
  <c r="AI236" i="1"/>
  <c r="X236" i="1"/>
  <c r="W236" i="1"/>
  <c r="P236" i="1"/>
  <c r="O236" i="1"/>
  <c r="N236" i="1"/>
  <c r="M236" i="1"/>
  <c r="L236" i="1"/>
  <c r="K236" i="1"/>
  <c r="J236" i="1"/>
  <c r="AI235" i="1"/>
  <c r="W235" i="1"/>
  <c r="X235" i="1" s="1"/>
  <c r="P235" i="1"/>
  <c r="O235" i="1"/>
  <c r="N235" i="1"/>
  <c r="M235" i="1"/>
  <c r="L235" i="1"/>
  <c r="K235" i="1"/>
  <c r="J235" i="1"/>
  <c r="AI234" i="1"/>
  <c r="X234" i="1"/>
  <c r="W234" i="1"/>
  <c r="P234" i="1"/>
  <c r="O234" i="1"/>
  <c r="N234" i="1"/>
  <c r="M234" i="1"/>
  <c r="L234" i="1"/>
  <c r="K234" i="1"/>
  <c r="J234" i="1"/>
  <c r="AI233" i="1"/>
  <c r="W233" i="1"/>
  <c r="X233" i="1" s="1"/>
  <c r="P233" i="1"/>
  <c r="O233" i="1"/>
  <c r="N233" i="1"/>
  <c r="M233" i="1"/>
  <c r="L233" i="1"/>
  <c r="K233" i="1"/>
  <c r="J233" i="1"/>
  <c r="AI232" i="1"/>
  <c r="X232" i="1"/>
  <c r="W232" i="1"/>
  <c r="P232" i="1"/>
  <c r="O232" i="1"/>
  <c r="N232" i="1"/>
  <c r="M232" i="1"/>
  <c r="L232" i="1"/>
  <c r="K232" i="1"/>
  <c r="J232" i="1"/>
  <c r="AI231" i="1"/>
  <c r="W231" i="1"/>
  <c r="X231" i="1" s="1"/>
  <c r="P231" i="1"/>
  <c r="O231" i="1"/>
  <c r="N231" i="1"/>
  <c r="M231" i="1"/>
  <c r="L231" i="1"/>
  <c r="K231" i="1"/>
  <c r="J231" i="1"/>
  <c r="AI230" i="1"/>
  <c r="W230" i="1"/>
  <c r="X230" i="1" s="1"/>
  <c r="P230" i="1"/>
  <c r="O230" i="1"/>
  <c r="N230" i="1"/>
  <c r="M230" i="1"/>
  <c r="L230" i="1"/>
  <c r="K230" i="1"/>
  <c r="J230" i="1"/>
  <c r="AI229" i="1"/>
  <c r="X229" i="1"/>
  <c r="W229" i="1"/>
  <c r="P229" i="1"/>
  <c r="O229" i="1"/>
  <c r="N229" i="1"/>
  <c r="M229" i="1"/>
  <c r="L229" i="1"/>
  <c r="K229" i="1"/>
  <c r="J229" i="1"/>
  <c r="AI228" i="1"/>
  <c r="X228" i="1"/>
  <c r="W228" i="1"/>
  <c r="P228" i="1"/>
  <c r="O228" i="1"/>
  <c r="N228" i="1"/>
  <c r="M228" i="1"/>
  <c r="L228" i="1"/>
  <c r="K228" i="1"/>
  <c r="J228" i="1"/>
  <c r="AI227" i="1"/>
  <c r="W227" i="1"/>
  <c r="X227" i="1" s="1"/>
  <c r="P227" i="1"/>
  <c r="O227" i="1"/>
  <c r="N227" i="1"/>
  <c r="M227" i="1"/>
  <c r="L227" i="1"/>
  <c r="K227" i="1"/>
  <c r="J227" i="1"/>
  <c r="AI226" i="1"/>
  <c r="W226" i="1"/>
  <c r="X226" i="1" s="1"/>
  <c r="P226" i="1"/>
  <c r="O226" i="1"/>
  <c r="N226" i="1"/>
  <c r="M226" i="1"/>
  <c r="L226" i="1"/>
  <c r="K226" i="1"/>
  <c r="J226" i="1"/>
  <c r="AI225" i="1"/>
  <c r="X225" i="1"/>
  <c r="W225" i="1"/>
  <c r="P225" i="1"/>
  <c r="O225" i="1"/>
  <c r="N225" i="1"/>
  <c r="M225" i="1"/>
  <c r="L225" i="1"/>
  <c r="K225" i="1"/>
  <c r="J225" i="1"/>
  <c r="AI224" i="1"/>
  <c r="X224" i="1"/>
  <c r="W224" i="1"/>
  <c r="P224" i="1"/>
  <c r="O224" i="1"/>
  <c r="N224" i="1"/>
  <c r="M224" i="1"/>
  <c r="L224" i="1"/>
  <c r="K224" i="1"/>
  <c r="J224" i="1"/>
  <c r="AI223" i="1"/>
  <c r="W223" i="1"/>
  <c r="X223" i="1" s="1"/>
  <c r="P223" i="1"/>
  <c r="O223" i="1"/>
  <c r="N223" i="1"/>
  <c r="M223" i="1"/>
  <c r="L223" i="1"/>
  <c r="K223" i="1"/>
  <c r="J223" i="1"/>
  <c r="AI222" i="1"/>
  <c r="X222" i="1"/>
  <c r="W222" i="1"/>
  <c r="P222" i="1"/>
  <c r="O222" i="1"/>
  <c r="N222" i="1"/>
  <c r="M222" i="1"/>
  <c r="L222" i="1"/>
  <c r="K222" i="1"/>
  <c r="J222" i="1"/>
  <c r="AI221" i="1"/>
  <c r="W221" i="1"/>
  <c r="X221" i="1" s="1"/>
  <c r="P221" i="1"/>
  <c r="O221" i="1"/>
  <c r="N221" i="1"/>
  <c r="M221" i="1"/>
  <c r="L221" i="1"/>
  <c r="K221" i="1"/>
  <c r="J221" i="1"/>
  <c r="AI220" i="1"/>
  <c r="X220" i="1"/>
  <c r="W220" i="1"/>
  <c r="P220" i="1"/>
  <c r="O220" i="1"/>
  <c r="N220" i="1"/>
  <c r="M220" i="1"/>
  <c r="L220" i="1"/>
  <c r="K220" i="1"/>
  <c r="J220" i="1"/>
  <c r="AI219" i="1"/>
  <c r="W219" i="1"/>
  <c r="X219" i="1" s="1"/>
  <c r="P219" i="1"/>
  <c r="O219" i="1"/>
  <c r="N219" i="1"/>
  <c r="M219" i="1"/>
  <c r="L219" i="1"/>
  <c r="K219" i="1"/>
  <c r="J219" i="1"/>
  <c r="AI218" i="1"/>
  <c r="X218" i="1"/>
  <c r="W218" i="1"/>
  <c r="P218" i="1"/>
  <c r="O218" i="1"/>
  <c r="N218" i="1"/>
  <c r="M218" i="1"/>
  <c r="L218" i="1"/>
  <c r="K218" i="1"/>
  <c r="J218" i="1"/>
  <c r="AI217" i="1"/>
  <c r="W217" i="1"/>
  <c r="X217" i="1" s="1"/>
  <c r="P217" i="1"/>
  <c r="O217" i="1"/>
  <c r="N217" i="1"/>
  <c r="M217" i="1"/>
  <c r="L217" i="1"/>
  <c r="K217" i="1"/>
  <c r="J217" i="1"/>
  <c r="AI216" i="1"/>
  <c r="X216" i="1"/>
  <c r="W216" i="1"/>
  <c r="P216" i="1"/>
  <c r="O216" i="1"/>
  <c r="N216" i="1"/>
  <c r="M216" i="1"/>
  <c r="L216" i="1"/>
  <c r="K216" i="1"/>
  <c r="J216" i="1"/>
  <c r="AI215" i="1"/>
  <c r="W215" i="1"/>
  <c r="X215" i="1" s="1"/>
  <c r="P215" i="1"/>
  <c r="O215" i="1"/>
  <c r="N215" i="1"/>
  <c r="M215" i="1"/>
  <c r="L215" i="1"/>
  <c r="K215" i="1"/>
  <c r="J215" i="1"/>
  <c r="AI214" i="1"/>
  <c r="W214" i="1"/>
  <c r="X214" i="1" s="1"/>
  <c r="P214" i="1"/>
  <c r="O214" i="1"/>
  <c r="N214" i="1"/>
  <c r="M214" i="1"/>
  <c r="L214" i="1"/>
  <c r="K214" i="1"/>
  <c r="J214" i="1"/>
  <c r="AI213" i="1"/>
  <c r="X213" i="1"/>
  <c r="W213" i="1"/>
  <c r="P213" i="1"/>
  <c r="O213" i="1"/>
  <c r="N213" i="1"/>
  <c r="M213" i="1"/>
  <c r="L213" i="1"/>
  <c r="K213" i="1"/>
  <c r="J213" i="1"/>
  <c r="AI212" i="1"/>
  <c r="W212" i="1"/>
  <c r="X212" i="1" s="1"/>
  <c r="P212" i="1"/>
  <c r="O212" i="1"/>
  <c r="N212" i="1"/>
  <c r="M212" i="1"/>
  <c r="L212" i="1"/>
  <c r="K212" i="1"/>
  <c r="J212" i="1"/>
  <c r="AI211" i="1"/>
  <c r="W211" i="1"/>
  <c r="X211" i="1" s="1"/>
  <c r="P211" i="1"/>
  <c r="O211" i="1"/>
  <c r="N211" i="1"/>
  <c r="M211" i="1"/>
  <c r="L211" i="1"/>
  <c r="K211" i="1"/>
  <c r="J211" i="1"/>
  <c r="AI210" i="1"/>
  <c r="W210" i="1"/>
  <c r="X210" i="1" s="1"/>
  <c r="P210" i="1"/>
  <c r="O210" i="1"/>
  <c r="N210" i="1"/>
  <c r="M210" i="1"/>
  <c r="L210" i="1"/>
  <c r="K210" i="1"/>
  <c r="J210" i="1"/>
  <c r="AI209" i="1"/>
  <c r="X209" i="1"/>
  <c r="W209" i="1"/>
  <c r="P209" i="1"/>
  <c r="O209" i="1"/>
  <c r="N209" i="1"/>
  <c r="M209" i="1"/>
  <c r="L209" i="1"/>
  <c r="K209" i="1"/>
  <c r="J209" i="1"/>
  <c r="AI208" i="1"/>
  <c r="W208" i="1"/>
  <c r="X208" i="1" s="1"/>
  <c r="P208" i="1"/>
  <c r="O208" i="1"/>
  <c r="N208" i="1"/>
  <c r="M208" i="1"/>
  <c r="L208" i="1"/>
  <c r="K208" i="1"/>
  <c r="J208" i="1"/>
  <c r="AI207" i="1"/>
  <c r="W207" i="1"/>
  <c r="X207" i="1" s="1"/>
  <c r="P207" i="1"/>
  <c r="O207" i="1"/>
  <c r="N207" i="1"/>
  <c r="M207" i="1"/>
  <c r="L207" i="1"/>
  <c r="K207" i="1"/>
  <c r="J207" i="1"/>
  <c r="AI206" i="1"/>
  <c r="X206" i="1"/>
  <c r="W206" i="1"/>
  <c r="P206" i="1"/>
  <c r="O206" i="1"/>
  <c r="N206" i="1"/>
  <c r="M206" i="1"/>
  <c r="L206" i="1"/>
  <c r="K206" i="1"/>
  <c r="J206" i="1"/>
  <c r="AI205" i="1"/>
  <c r="W205" i="1"/>
  <c r="X205" i="1" s="1"/>
  <c r="P205" i="1"/>
  <c r="O205" i="1"/>
  <c r="N205" i="1"/>
  <c r="M205" i="1"/>
  <c r="L205" i="1"/>
  <c r="K205" i="1"/>
  <c r="J205" i="1"/>
  <c r="AI204" i="1"/>
  <c r="X204" i="1"/>
  <c r="W204" i="1"/>
  <c r="P204" i="1"/>
  <c r="O204" i="1"/>
  <c r="N204" i="1"/>
  <c r="M204" i="1"/>
  <c r="L204" i="1"/>
  <c r="K204" i="1"/>
  <c r="J204" i="1"/>
  <c r="AI203" i="1"/>
  <c r="W203" i="1"/>
  <c r="X203" i="1" s="1"/>
  <c r="P203" i="1"/>
  <c r="O203" i="1"/>
  <c r="N203" i="1"/>
  <c r="M203" i="1"/>
  <c r="L203" i="1"/>
  <c r="K203" i="1"/>
  <c r="J203" i="1"/>
  <c r="AI202" i="1"/>
  <c r="X202" i="1"/>
  <c r="W202" i="1"/>
  <c r="P202" i="1"/>
  <c r="O202" i="1"/>
  <c r="N202" i="1"/>
  <c r="M202" i="1"/>
  <c r="L202" i="1"/>
  <c r="K202" i="1"/>
  <c r="J202" i="1"/>
  <c r="AI201" i="1"/>
  <c r="W201" i="1"/>
  <c r="X201" i="1" s="1"/>
  <c r="P201" i="1"/>
  <c r="O201" i="1"/>
  <c r="N201" i="1"/>
  <c r="M201" i="1"/>
  <c r="L201" i="1"/>
  <c r="K201" i="1"/>
  <c r="J201" i="1"/>
  <c r="AI200" i="1"/>
  <c r="X200" i="1"/>
  <c r="W200" i="1"/>
  <c r="P200" i="1"/>
  <c r="O200" i="1"/>
  <c r="N200" i="1"/>
  <c r="M200" i="1"/>
  <c r="L200" i="1"/>
  <c r="K200" i="1"/>
  <c r="J200" i="1"/>
  <c r="AI199" i="1"/>
  <c r="W199" i="1"/>
  <c r="X199" i="1" s="1"/>
  <c r="P199" i="1"/>
  <c r="O199" i="1"/>
  <c r="N199" i="1"/>
  <c r="M199" i="1"/>
  <c r="L199" i="1"/>
  <c r="K199" i="1"/>
  <c r="J199" i="1"/>
  <c r="AI198" i="1"/>
  <c r="W198" i="1"/>
  <c r="X198" i="1" s="1"/>
  <c r="P198" i="1"/>
  <c r="O198" i="1"/>
  <c r="N198" i="1"/>
  <c r="M198" i="1"/>
  <c r="L198" i="1"/>
  <c r="K198" i="1"/>
  <c r="J198" i="1"/>
  <c r="AI197" i="1"/>
  <c r="X197" i="1"/>
  <c r="W197" i="1"/>
  <c r="P197" i="1"/>
  <c r="O197" i="1"/>
  <c r="N197" i="1"/>
  <c r="M197" i="1"/>
  <c r="L197" i="1"/>
  <c r="K197" i="1"/>
  <c r="J197" i="1"/>
  <c r="AI196" i="1"/>
  <c r="W196" i="1"/>
  <c r="X196" i="1" s="1"/>
  <c r="P196" i="1"/>
  <c r="O196" i="1"/>
  <c r="N196" i="1"/>
  <c r="M196" i="1"/>
  <c r="L196" i="1"/>
  <c r="K196" i="1"/>
  <c r="J196" i="1"/>
  <c r="AI195" i="1"/>
  <c r="W195" i="1"/>
  <c r="X195" i="1" s="1"/>
  <c r="P195" i="1"/>
  <c r="O195" i="1"/>
  <c r="N195" i="1"/>
  <c r="M195" i="1"/>
  <c r="L195" i="1"/>
  <c r="K195" i="1"/>
  <c r="J195" i="1"/>
  <c r="AI194" i="1"/>
  <c r="W194" i="1"/>
  <c r="X194" i="1" s="1"/>
  <c r="P194" i="1"/>
  <c r="O194" i="1"/>
  <c r="N194" i="1"/>
  <c r="M194" i="1"/>
  <c r="L194" i="1"/>
  <c r="K194" i="1"/>
  <c r="J194" i="1"/>
  <c r="AI193" i="1"/>
  <c r="X193" i="1"/>
  <c r="W193" i="1"/>
  <c r="P193" i="1"/>
  <c r="O193" i="1"/>
  <c r="N193" i="1"/>
  <c r="M193" i="1"/>
  <c r="L193" i="1"/>
  <c r="K193" i="1"/>
  <c r="J193" i="1"/>
  <c r="AI192" i="1"/>
  <c r="W192" i="1"/>
  <c r="X192" i="1" s="1"/>
  <c r="P192" i="1"/>
  <c r="O192" i="1"/>
  <c r="N192" i="1"/>
  <c r="M192" i="1"/>
  <c r="L192" i="1"/>
  <c r="K192" i="1"/>
  <c r="J192" i="1"/>
  <c r="AI191" i="1"/>
  <c r="W191" i="1"/>
  <c r="X191" i="1" s="1"/>
  <c r="P191" i="1"/>
  <c r="O191" i="1"/>
  <c r="N191" i="1"/>
  <c r="M191" i="1"/>
  <c r="L191" i="1"/>
  <c r="K191" i="1"/>
  <c r="J191" i="1"/>
  <c r="AI190" i="1"/>
  <c r="X190" i="1"/>
  <c r="W190" i="1"/>
  <c r="P190" i="1"/>
  <c r="O190" i="1"/>
  <c r="N190" i="1"/>
  <c r="M190" i="1"/>
  <c r="L190" i="1"/>
  <c r="K190" i="1"/>
  <c r="J190" i="1"/>
  <c r="AI189" i="1"/>
  <c r="W189" i="1"/>
  <c r="X189" i="1" s="1"/>
  <c r="P189" i="1"/>
  <c r="O189" i="1"/>
  <c r="N189" i="1"/>
  <c r="M189" i="1"/>
  <c r="L189" i="1"/>
  <c r="K189" i="1"/>
  <c r="J189" i="1"/>
  <c r="AI188" i="1"/>
  <c r="X188" i="1"/>
  <c r="W188" i="1"/>
  <c r="P188" i="1"/>
  <c r="O188" i="1"/>
  <c r="N188" i="1"/>
  <c r="M188" i="1"/>
  <c r="L188" i="1"/>
  <c r="K188" i="1"/>
  <c r="J188" i="1"/>
  <c r="AI187" i="1"/>
  <c r="W187" i="1"/>
  <c r="X187" i="1" s="1"/>
  <c r="P187" i="1"/>
  <c r="O187" i="1"/>
  <c r="N187" i="1"/>
  <c r="M187" i="1"/>
  <c r="L187" i="1"/>
  <c r="K187" i="1"/>
  <c r="J187" i="1"/>
  <c r="AI186" i="1"/>
  <c r="X186" i="1"/>
  <c r="W186" i="1"/>
  <c r="P186" i="1"/>
  <c r="O186" i="1"/>
  <c r="N186" i="1"/>
  <c r="M186" i="1"/>
  <c r="L186" i="1"/>
  <c r="K186" i="1"/>
  <c r="J186" i="1"/>
  <c r="AI185" i="1"/>
  <c r="W185" i="1"/>
  <c r="X185" i="1" s="1"/>
  <c r="P185" i="1"/>
  <c r="O185" i="1"/>
  <c r="N185" i="1"/>
  <c r="M185" i="1"/>
  <c r="L185" i="1"/>
  <c r="K185" i="1"/>
  <c r="J185" i="1"/>
  <c r="AI184" i="1"/>
  <c r="X184" i="1"/>
  <c r="W184" i="1"/>
  <c r="P184" i="1"/>
  <c r="O184" i="1"/>
  <c r="N184" i="1"/>
  <c r="M184" i="1"/>
  <c r="L184" i="1"/>
  <c r="K184" i="1"/>
  <c r="J184" i="1"/>
  <c r="AI183" i="1"/>
  <c r="W183" i="1"/>
  <c r="X183" i="1" s="1"/>
  <c r="P183" i="1"/>
  <c r="O183" i="1"/>
  <c r="N183" i="1"/>
  <c r="M183" i="1"/>
  <c r="L183" i="1"/>
  <c r="K183" i="1"/>
  <c r="J183" i="1"/>
  <c r="AI182" i="1"/>
  <c r="W182" i="1"/>
  <c r="X182" i="1" s="1"/>
  <c r="P182" i="1"/>
  <c r="O182" i="1"/>
  <c r="N182" i="1"/>
  <c r="M182" i="1"/>
  <c r="L182" i="1"/>
  <c r="K182" i="1"/>
  <c r="J182" i="1"/>
  <c r="AI181" i="1"/>
  <c r="X181" i="1"/>
  <c r="W181" i="1"/>
  <c r="P181" i="1"/>
  <c r="O181" i="1"/>
  <c r="N181" i="1"/>
  <c r="M181" i="1"/>
  <c r="L181" i="1"/>
  <c r="K181" i="1"/>
  <c r="J181" i="1"/>
  <c r="AI180" i="1"/>
  <c r="W180" i="1"/>
  <c r="X180" i="1" s="1"/>
  <c r="P180" i="1"/>
  <c r="O180" i="1"/>
  <c r="N180" i="1"/>
  <c r="M180" i="1"/>
  <c r="L180" i="1"/>
  <c r="K180" i="1"/>
  <c r="J180" i="1"/>
  <c r="AI179" i="1"/>
  <c r="W179" i="1"/>
  <c r="X179" i="1" s="1"/>
  <c r="P179" i="1"/>
  <c r="O179" i="1"/>
  <c r="N179" i="1"/>
  <c r="M179" i="1"/>
  <c r="L179" i="1"/>
  <c r="K179" i="1"/>
  <c r="J179" i="1"/>
  <c r="AI178" i="1"/>
  <c r="W178" i="1"/>
  <c r="X178" i="1" s="1"/>
  <c r="P178" i="1"/>
  <c r="O178" i="1"/>
  <c r="N178" i="1"/>
  <c r="M178" i="1"/>
  <c r="L178" i="1"/>
  <c r="K178" i="1"/>
  <c r="J178" i="1"/>
  <c r="AI177" i="1"/>
  <c r="X177" i="1"/>
  <c r="W177" i="1"/>
  <c r="P177" i="1"/>
  <c r="O177" i="1"/>
  <c r="N177" i="1"/>
  <c r="M177" i="1"/>
  <c r="L177" i="1"/>
  <c r="K177" i="1"/>
  <c r="J177" i="1"/>
  <c r="AI176" i="1"/>
  <c r="W176" i="1"/>
  <c r="X176" i="1" s="1"/>
  <c r="P176" i="1"/>
  <c r="O176" i="1"/>
  <c r="N176" i="1"/>
  <c r="M176" i="1"/>
  <c r="L176" i="1"/>
  <c r="K176" i="1"/>
  <c r="J176" i="1"/>
  <c r="AI175" i="1"/>
  <c r="W175" i="1"/>
  <c r="X175" i="1" s="1"/>
  <c r="P175" i="1"/>
  <c r="O175" i="1"/>
  <c r="N175" i="1"/>
  <c r="M175" i="1"/>
  <c r="L175" i="1"/>
  <c r="K175" i="1"/>
  <c r="J175" i="1"/>
  <c r="AI174" i="1"/>
  <c r="X174" i="1"/>
  <c r="W174" i="1"/>
  <c r="P174" i="1"/>
  <c r="O174" i="1"/>
  <c r="N174" i="1"/>
  <c r="M174" i="1"/>
  <c r="L174" i="1"/>
  <c r="K174" i="1"/>
  <c r="J174" i="1"/>
  <c r="AI173" i="1"/>
  <c r="W173" i="1"/>
  <c r="X173" i="1" s="1"/>
  <c r="P173" i="1"/>
  <c r="O173" i="1"/>
  <c r="N173" i="1"/>
  <c r="M173" i="1"/>
  <c r="L173" i="1"/>
  <c r="K173" i="1"/>
  <c r="J173" i="1"/>
  <c r="AI172" i="1"/>
  <c r="X172" i="1"/>
  <c r="W172" i="1"/>
  <c r="P172" i="1"/>
  <c r="O172" i="1"/>
  <c r="N172" i="1"/>
  <c r="M172" i="1"/>
  <c r="L172" i="1"/>
  <c r="K172" i="1"/>
  <c r="J172" i="1"/>
  <c r="AI171" i="1"/>
  <c r="W171" i="1"/>
  <c r="X171" i="1" s="1"/>
  <c r="P171" i="1"/>
  <c r="O171" i="1"/>
  <c r="N171" i="1"/>
  <c r="M171" i="1"/>
  <c r="L171" i="1"/>
  <c r="K171" i="1"/>
  <c r="J171" i="1"/>
  <c r="AI170" i="1"/>
  <c r="X170" i="1"/>
  <c r="W170" i="1"/>
  <c r="P170" i="1"/>
  <c r="O170" i="1"/>
  <c r="N170" i="1"/>
  <c r="M170" i="1"/>
  <c r="L170" i="1"/>
  <c r="K170" i="1"/>
  <c r="J170" i="1"/>
  <c r="AI169" i="1"/>
  <c r="W169" i="1"/>
  <c r="X169" i="1" s="1"/>
  <c r="P169" i="1"/>
  <c r="O169" i="1"/>
  <c r="N169" i="1"/>
  <c r="M169" i="1"/>
  <c r="L169" i="1"/>
  <c r="K169" i="1"/>
  <c r="J169" i="1"/>
  <c r="AI168" i="1"/>
  <c r="X168" i="1"/>
  <c r="W168" i="1"/>
  <c r="P168" i="1"/>
  <c r="O168" i="1"/>
  <c r="N168" i="1"/>
  <c r="M168" i="1"/>
  <c r="L168" i="1"/>
  <c r="K168" i="1"/>
  <c r="J168" i="1"/>
  <c r="AI167" i="1"/>
  <c r="W167" i="1"/>
  <c r="X167" i="1" s="1"/>
  <c r="P167" i="1"/>
  <c r="O167" i="1"/>
  <c r="N167" i="1"/>
  <c r="M167" i="1"/>
  <c r="L167" i="1"/>
  <c r="K167" i="1"/>
  <c r="J167" i="1"/>
  <c r="AI166" i="1"/>
  <c r="W166" i="1"/>
  <c r="X166" i="1" s="1"/>
  <c r="P166" i="1"/>
  <c r="O166" i="1"/>
  <c r="N166" i="1"/>
  <c r="M166" i="1"/>
  <c r="L166" i="1"/>
  <c r="K166" i="1"/>
  <c r="J166" i="1"/>
  <c r="AI165" i="1"/>
  <c r="X165" i="1"/>
  <c r="W165" i="1"/>
  <c r="P165" i="1"/>
  <c r="O165" i="1"/>
  <c r="N165" i="1"/>
  <c r="M165" i="1"/>
  <c r="L165" i="1"/>
  <c r="K165" i="1"/>
  <c r="J165" i="1"/>
  <c r="AI164" i="1"/>
  <c r="W164" i="1"/>
  <c r="X164" i="1" s="1"/>
  <c r="P164" i="1"/>
  <c r="O164" i="1"/>
  <c r="N164" i="1"/>
  <c r="M164" i="1"/>
  <c r="L164" i="1"/>
  <c r="K164" i="1"/>
  <c r="J164" i="1"/>
  <c r="AI163" i="1"/>
  <c r="W163" i="1"/>
  <c r="X163" i="1" s="1"/>
  <c r="P163" i="1"/>
  <c r="O163" i="1"/>
  <c r="N163" i="1"/>
  <c r="M163" i="1"/>
  <c r="L163" i="1"/>
  <c r="K163" i="1"/>
  <c r="J163" i="1"/>
  <c r="AI162" i="1"/>
  <c r="W162" i="1"/>
  <c r="X162" i="1" s="1"/>
  <c r="P162" i="1"/>
  <c r="O162" i="1"/>
  <c r="N162" i="1"/>
  <c r="M162" i="1"/>
  <c r="L162" i="1"/>
  <c r="K162" i="1"/>
  <c r="J162" i="1"/>
  <c r="AI161" i="1"/>
  <c r="X161" i="1"/>
  <c r="W161" i="1"/>
  <c r="P161" i="1"/>
  <c r="O161" i="1"/>
  <c r="N161" i="1"/>
  <c r="M161" i="1"/>
  <c r="L161" i="1"/>
  <c r="K161" i="1"/>
  <c r="J161" i="1"/>
  <c r="AI160" i="1"/>
  <c r="W160" i="1"/>
  <c r="X160" i="1" s="1"/>
  <c r="P160" i="1"/>
  <c r="O160" i="1"/>
  <c r="N160" i="1"/>
  <c r="M160" i="1"/>
  <c r="L160" i="1"/>
  <c r="K160" i="1"/>
  <c r="J160" i="1"/>
  <c r="AI159" i="1"/>
  <c r="W159" i="1"/>
  <c r="X159" i="1" s="1"/>
  <c r="P159" i="1"/>
  <c r="O159" i="1"/>
  <c r="N159" i="1"/>
  <c r="M159" i="1"/>
  <c r="L159" i="1"/>
  <c r="K159" i="1"/>
  <c r="J159" i="1"/>
  <c r="AI158" i="1"/>
  <c r="X158" i="1"/>
  <c r="W158" i="1"/>
  <c r="P158" i="1"/>
  <c r="O158" i="1"/>
  <c r="N158" i="1"/>
  <c r="M158" i="1"/>
  <c r="L158" i="1"/>
  <c r="K158" i="1"/>
  <c r="J158" i="1"/>
  <c r="AI157" i="1"/>
  <c r="W157" i="1"/>
  <c r="X157" i="1" s="1"/>
  <c r="P157" i="1"/>
  <c r="O157" i="1"/>
  <c r="N157" i="1"/>
  <c r="M157" i="1"/>
  <c r="L157" i="1"/>
  <c r="K157" i="1"/>
  <c r="J157" i="1"/>
  <c r="AI156" i="1"/>
  <c r="X156" i="1"/>
  <c r="W156" i="1"/>
  <c r="P156" i="1"/>
  <c r="O156" i="1"/>
  <c r="N156" i="1"/>
  <c r="M156" i="1"/>
  <c r="L156" i="1"/>
  <c r="K156" i="1"/>
  <c r="J156" i="1"/>
  <c r="AI155" i="1"/>
  <c r="W155" i="1"/>
  <c r="X155" i="1" s="1"/>
  <c r="P155" i="1"/>
  <c r="O155" i="1"/>
  <c r="N155" i="1"/>
  <c r="M155" i="1"/>
  <c r="L155" i="1"/>
  <c r="K155" i="1"/>
  <c r="J155" i="1"/>
  <c r="AI154" i="1"/>
  <c r="X154" i="1"/>
  <c r="W154" i="1"/>
  <c r="P154" i="1"/>
  <c r="O154" i="1"/>
  <c r="N154" i="1"/>
  <c r="M154" i="1"/>
  <c r="L154" i="1"/>
  <c r="K154" i="1"/>
  <c r="J154" i="1"/>
  <c r="AI153" i="1"/>
  <c r="W153" i="1"/>
  <c r="X153" i="1" s="1"/>
  <c r="P153" i="1"/>
  <c r="O153" i="1"/>
  <c r="N153" i="1"/>
  <c r="M153" i="1"/>
  <c r="L153" i="1"/>
  <c r="K153" i="1"/>
  <c r="J153" i="1"/>
  <c r="AI152" i="1"/>
  <c r="X152" i="1"/>
  <c r="W152" i="1"/>
  <c r="P152" i="1"/>
  <c r="O152" i="1"/>
  <c r="N152" i="1"/>
  <c r="M152" i="1"/>
  <c r="L152" i="1"/>
  <c r="K152" i="1"/>
  <c r="J152" i="1"/>
  <c r="AI151" i="1"/>
  <c r="W151" i="1"/>
  <c r="X151" i="1" s="1"/>
  <c r="P151" i="1"/>
  <c r="O151" i="1"/>
  <c r="N151" i="1"/>
  <c r="M151" i="1"/>
  <c r="L151" i="1"/>
  <c r="K151" i="1"/>
  <c r="J151" i="1"/>
  <c r="AI150" i="1"/>
  <c r="W150" i="1"/>
  <c r="X150" i="1" s="1"/>
  <c r="P150" i="1"/>
  <c r="O150" i="1"/>
  <c r="N150" i="1"/>
  <c r="M150" i="1"/>
  <c r="L150" i="1"/>
  <c r="K150" i="1"/>
  <c r="J150" i="1"/>
  <c r="AI149" i="1"/>
  <c r="X149" i="1"/>
  <c r="W149" i="1"/>
  <c r="P149" i="1"/>
  <c r="O149" i="1"/>
  <c r="N149" i="1"/>
  <c r="M149" i="1"/>
  <c r="L149" i="1"/>
  <c r="K149" i="1"/>
  <c r="J149" i="1"/>
  <c r="AI148" i="1"/>
  <c r="W148" i="1"/>
  <c r="X148" i="1" s="1"/>
  <c r="P148" i="1"/>
  <c r="O148" i="1"/>
  <c r="N148" i="1"/>
  <c r="M148" i="1"/>
  <c r="L148" i="1"/>
  <c r="K148" i="1"/>
  <c r="J148" i="1"/>
  <c r="AI147" i="1"/>
  <c r="W147" i="1"/>
  <c r="X147" i="1" s="1"/>
  <c r="P147" i="1"/>
  <c r="O147" i="1"/>
  <c r="N147" i="1"/>
  <c r="M147" i="1"/>
  <c r="L147" i="1"/>
  <c r="K147" i="1"/>
  <c r="J147" i="1"/>
  <c r="AI146" i="1"/>
  <c r="W146" i="1"/>
  <c r="X146" i="1" s="1"/>
  <c r="P146" i="1"/>
  <c r="O146" i="1"/>
  <c r="N146" i="1"/>
  <c r="M146" i="1"/>
  <c r="L146" i="1"/>
  <c r="K146" i="1"/>
  <c r="J146" i="1"/>
  <c r="AI145" i="1"/>
  <c r="X145" i="1"/>
  <c r="W145" i="1"/>
  <c r="P145" i="1"/>
  <c r="O145" i="1"/>
  <c r="N145" i="1"/>
  <c r="M145" i="1"/>
  <c r="L145" i="1"/>
  <c r="K145" i="1"/>
  <c r="J145" i="1"/>
  <c r="AI144" i="1"/>
  <c r="W144" i="1"/>
  <c r="X144" i="1" s="1"/>
  <c r="P144" i="1"/>
  <c r="O144" i="1"/>
  <c r="N144" i="1"/>
  <c r="M144" i="1"/>
  <c r="L144" i="1"/>
  <c r="K144" i="1"/>
  <c r="J144" i="1"/>
  <c r="AI143" i="1"/>
  <c r="W143" i="1"/>
  <c r="X143" i="1" s="1"/>
  <c r="P143" i="1"/>
  <c r="O143" i="1"/>
  <c r="N143" i="1"/>
  <c r="M143" i="1"/>
  <c r="L143" i="1"/>
  <c r="K143" i="1"/>
  <c r="J143" i="1"/>
  <c r="AI142" i="1"/>
  <c r="X142" i="1"/>
  <c r="W142" i="1"/>
  <c r="P142" i="1"/>
  <c r="O142" i="1"/>
  <c r="N142" i="1"/>
  <c r="M142" i="1"/>
  <c r="L142" i="1"/>
  <c r="K142" i="1"/>
  <c r="J142" i="1"/>
  <c r="AI141" i="1"/>
  <c r="W141" i="1"/>
  <c r="X141" i="1" s="1"/>
  <c r="P141" i="1"/>
  <c r="O141" i="1"/>
  <c r="N141" i="1"/>
  <c r="M141" i="1"/>
  <c r="L141" i="1"/>
  <c r="K141" i="1"/>
  <c r="J141" i="1"/>
  <c r="AI140" i="1"/>
  <c r="X140" i="1"/>
  <c r="W140" i="1"/>
  <c r="P140" i="1"/>
  <c r="O140" i="1"/>
  <c r="N140" i="1"/>
  <c r="M140" i="1"/>
  <c r="L140" i="1"/>
  <c r="K140" i="1"/>
  <c r="J140" i="1"/>
  <c r="AI139" i="1"/>
  <c r="W139" i="1"/>
  <c r="X139" i="1" s="1"/>
  <c r="P139" i="1"/>
  <c r="O139" i="1"/>
  <c r="N139" i="1"/>
  <c r="M139" i="1"/>
  <c r="L139" i="1"/>
  <c r="K139" i="1"/>
  <c r="J139" i="1"/>
  <c r="AI138" i="1"/>
  <c r="X138" i="1"/>
  <c r="W138" i="1"/>
  <c r="P138" i="1"/>
  <c r="O138" i="1"/>
  <c r="N138" i="1"/>
  <c r="M138" i="1"/>
  <c r="L138" i="1"/>
  <c r="K138" i="1"/>
  <c r="J138" i="1"/>
  <c r="AI137" i="1"/>
  <c r="W137" i="1"/>
  <c r="X137" i="1" s="1"/>
  <c r="P137" i="1"/>
  <c r="O137" i="1"/>
  <c r="N137" i="1"/>
  <c r="M137" i="1"/>
  <c r="L137" i="1"/>
  <c r="K137" i="1"/>
  <c r="J137" i="1"/>
  <c r="AI136" i="1"/>
  <c r="X136" i="1"/>
  <c r="W136" i="1"/>
  <c r="P136" i="1"/>
  <c r="O136" i="1"/>
  <c r="N136" i="1"/>
  <c r="M136" i="1"/>
  <c r="L136" i="1"/>
  <c r="K136" i="1"/>
  <c r="J136" i="1"/>
  <c r="AI135" i="1"/>
  <c r="W135" i="1"/>
  <c r="X135" i="1" s="1"/>
  <c r="P135" i="1"/>
  <c r="O135" i="1"/>
  <c r="N135" i="1"/>
  <c r="M135" i="1"/>
  <c r="L135" i="1"/>
  <c r="K135" i="1"/>
  <c r="J135" i="1"/>
  <c r="AI134" i="1"/>
  <c r="W134" i="1"/>
  <c r="X134" i="1" s="1"/>
  <c r="P134" i="1"/>
  <c r="O134" i="1"/>
  <c r="N134" i="1"/>
  <c r="M134" i="1"/>
  <c r="L134" i="1"/>
  <c r="K134" i="1"/>
  <c r="J134" i="1"/>
  <c r="AI133" i="1"/>
  <c r="X133" i="1"/>
  <c r="W133" i="1"/>
  <c r="P133" i="1"/>
  <c r="O133" i="1"/>
  <c r="N133" i="1"/>
  <c r="M133" i="1"/>
  <c r="L133" i="1"/>
  <c r="K133" i="1"/>
  <c r="J133" i="1"/>
  <c r="AI132" i="1"/>
  <c r="W132" i="1"/>
  <c r="X132" i="1" s="1"/>
  <c r="P132" i="1"/>
  <c r="O132" i="1"/>
  <c r="N132" i="1"/>
  <c r="M132" i="1"/>
  <c r="L132" i="1"/>
  <c r="K132" i="1"/>
  <c r="J132" i="1"/>
  <c r="AI131" i="1"/>
  <c r="W131" i="1"/>
  <c r="X131" i="1" s="1"/>
  <c r="P131" i="1"/>
  <c r="O131" i="1"/>
  <c r="N131" i="1"/>
  <c r="M131" i="1"/>
  <c r="L131" i="1"/>
  <c r="K131" i="1"/>
  <c r="J131" i="1"/>
  <c r="AI130" i="1"/>
  <c r="W130" i="1"/>
  <c r="X130" i="1" s="1"/>
  <c r="P130" i="1"/>
  <c r="O130" i="1"/>
  <c r="N130" i="1"/>
  <c r="M130" i="1"/>
  <c r="L130" i="1"/>
  <c r="K130" i="1"/>
  <c r="J130" i="1"/>
  <c r="AI129" i="1"/>
  <c r="X129" i="1"/>
  <c r="W129" i="1"/>
  <c r="P129" i="1"/>
  <c r="O129" i="1"/>
  <c r="N129" i="1"/>
  <c r="M129" i="1"/>
  <c r="L129" i="1"/>
  <c r="K129" i="1"/>
  <c r="J129" i="1"/>
  <c r="AI128" i="1"/>
  <c r="W128" i="1"/>
  <c r="X128" i="1" s="1"/>
  <c r="P128" i="1"/>
  <c r="O128" i="1"/>
  <c r="N128" i="1"/>
  <c r="M128" i="1"/>
  <c r="L128" i="1"/>
  <c r="K128" i="1"/>
  <c r="J128" i="1"/>
  <c r="AI127" i="1"/>
  <c r="W127" i="1"/>
  <c r="X127" i="1" s="1"/>
  <c r="P127" i="1"/>
  <c r="O127" i="1"/>
  <c r="N127" i="1"/>
  <c r="M127" i="1"/>
  <c r="L127" i="1"/>
  <c r="K127" i="1"/>
  <c r="J127" i="1"/>
  <c r="AI126" i="1"/>
  <c r="X126" i="1"/>
  <c r="W126" i="1"/>
  <c r="P126" i="1"/>
  <c r="O126" i="1"/>
  <c r="N126" i="1"/>
  <c r="M126" i="1"/>
  <c r="L126" i="1"/>
  <c r="K126" i="1"/>
  <c r="J126" i="1"/>
  <c r="AI125" i="1"/>
  <c r="W125" i="1"/>
  <c r="X125" i="1" s="1"/>
  <c r="P125" i="1"/>
  <c r="O125" i="1"/>
  <c r="N125" i="1"/>
  <c r="M125" i="1"/>
  <c r="L125" i="1"/>
  <c r="K125" i="1"/>
  <c r="J125" i="1"/>
  <c r="AI124" i="1"/>
  <c r="X124" i="1"/>
  <c r="W124" i="1"/>
  <c r="P124" i="1"/>
  <c r="O124" i="1"/>
  <c r="N124" i="1"/>
  <c r="M124" i="1"/>
  <c r="L124" i="1"/>
  <c r="K124" i="1"/>
  <c r="J124" i="1"/>
  <c r="AI123" i="1"/>
  <c r="W123" i="1"/>
  <c r="X123" i="1" s="1"/>
  <c r="P123" i="1"/>
  <c r="O123" i="1"/>
  <c r="N123" i="1"/>
  <c r="M123" i="1"/>
  <c r="L123" i="1"/>
  <c r="K123" i="1"/>
  <c r="J123" i="1"/>
  <c r="AI122" i="1"/>
  <c r="X122" i="1"/>
  <c r="W122" i="1"/>
  <c r="P122" i="1"/>
  <c r="O122" i="1"/>
  <c r="N122" i="1"/>
  <c r="M122" i="1"/>
  <c r="L122" i="1"/>
  <c r="K122" i="1"/>
  <c r="J122" i="1"/>
  <c r="AI121" i="1"/>
  <c r="W121" i="1"/>
  <c r="X121" i="1" s="1"/>
  <c r="P121" i="1"/>
  <c r="O121" i="1"/>
  <c r="N121" i="1"/>
  <c r="M121" i="1"/>
  <c r="L121" i="1"/>
  <c r="K121" i="1"/>
  <c r="J121" i="1"/>
  <c r="AI120" i="1"/>
  <c r="X120" i="1"/>
  <c r="W120" i="1"/>
  <c r="P120" i="1"/>
  <c r="O120" i="1"/>
  <c r="N120" i="1"/>
  <c r="M120" i="1"/>
  <c r="L120" i="1"/>
  <c r="K120" i="1"/>
  <c r="J120" i="1"/>
  <c r="AI119" i="1"/>
  <c r="W119" i="1"/>
  <c r="X119" i="1" s="1"/>
  <c r="P119" i="1"/>
  <c r="O119" i="1"/>
  <c r="N119" i="1"/>
  <c r="M119" i="1"/>
  <c r="L119" i="1"/>
  <c r="K119" i="1"/>
  <c r="J119" i="1"/>
  <c r="AI118" i="1"/>
  <c r="W118" i="1"/>
  <c r="X118" i="1" s="1"/>
  <c r="P118" i="1"/>
  <c r="O118" i="1"/>
  <c r="N118" i="1"/>
  <c r="M118" i="1"/>
  <c r="L118" i="1"/>
  <c r="K118" i="1"/>
  <c r="J118" i="1"/>
  <c r="AI117" i="1"/>
  <c r="X117" i="1"/>
  <c r="W117" i="1"/>
  <c r="P117" i="1"/>
  <c r="O117" i="1"/>
  <c r="N117" i="1"/>
  <c r="M117" i="1"/>
  <c r="L117" i="1"/>
  <c r="K117" i="1"/>
  <c r="J117" i="1"/>
  <c r="AI116" i="1"/>
  <c r="W116" i="1"/>
  <c r="X116" i="1" s="1"/>
  <c r="P116" i="1"/>
  <c r="O116" i="1"/>
  <c r="N116" i="1"/>
  <c r="M116" i="1"/>
  <c r="L116" i="1"/>
  <c r="K116" i="1"/>
  <c r="J116" i="1"/>
  <c r="AI115" i="1"/>
  <c r="W115" i="1"/>
  <c r="X115" i="1" s="1"/>
  <c r="P115" i="1"/>
  <c r="O115" i="1"/>
  <c r="N115" i="1"/>
  <c r="M115" i="1"/>
  <c r="L115" i="1"/>
  <c r="K115" i="1"/>
  <c r="J115" i="1"/>
  <c r="AI114" i="1"/>
  <c r="W114" i="1"/>
  <c r="X114" i="1" s="1"/>
  <c r="P114" i="1"/>
  <c r="O114" i="1"/>
  <c r="N114" i="1"/>
  <c r="M114" i="1"/>
  <c r="L114" i="1"/>
  <c r="K114" i="1"/>
  <c r="J114" i="1"/>
  <c r="AI113" i="1"/>
  <c r="X113" i="1"/>
  <c r="W113" i="1"/>
  <c r="P113" i="1"/>
  <c r="O113" i="1"/>
  <c r="N113" i="1"/>
  <c r="M113" i="1"/>
  <c r="L113" i="1"/>
  <c r="K113" i="1"/>
  <c r="J113" i="1"/>
  <c r="AI112" i="1"/>
  <c r="W112" i="1"/>
  <c r="X112" i="1" s="1"/>
  <c r="P112" i="1"/>
  <c r="O112" i="1"/>
  <c r="N112" i="1"/>
  <c r="M112" i="1"/>
  <c r="L112" i="1"/>
  <c r="K112" i="1"/>
  <c r="J112" i="1"/>
  <c r="AI111" i="1"/>
  <c r="W111" i="1"/>
  <c r="X111" i="1" s="1"/>
  <c r="P111" i="1"/>
  <c r="O111" i="1"/>
  <c r="N111" i="1"/>
  <c r="M111" i="1"/>
  <c r="L111" i="1"/>
  <c r="K111" i="1"/>
  <c r="J111" i="1"/>
  <c r="AI110" i="1"/>
  <c r="X110" i="1"/>
  <c r="W110" i="1"/>
  <c r="P110" i="1"/>
  <c r="O110" i="1"/>
  <c r="N110" i="1"/>
  <c r="M110" i="1"/>
  <c r="L110" i="1"/>
  <c r="K110" i="1"/>
  <c r="J110" i="1"/>
  <c r="AI109" i="1"/>
  <c r="W109" i="1"/>
  <c r="X109" i="1" s="1"/>
  <c r="P109" i="1"/>
  <c r="O109" i="1"/>
  <c r="N109" i="1"/>
  <c r="M109" i="1"/>
  <c r="L109" i="1"/>
  <c r="K109" i="1"/>
  <c r="J109" i="1"/>
  <c r="AI108" i="1"/>
  <c r="X108" i="1"/>
  <c r="W108" i="1"/>
  <c r="P108" i="1"/>
  <c r="O108" i="1"/>
  <c r="N108" i="1"/>
  <c r="M108" i="1"/>
  <c r="L108" i="1"/>
  <c r="K108" i="1"/>
  <c r="J108" i="1"/>
  <c r="AI107" i="1"/>
  <c r="W107" i="1"/>
  <c r="X107" i="1" s="1"/>
  <c r="P107" i="1"/>
  <c r="O107" i="1"/>
  <c r="N107" i="1"/>
  <c r="M107" i="1"/>
  <c r="L107" i="1"/>
  <c r="K107" i="1"/>
  <c r="J107" i="1"/>
  <c r="AI106" i="1"/>
  <c r="X106" i="1"/>
  <c r="W106" i="1"/>
  <c r="P106" i="1"/>
  <c r="O106" i="1"/>
  <c r="N106" i="1"/>
  <c r="M106" i="1"/>
  <c r="L106" i="1"/>
  <c r="K106" i="1"/>
  <c r="J106" i="1"/>
  <c r="AI105" i="1"/>
  <c r="W105" i="1"/>
  <c r="X105" i="1" s="1"/>
  <c r="P105" i="1"/>
  <c r="O105" i="1"/>
  <c r="N105" i="1"/>
  <c r="M105" i="1"/>
  <c r="L105" i="1"/>
  <c r="K105" i="1"/>
  <c r="J105" i="1"/>
  <c r="AI104" i="1"/>
  <c r="X104" i="1"/>
  <c r="W104" i="1"/>
  <c r="P104" i="1"/>
  <c r="O104" i="1"/>
  <c r="N104" i="1"/>
  <c r="M104" i="1"/>
  <c r="L104" i="1"/>
  <c r="K104" i="1"/>
  <c r="J104" i="1"/>
  <c r="AI103" i="1"/>
  <c r="W103" i="1"/>
  <c r="X103" i="1" s="1"/>
  <c r="P103" i="1"/>
  <c r="O103" i="1"/>
  <c r="N103" i="1"/>
  <c r="M103" i="1"/>
  <c r="L103" i="1"/>
  <c r="K103" i="1"/>
  <c r="J103" i="1"/>
  <c r="AI102" i="1"/>
  <c r="W102" i="1"/>
  <c r="X102" i="1" s="1"/>
  <c r="P102" i="1"/>
  <c r="O102" i="1"/>
  <c r="N102" i="1"/>
  <c r="M102" i="1"/>
  <c r="L102" i="1"/>
  <c r="K102" i="1"/>
  <c r="J102" i="1"/>
  <c r="AI101" i="1"/>
  <c r="X101" i="1"/>
  <c r="W101" i="1"/>
  <c r="P101" i="1"/>
  <c r="O101" i="1"/>
  <c r="N101" i="1"/>
  <c r="M101" i="1"/>
  <c r="L101" i="1"/>
  <c r="K101" i="1"/>
  <c r="J101" i="1"/>
  <c r="AI100" i="1"/>
  <c r="W100" i="1"/>
  <c r="X100" i="1" s="1"/>
  <c r="P100" i="1"/>
  <c r="O100" i="1"/>
  <c r="N100" i="1"/>
  <c r="M100" i="1"/>
  <c r="L100" i="1"/>
  <c r="K100" i="1"/>
  <c r="J100" i="1"/>
  <c r="AI99" i="1"/>
  <c r="W99" i="1"/>
  <c r="X99" i="1" s="1"/>
  <c r="P99" i="1"/>
  <c r="O99" i="1"/>
  <c r="N99" i="1"/>
  <c r="M99" i="1"/>
  <c r="L99" i="1"/>
  <c r="K99" i="1"/>
  <c r="J99" i="1"/>
  <c r="AI98" i="1"/>
  <c r="W98" i="1"/>
  <c r="X98" i="1" s="1"/>
  <c r="P98" i="1"/>
  <c r="O98" i="1"/>
  <c r="N98" i="1"/>
  <c r="M98" i="1"/>
  <c r="L98" i="1"/>
  <c r="K98" i="1"/>
  <c r="J98" i="1"/>
  <c r="AI97" i="1"/>
  <c r="X97" i="1"/>
  <c r="W97" i="1"/>
  <c r="P97" i="1"/>
  <c r="O97" i="1"/>
  <c r="N97" i="1"/>
  <c r="M97" i="1"/>
  <c r="L97" i="1"/>
  <c r="K97" i="1"/>
  <c r="J97" i="1"/>
  <c r="AI96" i="1"/>
  <c r="W96" i="1"/>
  <c r="X96" i="1" s="1"/>
  <c r="P96" i="1"/>
  <c r="O96" i="1"/>
  <c r="N96" i="1"/>
  <c r="M96" i="1"/>
  <c r="L96" i="1"/>
  <c r="K96" i="1"/>
  <c r="J96" i="1"/>
  <c r="AI95" i="1"/>
  <c r="W95" i="1"/>
  <c r="X95" i="1" s="1"/>
  <c r="P95" i="1"/>
  <c r="O95" i="1"/>
  <c r="N95" i="1"/>
  <c r="M95" i="1"/>
  <c r="L95" i="1"/>
  <c r="K95" i="1"/>
  <c r="J95" i="1"/>
  <c r="AI94" i="1"/>
  <c r="X94" i="1"/>
  <c r="W94" i="1"/>
  <c r="P94" i="1"/>
  <c r="O94" i="1"/>
  <c r="N94" i="1"/>
  <c r="M94" i="1"/>
  <c r="L94" i="1"/>
  <c r="K94" i="1"/>
  <c r="J94" i="1"/>
  <c r="AI93" i="1"/>
  <c r="W93" i="1"/>
  <c r="X93" i="1" s="1"/>
  <c r="P93" i="1"/>
  <c r="O93" i="1"/>
  <c r="N93" i="1"/>
  <c r="M93" i="1"/>
  <c r="L93" i="1"/>
  <c r="K93" i="1"/>
  <c r="J93" i="1"/>
  <c r="AI92" i="1"/>
  <c r="X92" i="1"/>
  <c r="W92" i="1"/>
  <c r="P92" i="1"/>
  <c r="O92" i="1"/>
  <c r="N92" i="1"/>
  <c r="M92" i="1"/>
  <c r="L92" i="1"/>
  <c r="K92" i="1"/>
  <c r="J92" i="1"/>
  <c r="AI91" i="1"/>
  <c r="W91" i="1"/>
  <c r="X91" i="1" s="1"/>
  <c r="P91" i="1"/>
  <c r="O91" i="1"/>
  <c r="N91" i="1"/>
  <c r="M91" i="1"/>
  <c r="L91" i="1"/>
  <c r="K91" i="1"/>
  <c r="J91" i="1"/>
  <c r="AI90" i="1"/>
  <c r="X90" i="1"/>
  <c r="W90" i="1"/>
  <c r="P90" i="1"/>
  <c r="O90" i="1"/>
  <c r="N90" i="1"/>
  <c r="M90" i="1"/>
  <c r="L90" i="1"/>
  <c r="K90" i="1"/>
  <c r="J90" i="1"/>
  <c r="AI89" i="1"/>
  <c r="W89" i="1"/>
  <c r="X89" i="1" s="1"/>
  <c r="P89" i="1"/>
  <c r="O89" i="1"/>
  <c r="N89" i="1"/>
  <c r="M89" i="1"/>
  <c r="L89" i="1"/>
  <c r="K89" i="1"/>
  <c r="J89" i="1"/>
  <c r="AI88" i="1"/>
  <c r="X88" i="1"/>
  <c r="W88" i="1"/>
  <c r="P88" i="1"/>
  <c r="O88" i="1"/>
  <c r="N88" i="1"/>
  <c r="M88" i="1"/>
  <c r="L88" i="1"/>
  <c r="K88" i="1"/>
  <c r="J88" i="1"/>
  <c r="AI87" i="1"/>
  <c r="W87" i="1"/>
  <c r="X87" i="1" s="1"/>
  <c r="P87" i="1"/>
  <c r="O87" i="1"/>
  <c r="N87" i="1"/>
  <c r="M87" i="1"/>
  <c r="L87" i="1"/>
  <c r="K87" i="1"/>
  <c r="J87" i="1"/>
  <c r="AI86" i="1"/>
  <c r="W86" i="1"/>
  <c r="X86" i="1" s="1"/>
  <c r="P86" i="1"/>
  <c r="O86" i="1"/>
  <c r="N86" i="1"/>
  <c r="M86" i="1"/>
  <c r="L86" i="1"/>
  <c r="K86" i="1"/>
  <c r="J86" i="1"/>
  <c r="AI85" i="1"/>
  <c r="X85" i="1"/>
  <c r="W85" i="1"/>
  <c r="P85" i="1"/>
  <c r="O85" i="1"/>
  <c r="N85" i="1"/>
  <c r="M85" i="1"/>
  <c r="L85" i="1"/>
  <c r="K85" i="1"/>
  <c r="J85" i="1"/>
  <c r="AI84" i="1"/>
  <c r="W84" i="1"/>
  <c r="X84" i="1" s="1"/>
  <c r="P84" i="1"/>
  <c r="O84" i="1"/>
  <c r="N84" i="1"/>
  <c r="M84" i="1"/>
  <c r="L84" i="1"/>
  <c r="K84" i="1"/>
  <c r="J84" i="1"/>
  <c r="AI83" i="1"/>
  <c r="W83" i="1"/>
  <c r="X83" i="1" s="1"/>
  <c r="P83" i="1"/>
  <c r="O83" i="1"/>
  <c r="N83" i="1"/>
  <c r="M83" i="1"/>
  <c r="L83" i="1"/>
  <c r="K83" i="1"/>
  <c r="J83" i="1"/>
  <c r="AI82" i="1"/>
  <c r="W82" i="1"/>
  <c r="X82" i="1" s="1"/>
  <c r="P82" i="1"/>
  <c r="O82" i="1"/>
  <c r="N82" i="1"/>
  <c r="M82" i="1"/>
  <c r="L82" i="1"/>
  <c r="K82" i="1"/>
  <c r="J82" i="1"/>
  <c r="AI81" i="1"/>
  <c r="X81" i="1"/>
  <c r="W81" i="1"/>
  <c r="P81" i="1"/>
  <c r="O81" i="1"/>
  <c r="N81" i="1"/>
  <c r="M81" i="1"/>
  <c r="L81" i="1"/>
  <c r="K81" i="1"/>
  <c r="J81" i="1"/>
  <c r="AI80" i="1"/>
  <c r="W80" i="1"/>
  <c r="X80" i="1" s="1"/>
  <c r="P80" i="1"/>
  <c r="O80" i="1"/>
  <c r="N80" i="1"/>
  <c r="M80" i="1"/>
  <c r="L80" i="1"/>
  <c r="K80" i="1"/>
  <c r="J80" i="1"/>
  <c r="AI79" i="1"/>
  <c r="W79" i="1"/>
  <c r="X79" i="1" s="1"/>
  <c r="P79" i="1"/>
  <c r="O79" i="1"/>
  <c r="N79" i="1"/>
  <c r="M79" i="1"/>
  <c r="L79" i="1"/>
  <c r="K79" i="1"/>
  <c r="J79" i="1"/>
  <c r="AI78" i="1"/>
  <c r="X78" i="1"/>
  <c r="W78" i="1"/>
  <c r="P78" i="1"/>
  <c r="O78" i="1"/>
  <c r="N78" i="1"/>
  <c r="M78" i="1"/>
  <c r="L78" i="1"/>
  <c r="K78" i="1"/>
  <c r="J78" i="1"/>
  <c r="AI77" i="1"/>
  <c r="W77" i="1"/>
  <c r="X77" i="1" s="1"/>
  <c r="P77" i="1"/>
  <c r="O77" i="1"/>
  <c r="N77" i="1"/>
  <c r="M77" i="1"/>
  <c r="L77" i="1"/>
  <c r="K77" i="1"/>
  <c r="J77" i="1"/>
  <c r="AI76" i="1"/>
  <c r="X76" i="1"/>
  <c r="W76" i="1"/>
  <c r="P76" i="1"/>
  <c r="O76" i="1"/>
  <c r="N76" i="1"/>
  <c r="M76" i="1"/>
  <c r="L76" i="1"/>
  <c r="K76" i="1"/>
  <c r="J76" i="1"/>
  <c r="AI75" i="1"/>
  <c r="W75" i="1"/>
  <c r="X75" i="1" s="1"/>
  <c r="P75" i="1"/>
  <c r="O75" i="1"/>
  <c r="N75" i="1"/>
  <c r="M75" i="1"/>
  <c r="L75" i="1"/>
  <c r="K75" i="1"/>
  <c r="J75" i="1"/>
  <c r="AI74" i="1"/>
  <c r="X74" i="1"/>
  <c r="W74" i="1"/>
  <c r="P74" i="1"/>
  <c r="O74" i="1"/>
  <c r="N74" i="1"/>
  <c r="M74" i="1"/>
  <c r="L74" i="1"/>
  <c r="K74" i="1"/>
  <c r="J74" i="1"/>
  <c r="AI73" i="1"/>
  <c r="W73" i="1"/>
  <c r="X73" i="1" s="1"/>
  <c r="P73" i="1"/>
  <c r="O73" i="1"/>
  <c r="N73" i="1"/>
  <c r="M73" i="1"/>
  <c r="L73" i="1"/>
  <c r="K73" i="1"/>
  <c r="J73" i="1"/>
  <c r="AI72" i="1"/>
  <c r="X72" i="1"/>
  <c r="W72" i="1"/>
  <c r="P72" i="1"/>
  <c r="O72" i="1"/>
  <c r="N72" i="1"/>
  <c r="M72" i="1"/>
  <c r="L72" i="1"/>
  <c r="K72" i="1"/>
  <c r="J72" i="1"/>
  <c r="AI71" i="1"/>
  <c r="W71" i="1"/>
  <c r="X71" i="1" s="1"/>
  <c r="P71" i="1"/>
  <c r="O71" i="1"/>
  <c r="N71" i="1"/>
  <c r="M71" i="1"/>
  <c r="L71" i="1"/>
  <c r="K71" i="1"/>
  <c r="J71" i="1"/>
  <c r="AI70" i="1"/>
  <c r="W70" i="1"/>
  <c r="X70" i="1" s="1"/>
  <c r="P70" i="1"/>
  <c r="O70" i="1"/>
  <c r="N70" i="1"/>
  <c r="M70" i="1"/>
  <c r="L70" i="1"/>
  <c r="K70" i="1"/>
  <c r="J70" i="1"/>
  <c r="AI69" i="1"/>
  <c r="X69" i="1"/>
  <c r="W69" i="1"/>
  <c r="P69" i="1"/>
  <c r="O69" i="1"/>
  <c r="N69" i="1"/>
  <c r="M69" i="1"/>
  <c r="L69" i="1"/>
  <c r="K69" i="1"/>
  <c r="J69" i="1"/>
  <c r="AI68" i="1"/>
  <c r="W68" i="1"/>
  <c r="X68" i="1" s="1"/>
  <c r="P68" i="1"/>
  <c r="O68" i="1"/>
  <c r="N68" i="1"/>
  <c r="M68" i="1"/>
  <c r="L68" i="1"/>
  <c r="K68" i="1"/>
  <c r="J68" i="1"/>
  <c r="AI67" i="1"/>
  <c r="W67" i="1"/>
  <c r="X67" i="1" s="1"/>
  <c r="P67" i="1"/>
  <c r="O67" i="1"/>
  <c r="N67" i="1"/>
  <c r="M67" i="1"/>
  <c r="L67" i="1"/>
  <c r="K67" i="1"/>
  <c r="J67" i="1"/>
  <c r="AI66" i="1"/>
  <c r="W66" i="1"/>
  <c r="X66" i="1" s="1"/>
  <c r="P66" i="1"/>
  <c r="O66" i="1"/>
  <c r="N66" i="1"/>
  <c r="M66" i="1"/>
  <c r="L66" i="1"/>
  <c r="K66" i="1"/>
  <c r="J66" i="1"/>
  <c r="AI65" i="1"/>
  <c r="X65" i="1"/>
  <c r="W65" i="1"/>
  <c r="P65" i="1"/>
  <c r="O65" i="1"/>
  <c r="N65" i="1"/>
  <c r="M65" i="1"/>
  <c r="L65" i="1"/>
  <c r="K65" i="1"/>
  <c r="J65" i="1"/>
  <c r="AI64" i="1"/>
  <c r="W64" i="1"/>
  <c r="X64" i="1" s="1"/>
  <c r="P64" i="1"/>
  <c r="O64" i="1"/>
  <c r="N64" i="1"/>
  <c r="M64" i="1"/>
  <c r="L64" i="1"/>
  <c r="K64" i="1"/>
  <c r="J64" i="1"/>
  <c r="AI63" i="1"/>
  <c r="W63" i="1"/>
  <c r="X63" i="1" s="1"/>
  <c r="P63" i="1"/>
  <c r="O63" i="1"/>
  <c r="N63" i="1"/>
  <c r="M63" i="1"/>
  <c r="L63" i="1"/>
  <c r="K63" i="1"/>
  <c r="J63" i="1"/>
  <c r="AI62" i="1"/>
  <c r="X62" i="1"/>
  <c r="W62" i="1"/>
  <c r="T62" i="1"/>
  <c r="P62" i="1"/>
  <c r="O62" i="1"/>
  <c r="N62" i="1"/>
  <c r="M62" i="1"/>
  <c r="L62" i="1"/>
  <c r="K62" i="1"/>
  <c r="J62" i="1"/>
  <c r="AI61" i="1"/>
  <c r="X61" i="1"/>
  <c r="W61" i="1"/>
  <c r="P61" i="1"/>
  <c r="O61" i="1"/>
  <c r="N61" i="1"/>
  <c r="M61" i="1"/>
  <c r="L61" i="1"/>
  <c r="K61" i="1"/>
  <c r="J61" i="1"/>
  <c r="AI60" i="1"/>
  <c r="X60" i="1"/>
  <c r="W60" i="1"/>
  <c r="P60" i="1"/>
  <c r="O60" i="1"/>
  <c r="N60" i="1"/>
  <c r="M60" i="1"/>
  <c r="L60" i="1"/>
  <c r="K60" i="1"/>
  <c r="J60" i="1"/>
  <c r="AI59" i="1"/>
  <c r="X59" i="1"/>
  <c r="W59" i="1"/>
  <c r="P59" i="1"/>
  <c r="O59" i="1"/>
  <c r="N59" i="1"/>
  <c r="M59" i="1"/>
  <c r="L59" i="1"/>
  <c r="K59" i="1"/>
  <c r="J59" i="1"/>
  <c r="AI58" i="1"/>
  <c r="W58" i="1"/>
  <c r="X58" i="1" s="1"/>
  <c r="P58" i="1"/>
  <c r="O58" i="1"/>
  <c r="N58" i="1"/>
  <c r="M58" i="1"/>
  <c r="L58" i="1"/>
  <c r="K58" i="1"/>
  <c r="J58" i="1"/>
  <c r="AI57" i="1"/>
  <c r="X57" i="1"/>
  <c r="W57" i="1"/>
  <c r="P57" i="1"/>
  <c r="O57" i="1"/>
  <c r="N57" i="1"/>
  <c r="M57" i="1"/>
  <c r="L57" i="1"/>
  <c r="K57" i="1"/>
  <c r="J57" i="1"/>
  <c r="AI56" i="1"/>
  <c r="X56" i="1"/>
  <c r="W56" i="1"/>
  <c r="P56" i="1"/>
  <c r="O56" i="1"/>
  <c r="N56" i="1"/>
  <c r="M56" i="1"/>
  <c r="L56" i="1"/>
  <c r="K56" i="1"/>
  <c r="J56" i="1"/>
  <c r="AI55" i="1"/>
  <c r="X55" i="1"/>
  <c r="W55" i="1"/>
  <c r="P55" i="1"/>
  <c r="O55" i="1"/>
  <c r="N55" i="1"/>
  <c r="M55" i="1"/>
  <c r="L55" i="1"/>
  <c r="K55" i="1"/>
  <c r="J55" i="1"/>
  <c r="AI54" i="1"/>
  <c r="W54" i="1"/>
  <c r="X54" i="1" s="1"/>
  <c r="P54" i="1"/>
  <c r="O54" i="1"/>
  <c r="N54" i="1"/>
  <c r="M54" i="1"/>
  <c r="L54" i="1"/>
  <c r="K54" i="1"/>
  <c r="J54" i="1"/>
  <c r="AI53" i="1"/>
  <c r="X53" i="1"/>
  <c r="W53" i="1"/>
  <c r="P53" i="1"/>
  <c r="O53" i="1"/>
  <c r="N53" i="1"/>
  <c r="M53" i="1"/>
  <c r="L53" i="1"/>
  <c r="K53" i="1"/>
  <c r="J53" i="1"/>
  <c r="AI52" i="1"/>
  <c r="X52" i="1"/>
  <c r="W52" i="1"/>
  <c r="P52" i="1"/>
  <c r="O52" i="1"/>
  <c r="N52" i="1"/>
  <c r="M52" i="1"/>
  <c r="L52" i="1"/>
  <c r="K52" i="1"/>
  <c r="J52" i="1"/>
  <c r="AI51" i="1"/>
  <c r="X51" i="1"/>
  <c r="W51" i="1"/>
  <c r="P51" i="1"/>
  <c r="O51" i="1"/>
  <c r="N51" i="1"/>
  <c r="M51" i="1"/>
  <c r="L51" i="1"/>
  <c r="K51" i="1"/>
  <c r="J51" i="1"/>
  <c r="AI50" i="1"/>
  <c r="W50" i="1"/>
  <c r="X50" i="1" s="1"/>
  <c r="P50" i="1"/>
  <c r="O50" i="1"/>
  <c r="N50" i="1"/>
  <c r="M50" i="1"/>
  <c r="L50" i="1"/>
  <c r="K50" i="1"/>
  <c r="J50" i="1"/>
  <c r="AI49" i="1"/>
  <c r="X49" i="1"/>
  <c r="W49" i="1"/>
  <c r="P49" i="1"/>
  <c r="O49" i="1"/>
  <c r="N49" i="1"/>
  <c r="M49" i="1"/>
  <c r="L49" i="1"/>
  <c r="K49" i="1"/>
  <c r="J49" i="1"/>
  <c r="AI48" i="1"/>
  <c r="X48" i="1"/>
  <c r="W48" i="1"/>
  <c r="P48" i="1"/>
  <c r="O48" i="1"/>
  <c r="N48" i="1"/>
  <c r="M48" i="1"/>
  <c r="L48" i="1"/>
  <c r="K48" i="1"/>
  <c r="J48" i="1"/>
  <c r="AI47" i="1"/>
  <c r="X47" i="1"/>
  <c r="W47" i="1"/>
  <c r="P47" i="1"/>
  <c r="O47" i="1"/>
  <c r="N47" i="1"/>
  <c r="M47" i="1"/>
  <c r="L47" i="1"/>
  <c r="K47" i="1"/>
  <c r="J47" i="1"/>
  <c r="AI46" i="1"/>
  <c r="W46" i="1"/>
  <c r="X46" i="1" s="1"/>
  <c r="P46" i="1"/>
  <c r="O46" i="1"/>
  <c r="N46" i="1"/>
  <c r="M46" i="1"/>
  <c r="L46" i="1"/>
  <c r="K46" i="1"/>
  <c r="J46" i="1"/>
  <c r="AI45" i="1"/>
  <c r="X45" i="1"/>
  <c r="W45" i="1"/>
  <c r="P45" i="1"/>
  <c r="O45" i="1"/>
  <c r="N45" i="1"/>
  <c r="M45" i="1"/>
  <c r="L45" i="1"/>
  <c r="K45" i="1"/>
  <c r="J45" i="1"/>
  <c r="AI44" i="1"/>
  <c r="X44" i="1"/>
  <c r="W44" i="1"/>
  <c r="P44" i="1"/>
  <c r="O44" i="1"/>
  <c r="N44" i="1"/>
  <c r="M44" i="1"/>
  <c r="L44" i="1"/>
  <c r="K44" i="1"/>
  <c r="J44" i="1"/>
  <c r="AI43" i="1"/>
  <c r="X43" i="1"/>
  <c r="W43" i="1"/>
  <c r="P43" i="1"/>
  <c r="O43" i="1"/>
  <c r="N43" i="1"/>
  <c r="M43" i="1"/>
  <c r="L43" i="1"/>
  <c r="K43" i="1"/>
  <c r="J43" i="1"/>
  <c r="AI42" i="1"/>
  <c r="W42" i="1"/>
  <c r="X42" i="1" s="1"/>
  <c r="P42" i="1"/>
  <c r="O42" i="1"/>
  <c r="N42" i="1"/>
  <c r="M42" i="1"/>
  <c r="L42" i="1"/>
  <c r="K42" i="1"/>
  <c r="J42" i="1"/>
  <c r="AH41" i="1"/>
  <c r="AI41" i="1" s="1"/>
  <c r="X41" i="1"/>
  <c r="W41" i="1"/>
  <c r="P41" i="1"/>
  <c r="O41" i="1"/>
  <c r="N41" i="1"/>
  <c r="M41" i="1"/>
  <c r="L41" i="1"/>
  <c r="K41" i="1"/>
  <c r="J41" i="1"/>
  <c r="AI40" i="1"/>
  <c r="W40" i="1"/>
  <c r="X40" i="1" s="1"/>
  <c r="P40" i="1"/>
  <c r="O40" i="1"/>
  <c r="N40" i="1"/>
  <c r="M40" i="1"/>
  <c r="L40" i="1"/>
  <c r="K40" i="1"/>
  <c r="J40" i="1"/>
  <c r="AI39" i="1"/>
  <c r="X39" i="1"/>
  <c r="W39" i="1"/>
  <c r="P39" i="1"/>
  <c r="O39" i="1"/>
  <c r="N39" i="1"/>
  <c r="M39" i="1"/>
  <c r="L39" i="1"/>
  <c r="K39" i="1"/>
  <c r="J39" i="1"/>
  <c r="AI38" i="1"/>
  <c r="W38" i="1"/>
  <c r="X38" i="1" s="1"/>
  <c r="P38" i="1"/>
  <c r="O38" i="1"/>
  <c r="N38" i="1"/>
  <c r="M38" i="1"/>
  <c r="L38" i="1"/>
  <c r="K38" i="1"/>
  <c r="J38" i="1"/>
  <c r="AI37" i="1"/>
  <c r="X37" i="1"/>
  <c r="W37" i="1"/>
  <c r="P37" i="1"/>
  <c r="O37" i="1"/>
  <c r="N37" i="1"/>
  <c r="M37" i="1"/>
  <c r="L37" i="1"/>
  <c r="K37" i="1"/>
  <c r="J37" i="1"/>
  <c r="AI36" i="1"/>
  <c r="W36" i="1"/>
  <c r="X36" i="1" s="1"/>
  <c r="P36" i="1"/>
  <c r="O36" i="1"/>
  <c r="N36" i="1"/>
  <c r="M36" i="1"/>
  <c r="L36" i="1"/>
  <c r="K36" i="1"/>
  <c r="J36" i="1"/>
  <c r="AI35" i="1"/>
  <c r="W35" i="1"/>
  <c r="X35" i="1" s="1"/>
  <c r="P35" i="1"/>
  <c r="O35" i="1"/>
  <c r="N35" i="1"/>
  <c r="M35" i="1"/>
  <c r="L35" i="1"/>
  <c r="K35" i="1"/>
  <c r="J35" i="1"/>
  <c r="AI34" i="1"/>
  <c r="X34" i="1"/>
  <c r="W34" i="1"/>
  <c r="P34" i="1"/>
  <c r="O34" i="1"/>
  <c r="N34" i="1"/>
  <c r="M34" i="1"/>
  <c r="L34" i="1"/>
  <c r="K34" i="1"/>
  <c r="J34" i="1"/>
  <c r="AI33" i="1"/>
  <c r="W33" i="1"/>
  <c r="X33" i="1" s="1"/>
  <c r="P33" i="1"/>
  <c r="O33" i="1"/>
  <c r="N33" i="1"/>
  <c r="M33" i="1"/>
  <c r="L33" i="1"/>
  <c r="K33" i="1"/>
  <c r="J33" i="1"/>
  <c r="X32" i="1"/>
  <c r="W32" i="1"/>
  <c r="P32" i="1"/>
  <c r="O32" i="1"/>
  <c r="N32" i="1"/>
  <c r="M32" i="1"/>
  <c r="L32" i="1"/>
  <c r="K32" i="1"/>
  <c r="J32" i="1"/>
  <c r="AI31" i="1"/>
  <c r="W31" i="1"/>
  <c r="X31" i="1" s="1"/>
  <c r="P31" i="1"/>
  <c r="O31" i="1"/>
  <c r="N31" i="1"/>
  <c r="M31" i="1"/>
  <c r="L31" i="1"/>
  <c r="K31" i="1"/>
  <c r="J31" i="1"/>
  <c r="W30" i="1"/>
  <c r="X30" i="1" s="1"/>
  <c r="P30" i="1"/>
  <c r="O30" i="1"/>
  <c r="N30" i="1"/>
  <c r="M30" i="1"/>
  <c r="L30" i="1"/>
  <c r="K30" i="1"/>
  <c r="J30" i="1"/>
  <c r="AI29" i="1"/>
  <c r="X29" i="1"/>
  <c r="W29" i="1"/>
  <c r="P29" i="1"/>
  <c r="O29" i="1"/>
  <c r="N29" i="1"/>
  <c r="M29" i="1"/>
  <c r="L29" i="1"/>
  <c r="K29" i="1"/>
  <c r="J29" i="1"/>
  <c r="AI28" i="1"/>
  <c r="W28" i="1"/>
  <c r="X28" i="1" s="1"/>
  <c r="P28" i="1"/>
  <c r="O28" i="1"/>
  <c r="N28" i="1"/>
  <c r="M28" i="1"/>
  <c r="L28" i="1"/>
  <c r="K28" i="1"/>
  <c r="J28" i="1"/>
  <c r="AI27" i="1"/>
  <c r="W27" i="1"/>
  <c r="X27" i="1" s="1"/>
  <c r="P27" i="1"/>
  <c r="O27" i="1"/>
  <c r="N27" i="1"/>
  <c r="M27" i="1"/>
  <c r="L27" i="1"/>
  <c r="K27" i="1"/>
  <c r="J27" i="1"/>
  <c r="AI26" i="1"/>
  <c r="W26" i="1"/>
  <c r="X26" i="1" s="1"/>
  <c r="P26" i="1"/>
  <c r="O26" i="1"/>
  <c r="N26" i="1"/>
  <c r="M26" i="1"/>
  <c r="L26" i="1"/>
  <c r="K26" i="1"/>
  <c r="J26" i="1"/>
  <c r="AI25" i="1"/>
  <c r="X25" i="1"/>
  <c r="W25" i="1"/>
  <c r="P25" i="1"/>
  <c r="O25" i="1"/>
  <c r="N25" i="1"/>
  <c r="M25" i="1"/>
  <c r="L25" i="1"/>
  <c r="K25" i="1"/>
  <c r="J25" i="1"/>
  <c r="AI24" i="1"/>
  <c r="W24" i="1"/>
  <c r="X24" i="1" s="1"/>
  <c r="P24" i="1"/>
  <c r="O24" i="1"/>
  <c r="N24" i="1"/>
  <c r="M24" i="1"/>
  <c r="L24" i="1"/>
  <c r="K24" i="1"/>
  <c r="J24" i="1"/>
  <c r="AI23" i="1"/>
  <c r="W23" i="1"/>
  <c r="X23" i="1" s="1"/>
  <c r="P23" i="1"/>
  <c r="O23" i="1"/>
  <c r="N23" i="1"/>
  <c r="M23" i="1"/>
  <c r="L23" i="1"/>
  <c r="K23" i="1"/>
  <c r="J23" i="1"/>
  <c r="AI22" i="1"/>
  <c r="X22" i="1"/>
  <c r="W22" i="1"/>
  <c r="P22" i="1"/>
  <c r="O22" i="1"/>
  <c r="N22" i="1"/>
  <c r="M22" i="1"/>
  <c r="L22" i="1"/>
  <c r="K22" i="1"/>
  <c r="J22" i="1"/>
  <c r="AI21" i="1"/>
  <c r="W21" i="1"/>
  <c r="X21" i="1" s="1"/>
  <c r="P21" i="1"/>
  <c r="O21" i="1"/>
  <c r="N21" i="1"/>
  <c r="M21" i="1"/>
  <c r="L21" i="1"/>
  <c r="K21" i="1"/>
  <c r="J21" i="1"/>
  <c r="AI20" i="1"/>
  <c r="X20" i="1"/>
  <c r="W20" i="1"/>
  <c r="P20" i="1"/>
  <c r="O20" i="1"/>
  <c r="N20" i="1"/>
  <c r="M20" i="1"/>
  <c r="L20" i="1"/>
  <c r="K20" i="1"/>
  <c r="J20" i="1"/>
  <c r="AI19" i="1"/>
  <c r="W19" i="1"/>
  <c r="X19" i="1" s="1"/>
  <c r="P19" i="1"/>
  <c r="O19" i="1"/>
  <c r="N19" i="1"/>
  <c r="M19" i="1"/>
  <c r="L19" i="1"/>
  <c r="K19" i="1"/>
  <c r="J19" i="1"/>
  <c r="AI18" i="1"/>
  <c r="X18" i="1"/>
  <c r="W18" i="1"/>
  <c r="P18" i="1"/>
  <c r="O18" i="1"/>
  <c r="N18" i="1"/>
  <c r="M18" i="1"/>
  <c r="L18" i="1"/>
  <c r="K18" i="1"/>
  <c r="J18" i="1"/>
  <c r="AI17" i="1"/>
  <c r="W17" i="1"/>
  <c r="X17" i="1" s="1"/>
  <c r="P17" i="1"/>
  <c r="O17" i="1"/>
  <c r="N17" i="1"/>
  <c r="M17" i="1"/>
  <c r="L17" i="1"/>
  <c r="K17" i="1"/>
  <c r="J17" i="1"/>
  <c r="AI16" i="1"/>
  <c r="X16" i="1"/>
  <c r="W16" i="1"/>
  <c r="P16" i="1"/>
  <c r="O16" i="1"/>
  <c r="N16" i="1"/>
  <c r="M16" i="1"/>
  <c r="L16" i="1"/>
  <c r="K16" i="1"/>
  <c r="J16" i="1"/>
  <c r="AI15" i="1"/>
  <c r="W15" i="1"/>
  <c r="X15" i="1" s="1"/>
  <c r="P15" i="1"/>
  <c r="O15" i="1"/>
  <c r="N15" i="1"/>
  <c r="M15" i="1"/>
  <c r="L15" i="1"/>
  <c r="K15" i="1"/>
  <c r="J15" i="1"/>
  <c r="AI14" i="1"/>
  <c r="W14" i="1"/>
  <c r="X14" i="1" s="1"/>
  <c r="P14" i="1"/>
  <c r="O14" i="1"/>
  <c r="N14" i="1"/>
  <c r="M14" i="1"/>
  <c r="L14" i="1"/>
  <c r="K14" i="1"/>
  <c r="J14" i="1"/>
  <c r="AI13" i="1"/>
  <c r="X13" i="1"/>
  <c r="W13" i="1"/>
  <c r="P13" i="1"/>
  <c r="O13" i="1"/>
  <c r="N13" i="1"/>
  <c r="M13" i="1"/>
  <c r="L13" i="1"/>
  <c r="K13" i="1"/>
  <c r="J13" i="1"/>
  <c r="AI12" i="1"/>
  <c r="W12" i="1"/>
  <c r="X12" i="1" s="1"/>
  <c r="P12" i="1"/>
  <c r="O12" i="1"/>
  <c r="N12" i="1"/>
  <c r="M12" i="1"/>
  <c r="L12" i="1"/>
  <c r="K12" i="1"/>
  <c r="J12" i="1"/>
  <c r="AI11" i="1"/>
  <c r="W11" i="1"/>
  <c r="X11" i="1" s="1"/>
  <c r="P11" i="1"/>
  <c r="O11" i="1"/>
  <c r="N11" i="1"/>
  <c r="M11" i="1"/>
  <c r="L11" i="1"/>
  <c r="K11" i="1"/>
  <c r="J11" i="1"/>
  <c r="AI10" i="1"/>
  <c r="W10" i="1"/>
  <c r="X10" i="1" s="1"/>
  <c r="P10" i="1"/>
  <c r="O10" i="1"/>
  <c r="N10" i="1"/>
  <c r="M10" i="1"/>
  <c r="L10" i="1"/>
  <c r="K10" i="1"/>
  <c r="J10" i="1"/>
  <c r="AI9" i="1"/>
  <c r="X9" i="1"/>
  <c r="W9" i="1"/>
  <c r="P9" i="1"/>
  <c r="O9" i="1"/>
  <c r="N9" i="1"/>
  <c r="M9" i="1"/>
  <c r="L9" i="1"/>
  <c r="K9" i="1"/>
  <c r="J9" i="1"/>
  <c r="AI8" i="1"/>
  <c r="W8" i="1"/>
  <c r="X8" i="1" s="1"/>
  <c r="P8" i="1"/>
  <c r="O8" i="1"/>
  <c r="N8" i="1"/>
  <c r="M8" i="1"/>
  <c r="L8" i="1"/>
  <c r="K8" i="1"/>
  <c r="J8" i="1"/>
  <c r="AI7" i="1"/>
  <c r="W7" i="1"/>
  <c r="X7" i="1" s="1"/>
  <c r="P7" i="1"/>
  <c r="O7" i="1"/>
  <c r="N7" i="1"/>
  <c r="M7" i="1"/>
  <c r="L7" i="1"/>
  <c r="K7" i="1"/>
  <c r="J7" i="1"/>
  <c r="AI6" i="1"/>
  <c r="X6" i="1"/>
  <c r="W6" i="1"/>
  <c r="P6" i="1"/>
  <c r="O6" i="1"/>
  <c r="N6" i="1"/>
  <c r="M6" i="1"/>
  <c r="L6" i="1"/>
  <c r="K6" i="1"/>
  <c r="J6" i="1"/>
  <c r="AI5" i="1"/>
  <c r="W5" i="1"/>
  <c r="X5" i="1" s="1"/>
  <c r="P5" i="1"/>
  <c r="O5" i="1"/>
  <c r="N5" i="1"/>
  <c r="M5" i="1"/>
  <c r="L5" i="1"/>
  <c r="K5" i="1"/>
  <c r="J5" i="1"/>
  <c r="AI4" i="1"/>
  <c r="X4" i="1"/>
  <c r="W4" i="1"/>
  <c r="P4" i="1"/>
  <c r="O4" i="1"/>
  <c r="N4" i="1"/>
  <c r="M4" i="1"/>
  <c r="L4" i="1"/>
  <c r="K4" i="1"/>
  <c r="J4" i="1"/>
  <c r="AI3" i="1"/>
  <c r="W3" i="1"/>
  <c r="X3" i="1" s="1"/>
  <c r="P3" i="1"/>
  <c r="O3" i="1"/>
  <c r="N3" i="1"/>
  <c r="M3" i="1"/>
  <c r="L3" i="1"/>
  <c r="K3" i="1"/>
  <c r="J3" i="1"/>
  <c r="W2" i="1"/>
  <c r="X2" i="1" s="1"/>
  <c r="T2" i="1"/>
  <c r="P2" i="1"/>
  <c r="O2" i="1"/>
  <c r="N2" i="1"/>
  <c r="M2" i="1"/>
  <c r="L2" i="1"/>
  <c r="K2" i="1"/>
  <c r="J2" i="1"/>
  <c r="AI792" i="1" l="1"/>
  <c r="AH792" i="1"/>
  <c r="AI799" i="1"/>
  <c r="AH799" i="1"/>
  <c r="AH900" i="1"/>
  <c r="AI900" i="1"/>
  <c r="AI519" i="1"/>
  <c r="AH519" i="1"/>
  <c r="AH809" i="1"/>
  <c r="AI809" i="1"/>
  <c r="AH513" i="1"/>
  <c r="AI513" i="1"/>
  <c r="AH540" i="1"/>
  <c r="AI540" i="1"/>
  <c r="AH852" i="1"/>
  <c r="AI852" i="1"/>
  <c r="AH791" i="1"/>
  <c r="AI791" i="1"/>
  <c r="AI734" i="1"/>
  <c r="AH734" i="1"/>
  <c r="AI862" i="1"/>
  <c r="AH862" i="1"/>
  <c r="AI822" i="1"/>
  <c r="AH822" i="1"/>
  <c r="AH830" i="1"/>
  <c r="AI830" i="1"/>
  <c r="AH500" i="1"/>
  <c r="AI500" i="1"/>
  <c r="AI814" i="1"/>
  <c r="AH814" i="1"/>
  <c r="AH499" i="1"/>
  <c r="AI499" i="1"/>
  <c r="AH837" i="1"/>
  <c r="AI837" i="1"/>
  <c r="AI902" i="1"/>
  <c r="AH902" i="1"/>
  <c r="AH817" i="1"/>
  <c r="AI817" i="1"/>
  <c r="AI736" i="1"/>
  <c r="AH736" i="1"/>
  <c r="AI790" i="1"/>
  <c r="AH790" i="1"/>
  <c r="AI567" i="1"/>
  <c r="AH567" i="1"/>
  <c r="AH794" i="1"/>
  <c r="AI794" i="1"/>
  <c r="AH788" i="1"/>
  <c r="AI788" i="1"/>
  <c r="AI562" i="1"/>
  <c r="AH562" i="1"/>
  <c r="AH904" i="1"/>
  <c r="AI904" i="1"/>
  <c r="AH731" i="1"/>
  <c r="AI731" i="1"/>
  <c r="AH812" i="1"/>
  <c r="AI812" i="1"/>
  <c r="AH502" i="1"/>
  <c r="AI502" i="1"/>
  <c r="AH835" i="1"/>
  <c r="AI835" i="1"/>
  <c r="AH849" i="1"/>
  <c r="AI849" i="1"/>
  <c r="AH727" i="1"/>
  <c r="AI727" i="1"/>
  <c r="AI787" i="1"/>
  <c r="AH787" i="1"/>
  <c r="AH843" i="1"/>
  <c r="AI843" i="1"/>
  <c r="AI462" i="1"/>
  <c r="AH462" i="1"/>
  <c r="AH901" i="1"/>
  <c r="AI901" i="1"/>
  <c r="AI851" i="1"/>
  <c r="AH851" i="1"/>
  <c r="AI821" i="1"/>
  <c r="AH821" i="1"/>
  <c r="AI795" i="1"/>
  <c r="AH795" i="1"/>
  <c r="AI728" i="1"/>
  <c r="AH728" i="1"/>
  <c r="AI829" i="1"/>
  <c r="AH829" i="1"/>
  <c r="AI813" i="1"/>
  <c r="AH813" i="1"/>
  <c r="AH810" i="1"/>
  <c r="AI810" i="1"/>
  <c r="AH804" i="1"/>
  <c r="AI804" i="1"/>
  <c r="AI867" i="1"/>
  <c r="AH867" i="1"/>
  <c r="AH566" i="1"/>
  <c r="AI566" i="1"/>
  <c r="AH565" i="1"/>
  <c r="AI565" i="1"/>
  <c r="AH487" i="1"/>
  <c r="AI487" i="1"/>
  <c r="AH890" i="1"/>
  <c r="AI890" i="1"/>
  <c r="AI968" i="1"/>
  <c r="AH968" i="1"/>
  <c r="AH847" i="1"/>
  <c r="AI847" i="1"/>
  <c r="AH561" i="1"/>
  <c r="AI561" i="1"/>
  <c r="AI491" i="1"/>
  <c r="AH491" i="1"/>
  <c r="AH514" i="1"/>
  <c r="AI514" i="1"/>
  <c r="AH568" i="1"/>
  <c r="AI568" i="1"/>
  <c r="AH569" i="1"/>
  <c r="AI569" i="1"/>
  <c r="AH895" i="1"/>
  <c r="AI895" i="1"/>
  <c r="AH880" i="1"/>
  <c r="AI880" i="1"/>
  <c r="AI811" i="1"/>
  <c r="AH811" i="1"/>
  <c r="AH471" i="1"/>
  <c r="AI471" i="1"/>
  <c r="AH850" i="1"/>
  <c r="AI850" i="1"/>
  <c r="AI605" i="1"/>
  <c r="AH605" i="1"/>
  <c r="AH898" i="1"/>
  <c r="AI898" i="1"/>
  <c r="AI899" i="1"/>
  <c r="AH899" i="1"/>
  <c r="AH819" i="1"/>
  <c r="AI819" i="1"/>
  <c r="AH833" i="1"/>
  <c r="AI833" i="1"/>
  <c r="AI563" i="1"/>
  <c r="AH563" i="1"/>
  <c r="AH881" i="1"/>
  <c r="AI881" i="1"/>
  <c r="AH834" i="1"/>
  <c r="AI834" i="1"/>
  <c r="AI778" i="1"/>
  <c r="AH778" i="1"/>
  <c r="AH846" i="1"/>
  <c r="AI846" i="1"/>
  <c r="AI836" i="1"/>
  <c r="AH836" i="1"/>
  <c r="AH733" i="1"/>
  <c r="AI733" i="1"/>
  <c r="AI874" i="1"/>
  <c r="AH874" i="1"/>
  <c r="AH859" i="1"/>
  <c r="AI859" i="1"/>
  <c r="AH848" i="1"/>
  <c r="AI848" i="1"/>
  <c r="AH789" i="1"/>
  <c r="AI789" i="1"/>
  <c r="AI828" i="1"/>
  <c r="AH828" i="1"/>
  <c r="AI832" i="1"/>
  <c r="AH8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tc={B76D9F04-9AE2-41D3-85A2-B202C8B08C70}</author>
    <author>tc={2BC104B2-B6F0-4C06-B714-A2DEA17A49F8}</author>
    <author>tc={EC6410C1-C0B5-40CE-8D6E-590AE0834523}</author>
    <author>tc={69ED0ECB-4BA7-4985-B6C0-C15F4BB3EB9D}</author>
    <author>tc={1453B54E-39C0-4F74-A5BA-185D90ED36E3}</author>
    <author>tc={588CCFA6-EF68-4103-9680-1BF553E975B6}</author>
    <author>tc={AFA0773C-CAF1-4F2A-973B-0B17085A888D}</author>
    <author>tc={DF3F85B1-53C7-493C-8D6D-0C4F24CAB0BA}</author>
    <author>Alejandro Urbina Riquelme</author>
  </authors>
  <commentList>
    <comment ref="I512" authorId="0" shapeId="0" xr:uid="{B76D9F04-9AE2-41D3-85A2-B202C8B08C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ANTES 3047 / 5714
</t>
      </text>
    </comment>
    <comment ref="I523" authorId="1" shapeId="0" xr:uid="{2BC104B2-B6F0-4C06-B714-A2DEA17A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ANTES 3047 / 5714
</t>
      </text>
    </comment>
    <comment ref="I569" authorId="2" shapeId="0" xr:uid="{EC6410C1-C0B5-40CE-8D6E-590AE08345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ANTES 3047 / 5714
</t>
      </text>
    </comment>
    <comment ref="A651" authorId="3" shapeId="0" xr:uid="{69ED0ECB-4BA7-4985-B6C0-C15F4BB3EB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el anexo, ya se solicito a Jenifer el 24-09-2025</t>
      </text>
    </comment>
    <comment ref="I661" authorId="4" shapeId="0" xr:uid="{1453B54E-39C0-4F74-A5BA-185D90ED36E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ANTES 3047 / 5714
</t>
      </text>
    </comment>
    <comment ref="I717" authorId="5" shapeId="0" xr:uid="{588CCFA6-EF68-4103-9680-1BF553E975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ANTES 3047 / 5714
</t>
      </text>
    </comment>
    <comment ref="V770" authorId="6" shapeId="0" xr:uid="{AFA0773C-CAF1-4F2A-973B-0B17085A88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llegar completo, y es compensatorio</t>
      </text>
    </comment>
    <comment ref="I772" authorId="7" shapeId="0" xr:uid="{DF3F85B1-53C7-493C-8D6D-0C4F24CAB0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ANTES 3047 / 5714
</t>
      </text>
    </comment>
    <comment ref="I861" authorId="8" shapeId="0" xr:uid="{D39266F5-F06E-4F97-A10B-7FB4F55A7DF1}">
      <text>
        <r>
          <rPr>
            <b/>
            <sz val="9"/>
            <color indexed="81"/>
            <rFont val="Tahoma"/>
            <family val="2"/>
          </rPr>
          <t xml:space="preserve">Alejandro Urbina Riquelme:ahora Alvi 3232
</t>
        </r>
      </text>
    </comment>
  </commentList>
</comments>
</file>

<file path=xl/sharedStrings.xml><?xml version="1.0" encoding="utf-8"?>
<sst xmlns="http://schemas.openxmlformats.org/spreadsheetml/2006/main" count="9189" uniqueCount="340">
  <si>
    <t>EMPRESA</t>
  </si>
  <si>
    <t>ZONAL</t>
  </si>
  <si>
    <t>OPERACIONES</t>
  </si>
  <si>
    <t>AÑO</t>
  </si>
  <si>
    <t>COMENTARIOS</t>
  </si>
  <si>
    <t xml:space="preserve">TIPO DE CONTROL </t>
  </si>
  <si>
    <t>ENVIO SANITARIA</t>
  </si>
  <si>
    <t>ENVIO LOCAL</t>
  </si>
  <si>
    <t>TIENDA</t>
  </si>
  <si>
    <t>NOMBRE ESTABLECIMIENTO</t>
  </si>
  <si>
    <t>REGIÓN</t>
  </si>
  <si>
    <t>COMUNA</t>
  </si>
  <si>
    <t>DIRECCIÓN LOCAL</t>
  </si>
  <si>
    <t>RPM</t>
  </si>
  <si>
    <t>CONVENIO</t>
  </si>
  <si>
    <t>SANITARIA</t>
  </si>
  <si>
    <t xml:space="preserve">LABORATORIO </t>
  </si>
  <si>
    <t>TIPO DE MONITOREO</t>
  </si>
  <si>
    <t>Fecha de Notificación</t>
  </si>
  <si>
    <t>MES MUESTREO</t>
  </si>
  <si>
    <t xml:space="preserve">FECHA DE MUESTREO </t>
  </si>
  <si>
    <t>PARÁMETROS MONITOREADOS</t>
  </si>
  <si>
    <t>CUMPLIMIENTO</t>
  </si>
  <si>
    <t>D.S. 609</t>
  </si>
  <si>
    <t>ACEITES Y GRASAS (MG/L) (LM150)</t>
  </si>
  <si>
    <t xml:space="preserve">PH </t>
  </si>
  <si>
    <t>PODER ESPUMÓGENO (MM) (7)</t>
  </si>
  <si>
    <t>TEMPERATURA    (C°)</t>
  </si>
  <si>
    <t>DBO5 (MG/L) (300)</t>
  </si>
  <si>
    <t>FOSFORO (MG/L) (15)</t>
  </si>
  <si>
    <t>NITROGENO AMONIACAL (MG/L) (80)</t>
  </si>
  <si>
    <t>S. SEDIMENTABLES (MM/L) (20)</t>
  </si>
  <si>
    <t>SOLIDOS SUSPENDIDOS TOTALES (MG/L) (300)</t>
  </si>
  <si>
    <t>VOLUMEN DE DESCARGA DIARIA (M3/D)</t>
  </si>
  <si>
    <t>VOLUMEN DE DESCARGA MENSUAL (M3/M)</t>
  </si>
  <si>
    <t>ALUMINIO (MG/L)</t>
  </si>
  <si>
    <t>ARSÉNICO (MG/L)</t>
  </si>
  <si>
    <t>BORO (MG/L)</t>
  </si>
  <si>
    <t>CADMIO (MG/L)</t>
  </si>
  <si>
    <t>CIANURO (MG/L)</t>
  </si>
  <si>
    <t>ZINC (MG/L)</t>
  </si>
  <si>
    <t>COBRE (MG/L)</t>
  </si>
  <si>
    <t>CROMO TOTAL (MG/L)</t>
  </si>
  <si>
    <t>CROMO HEXAVALENTE (MG/L)</t>
  </si>
  <si>
    <t>HIDROCARBUROS TOTALES (MG/L)</t>
  </si>
  <si>
    <t>MANGANESO  (MG/L)</t>
  </si>
  <si>
    <t>MERCURIO (MG/L)</t>
  </si>
  <si>
    <t>NIQUEL (MG/L)</t>
  </si>
  <si>
    <t>PLOMO (MG/L)</t>
  </si>
  <si>
    <t>SULFATOS (MG/L)</t>
  </si>
  <si>
    <t>SULFUROS (MG/L)</t>
  </si>
  <si>
    <t>COMENTARIOS2</t>
  </si>
  <si>
    <t>RENDIC</t>
  </si>
  <si>
    <t>GONZALO ORTUZAR TORRES</t>
  </si>
  <si>
    <t>MAXIMINO BERRADE</t>
  </si>
  <si>
    <t>OK</t>
  </si>
  <si>
    <t>ENVIADO EVIDENCIAS SANITARIA</t>
  </si>
  <si>
    <t>ENVIADO AL LOCAL</t>
  </si>
  <si>
    <t>CONTROL DIRECTO</t>
  </si>
  <si>
    <t>RESUMEN</t>
  </si>
  <si>
    <t>MAYORISTA</t>
  </si>
  <si>
    <t>ENVIADO SANITARIA</t>
  </si>
  <si>
    <t>AGQ</t>
  </si>
  <si>
    <t>JULIO</t>
  </si>
  <si>
    <t>ALEJANDRO CARRASCO</t>
  </si>
  <si>
    <t>CONTROL INTERNO- FUERA DE RPM</t>
  </si>
  <si>
    <t>BIODIVERSA</t>
  </si>
  <si>
    <t>SEPTIEMBRE</t>
  </si>
  <si>
    <t>DQO: 538 mg/L</t>
  </si>
  <si>
    <t>CRISTIAN MIRANDA</t>
  </si>
  <si>
    <t>JUAN ALCALDE</t>
  </si>
  <si>
    <t>HIDROLAB</t>
  </si>
  <si>
    <t>OCTUBRE</t>
  </si>
  <si>
    <t>CARLOS ADRIASOLA</t>
  </si>
  <si>
    <t>FRANCISCO CHAPARRO</t>
  </si>
  <si>
    <t>NOVIEMBRE</t>
  </si>
  <si>
    <t>JOSE LUIS OLIVARES</t>
  </si>
  <si>
    <t>CLAUDIO MANSILLA</t>
  </si>
  <si>
    <t>SGS</t>
  </si>
  <si>
    <t>Detergente (SAAM): 1,38 mg/L</t>
  </si>
  <si>
    <t>CESAR CAMPOS</t>
  </si>
  <si>
    <t>JORGE CARRILLO</t>
  </si>
  <si>
    <t>ALEXANDER ATENCIO</t>
  </si>
  <si>
    <t>Detergente (SAAM): 9,83 mg/L</t>
  </si>
  <si>
    <t>CLORUROS: 259 mg/L</t>
  </si>
  <si>
    <t>CESMEC</t>
  </si>
  <si>
    <t>AUTOCONTROL</t>
  </si>
  <si>
    <t>-</t>
  </si>
  <si>
    <t>DICIEMBRE</t>
  </si>
  <si>
    <t>Detergente (SAAM): 2,51 mg/L</t>
  </si>
  <si>
    <t>JOSE CAMPODONICO</t>
  </si>
  <si>
    <t>DQO: 1.058 mg/L - NITROGENO TOTAL KJELDHAL: 63,70 mg/L</t>
  </si>
  <si>
    <t>DQO: 64 mg/L - NITROGENO TOTAL KJELDHAL: 13,85 mg/L</t>
  </si>
  <si>
    <t>ALBERTO ROSENBERG</t>
  </si>
  <si>
    <t>DQO: 726 mg/L - NITROGENO TOTAL KJELDHAL: 57 mg/L</t>
  </si>
  <si>
    <t>DQO: 600 mg/L - NITROGENO TOTAL KJELDHAL: 40,40 mg/L</t>
  </si>
  <si>
    <t>ENERO</t>
  </si>
  <si>
    <t>DETERGENTE (SAAM): 1,73 mg/L</t>
  </si>
  <si>
    <t>DETERGENTE (SAAM): 2,60 mg/L</t>
  </si>
  <si>
    <t>DETERGENTE (SAAM): 0,18 mg/L</t>
  </si>
  <si>
    <t>DETERGENTE (SAAM): 0,91 mg/L</t>
  </si>
  <si>
    <t>DETERGENTE (SAAM): 0,54 mg/L</t>
  </si>
  <si>
    <t>DETERGENTE (SAAM): 0,92 mg/L</t>
  </si>
  <si>
    <t>JOSE MORALES</t>
  </si>
  <si>
    <t>FRANCISCO CORTEZ</t>
  </si>
  <si>
    <t>ANAM</t>
  </si>
  <si>
    <t>DQO: 959 mg/L - Nitrogeno Total Kjeldhal: 41,15 mg/L</t>
  </si>
  <si>
    <t>DETERGENTE (SAAM): 4,40 mg/L</t>
  </si>
  <si>
    <t>DETERGENTE (SAAM): 1,82 mg/L</t>
  </si>
  <si>
    <t>DQO: 1160 mg/L - Nitrogeno Total Kjeldhal: 39,90 mg/L</t>
  </si>
  <si>
    <t>DETERGENTE (SAAM): 7,74 mg/L</t>
  </si>
  <si>
    <t>DETERGENTE (SAAM): 3,54 mg/L</t>
  </si>
  <si>
    <t>KARINA SANCHEZ</t>
  </si>
  <si>
    <t>AGUAS ANDINAS</t>
  </si>
  <si>
    <t>DETERGENTE (SAAM): 0,36 mg/L</t>
  </si>
  <si>
    <t>DETERGENTE (SAAM): 3,07 mg/L</t>
  </si>
  <si>
    <t>ANDRES ANDONAEGUI</t>
  </si>
  <si>
    <t>ZILPA ESPARZA</t>
  </si>
  <si>
    <t>COMPLETO</t>
  </si>
  <si>
    <t>FEBRERO</t>
  </si>
  <si>
    <t>DETERGENTE (SAAM): 3,26 mg/L</t>
  </si>
  <si>
    <t>DETERGENTE (SAAM): 3,42 mg/L</t>
  </si>
  <si>
    <t>DQO: 730 mg/L</t>
  </si>
  <si>
    <t>DETERGENTE (SAAM): 0,23 mg/L</t>
  </si>
  <si>
    <t>DETERGENTE (SAAM): 2,00 mg/L</t>
  </si>
  <si>
    <t>DQO: 766 mg/L - NITROGENO TOTAL KJELDHAL: 52 mg/L</t>
  </si>
  <si>
    <t>Cámara calle Sucre</t>
  </si>
  <si>
    <t>Cámara calle Chile España</t>
  </si>
  <si>
    <t>JENNY ORTEGA</t>
  </si>
  <si>
    <t>DETERGENTE (SAAM): 0,16 mg/L</t>
  </si>
  <si>
    <t>DETERGENTE (SAAM): 0,10 mg/L</t>
  </si>
  <si>
    <t>DQO: 1.490 mg/L - NITRÓGENO TOTAL KJELDHAL: 79,70 mg/L</t>
  </si>
  <si>
    <t>MARZO</t>
  </si>
  <si>
    <t>Detergente (SAAM): 6,09 mg/L</t>
  </si>
  <si>
    <t>DETERGENTE (SAAM) :0,90mg/L</t>
  </si>
  <si>
    <t>VDD</t>
  </si>
  <si>
    <t>DETERGENTE (SAAM) :0,85mg/L</t>
  </si>
  <si>
    <t>Detergente (SAAM): 0,63 mg/L</t>
  </si>
  <si>
    <t>DETERGENTE (SAAM): 0,50 mg/L</t>
  </si>
  <si>
    <t>DQO: 545 mg/L - NITROGENO KJELDHAL: 39,15 mg/L</t>
  </si>
  <si>
    <t>NIKOLAS REYES</t>
  </si>
  <si>
    <t>Detergente (SAAM): 2,19 mg/L</t>
  </si>
  <si>
    <t>DETERGENTE (SAAM): 0,53 mg/L</t>
  </si>
  <si>
    <t>CÁMARA CALLE GARCIA REYES</t>
  </si>
  <si>
    <t>AGUAS PATAGONIA</t>
  </si>
  <si>
    <t>DETERGENTE (SAAM): 0,05 mg/L</t>
  </si>
  <si>
    <t>PAULO GARIGLIO</t>
  </si>
  <si>
    <t>Detergente (SAAM): 0,08 mg/L</t>
  </si>
  <si>
    <t>DQO: 324 mg/L - NITROGENO KJELDHAL: 92,50 mg/L</t>
  </si>
  <si>
    <t>ISMAEL VELASQUEZ</t>
  </si>
  <si>
    <t>DQO: 344 mg/L - NITROGENO KJELDHAL: 23,05 mg/L</t>
  </si>
  <si>
    <t>DQO: 3.420 mg/L - NITROGENO KJELDHAL: 98,00 mg/L</t>
  </si>
  <si>
    <t>ALVI</t>
  </si>
  <si>
    <t>ABRIL</t>
  </si>
  <si>
    <t>DETERGENTE (SAAM): 1,61 mg/L</t>
  </si>
  <si>
    <t>DQO: 129 mg/L - NITROGENO TOTAL KJELDHAL: 14,78 mg/L</t>
  </si>
  <si>
    <t>JUNIO</t>
  </si>
  <si>
    <t>DETERGENTE (SAAM): 0,72 mg/L</t>
  </si>
  <si>
    <t>DETERGENTE (SAAM): 7,31 mg/L</t>
  </si>
  <si>
    <t>DQO: 785 mg/L</t>
  </si>
  <si>
    <t>DETERGENTE (SAAM): 3,39 mg/L</t>
  </si>
  <si>
    <t>DQO: 154 mg/L - NITROGENO TOTAL KJELDHAL: 18,40 mg/L</t>
  </si>
  <si>
    <t>DQO: 196 mg/L - NITROGENO TOTAL KJELDHAL: 12,95 mg/L</t>
  </si>
  <si>
    <t>CONEMI</t>
  </si>
  <si>
    <t>HERNAN WONG</t>
  </si>
  <si>
    <t>DQO: 599 mg/L</t>
  </si>
  <si>
    <t>DQO: 63 mg/L - NITROGENO TOTAL KJELDHAL: 8,43 mg/L</t>
  </si>
  <si>
    <t>MAYO</t>
  </si>
  <si>
    <t>DETERGENTE (SAAM): 0,41 mg/L</t>
  </si>
  <si>
    <t>DQO: 735 mg/L - NITROGENO TOTAL KJELDHAL: 63,0 mg/L</t>
  </si>
  <si>
    <t>DETERGENTE (SAAM): 0,06 mg/L</t>
  </si>
  <si>
    <t>DQO: 371 mg/L - NITROGENO TOTAL KJELDHAL: 69,10 mg/L</t>
  </si>
  <si>
    <t>DETERGENTE (SAAM): 0,11 mg/L</t>
  </si>
  <si>
    <t>DETERGENTE (SAAM): 7,56 mg/L</t>
  </si>
  <si>
    <t>DETERGENTE (SAAM): 0,46 mg/L</t>
  </si>
  <si>
    <t>H2S: 173 PPM</t>
  </si>
  <si>
    <t>DQO: 282 mg/L - NITROGENO TOTAL KJELDHAL: 25,95 mg/L</t>
  </si>
  <si>
    <t>DQO: 2.040 mg/L - NITROGENO TOTAL KJELDHAL: 55,50 mg/L</t>
  </si>
  <si>
    <t>DQO: 989 mg/L - NITROGENO TOTAL KJELDHAL: 135,0 mg/L</t>
  </si>
  <si>
    <t>DETERGENTE (SAAM): 0,17 mg/L</t>
  </si>
  <si>
    <t>DETERGENTE (SAAM): 1,36 mg/L</t>
  </si>
  <si>
    <t>CÁMARA POR CALLE GARCIA REYES</t>
  </si>
  <si>
    <t xml:space="preserve">DQO: 260 mg/L - NITRÓGENO TOTAL KJELDHAL: 21,55 mg/L </t>
  </si>
  <si>
    <t xml:space="preserve">DQO: 119 mg/L - NITRÓGENO TOTAL KJELDHAL: 7,65 mg/L </t>
  </si>
  <si>
    <t>DETERGENTE (SAAM): 13,65 mg/L</t>
  </si>
  <si>
    <t>DETERGENTE (SAAM): 1,00 mg/L</t>
  </si>
  <si>
    <t>DQO: 778 mg/L - NITROGENO TOTAL KJELDHAL: 35,05 mg/L</t>
  </si>
  <si>
    <t>DQO: 878 mg/L - NITROGENO TOTAL KJELDHAL: 75,10 mg/L</t>
  </si>
  <si>
    <t>DQO: 908 mg/L - NITROGENO TOTAL KJELDHAL: 22,55 mg/L</t>
  </si>
  <si>
    <t>DQO: 2925 mg/L - NITROGENO TOTAL KJELDHAL: 103 mg/L</t>
  </si>
  <si>
    <t>DETERGENTE (SAAM): 0,21 mg/L</t>
  </si>
  <si>
    <t>25, 4</t>
  </si>
  <si>
    <t>AGOSTO</t>
  </si>
  <si>
    <t>DQO: 780 mg/L - NITRÓGENO TOTAL KJELDHAL: 38,75 mg/L</t>
  </si>
  <si>
    <t>Detergente (SAAM): 2,06 mg/L</t>
  </si>
  <si>
    <t>DETERGENTE (SAAM): 0,49 mg/L</t>
  </si>
  <si>
    <t>DQO: 1.146 mg/L - NITRÓGENO TOTAL KJELDHAL: 93,70 mg/L</t>
  </si>
  <si>
    <t>DETERGENTE (SAAM): 1,72 mg/L</t>
  </si>
  <si>
    <t>AGQ Labs</t>
  </si>
  <si>
    <t>DQO: 1.870 mg/L - NITRÓGENO TOTAL KJELDHAL: 94,00 mg/L</t>
  </si>
  <si>
    <t>DETERGENTE (SAAM): 2,75 mg/L</t>
  </si>
  <si>
    <t>DETERGENTE (SAAM): 1,84 mg/L</t>
  </si>
  <si>
    <t>DETERGENTE (SAAM): 2,70 mg/L</t>
  </si>
  <si>
    <t>CÁMARA CALLE ARAUCO</t>
  </si>
  <si>
    <t>DQO: 425 mg/L - NITROGENO TOTAL KJELDHAL: 25,20 mg/L</t>
  </si>
  <si>
    <t>DETERGENTE (SAAM): 1,30 mg/L</t>
  </si>
  <si>
    <t>DQO: 625 mg/L - NITROGENO TOTAL KJELDHAL: 50,50 mg/L</t>
  </si>
  <si>
    <t>1.,3</t>
  </si>
  <si>
    <t>O048803080</t>
  </si>
  <si>
    <t>VICTOR LAZCANO</t>
  </si>
  <si>
    <t>LOGISTICA</t>
  </si>
  <si>
    <t>CUMPLE</t>
  </si>
  <si>
    <t>AGUAS Manquehue</t>
  </si>
  <si>
    <t>NO CUMPLE</t>
  </si>
  <si>
    <t>AGQ LABS</t>
  </si>
  <si>
    <t>SURALIS</t>
  </si>
  <si>
    <t>ENVIADO</t>
  </si>
  <si>
    <t>ENVIADO A ADMIN</t>
  </si>
  <si>
    <t xml:space="preserve">ENVIADO A ADMIN- CRONOGRAMA ENVIADO AL LOCAL </t>
  </si>
  <si>
    <t>CORRESPONDE A UNA MEDICION DIRECTA DEL STRIP CENTER el administrador menciona que el dia 30 ira a la siss a dejar la evidencia y a la sanitaria</t>
  </si>
  <si>
    <t>ENVIADA LA EVIDENCIA A LA SANITARIA</t>
  </si>
  <si>
    <t>ENVIADOS</t>
  </si>
  <si>
    <t>ENVIADO (cronograma enviar al local) evidencia llego</t>
  </si>
  <si>
    <t>ENVIADO (cronograma enviar al local) aun no ve el correo a la fecha 29-10-2025</t>
  </si>
  <si>
    <t xml:space="preserve">ENVIADOS </t>
  </si>
  <si>
    <t>CRONOGRAMA ENVIADO A SANITARIA  Y LOCAL CON LAS EVIDENCIAS</t>
  </si>
  <si>
    <t>ENVIADOS- CRONOGRAMA ENVIADO AL LOCAL  (EVIDENCIAS LLEGARON LUNES 3-11-2025)</t>
  </si>
  <si>
    <t>ENVIADOS (EVIDENCIA ENVIADA POR EL ADMINISTRADOR, LLEGO EL 31-10-2025)</t>
  </si>
  <si>
    <t>MONITOREAR EL COMPORTAMIENTO EN OCTUBRE PARA VER LOS RESULTADOS POST SALIDA DEL CENTRO PRODUCTIVO (PENDIENTE DE ENVIAR AL LOCAL)</t>
  </si>
  <si>
    <t>NO REQUIERE RESPUESTA</t>
  </si>
  <si>
    <t>PENDIENTE ENVIAR AL LOCAL</t>
  </si>
  <si>
    <t>EVIDENCIAS ENVIADAS</t>
  </si>
  <si>
    <t>ENVIADO A SANITARIA -PENDIENTE ENVIO AL LOCAL</t>
  </si>
  <si>
    <t>LLEGO SIN CAUDAL NUEVAMENTE (no pagar)</t>
  </si>
  <si>
    <t>SE REALIZO PUNTUAL Y NO COMPUESTO(NO PAGAR)</t>
  </si>
  <si>
    <t>REPROGRAMADO</t>
  </si>
  <si>
    <t>Se tomo en camara incorrecta (no pagar)</t>
  </si>
  <si>
    <t>ERROR DE CAMARA (NO PAGAR)</t>
  </si>
  <si>
    <t>ENVIADO AL LOCAL (CRONOGRAMA INTERNO)</t>
  </si>
  <si>
    <t>CRONOGRAMA ENVIADO AL LOCAL</t>
  </si>
  <si>
    <t>LLEGO UN PUNTUAL SIN CAUDAL Y SOLICITAMOS UN COMPUESTO DE 8 HRS (no pagar) CARTA CONDUCTORA ENVIADA A SANITARIA</t>
  </si>
  <si>
    <t>CARTA CONDUCTORA ENVIADA SANITARIA</t>
  </si>
  <si>
    <t>ENVIADO A SANITARIA</t>
  </si>
  <si>
    <t>ENVIADA A SANITARIA</t>
  </si>
  <si>
    <t>CRONOGRAMA INTERNO ENVIADO AL LOCAL ( camara incorrecta - no pagar)</t>
  </si>
  <si>
    <t>LLEGO PUNTUAL Y SE SOLICITO COMPUESTO</t>
  </si>
  <si>
    <t>ENVIADO A SANITARIA- PENDIENTE CRONOGRAMA AL LOCAL</t>
  </si>
  <si>
    <t>PENDIENTE ENVIAR CRONOGRAMA AL LOCAL</t>
  </si>
  <si>
    <t>ENVIADO A SANITARIA - CRONOGRAMA ENVIADO AL LOCAL</t>
  </si>
  <si>
    <t>RECEPCION DE EVIDENCIAS</t>
  </si>
  <si>
    <t>ENVIADO SANITARIA- PENDIENTE ENVIO AL LOCAL</t>
  </si>
  <si>
    <t>CRONOGRAMA ENVIADO AL LOCAL (LIMITE 10/12)</t>
  </si>
  <si>
    <t>GENERAR CRONOGRAMA DE ACCIONES / ENVIADO A FAF Y MF</t>
  </si>
  <si>
    <t>EVIDENCIA LLEGO</t>
  </si>
  <si>
    <t>CRONOGRAMA INTERNO ENVIADO AL LOCAL</t>
  </si>
  <si>
    <t>NO SOLICITADO, NO PAGAR</t>
  </si>
  <si>
    <t>PROGRAMADO NOVIEMBRE</t>
  </si>
  <si>
    <t>NO LLEGO (NO PAGAR)</t>
  </si>
  <si>
    <t>FALTA CAUDAL</t>
  </si>
  <si>
    <t>LLEGO RESUMEN Y ERA COMPLETO, cronograma enviado 07-01-2025 (TC 12-01-2026) PENDIENTES EVIDENCIAS</t>
  </si>
  <si>
    <t>Cronograma enviado 07-01-2025 / llegaron evidencias parciales desde calidad, estan pedientes las de la operación. (TC 12-01-2026), administrador sin contacto aun. (20-01-2025)</t>
  </si>
  <si>
    <t>FECHA LIMITE EVIDENCIAS 23-01-2026 RECORDATORIO 19-02-2026</t>
  </si>
  <si>
    <t>PROGRAMADO DICIEMBRE</t>
  </si>
  <si>
    <t>CRONOGRAMA INTERNO FL 23-01-2026 / RECORDATORIO 1 ENVIADO EL 19-02-26</t>
  </si>
  <si>
    <t>CONTROL INTERNO FL 23-01-2026 / RECORDATORIO 1 ENVIADO EL 19-02-26</t>
  </si>
  <si>
    <t>RECORDATORIO A WILSON EL 2/2 --&gt; PENDIENTE EVIDENCIA DE (REJILLAS FINAS Y TRATAMIENTO DE BACTERIAS)</t>
  </si>
  <si>
    <t>LLEGO SIMPLE Y SE PIDIO COMPLETO / RECORDATORIO 1 ENVIADO EL 19-02-26</t>
  </si>
  <si>
    <t>TC 06-02-2026 - RECORDATORIO ENVIADO EL 03-02-26 NO HABIA VISTO EL CORREO</t>
  </si>
  <si>
    <t>LLEGO RESUMEN Y NO COMPLETO</t>
  </si>
  <si>
    <t>LLEGO RESUMEN Y ERA COMPLETO</t>
  </si>
  <si>
    <t>TC 06-02-2026</t>
  </si>
  <si>
    <t>RECORDATORIO 1 ENVIADO EL 19-02-26</t>
  </si>
  <si>
    <t>LLEGO COMPUESTO DE 8 Y NO DE 24</t>
  </si>
  <si>
    <t>camara saturada en grasa</t>
  </si>
  <si>
    <t>TC 02-02-2026 ( SE ENVIO CRONOGRAMA, PERO LA SANITARIA NOS DIJO QUE CUMPLIMOS)</t>
  </si>
  <si>
    <t>SE DEBE PAGAR COMO RESUMEN AUNQUE LLEGUE COMPLETO / RECORDATORIO 1 ENVIADO EL 19-02-26 / EVIDENCIAS LAS HABIA ENVIADO POR WS</t>
  </si>
  <si>
    <t>AHORA ES ALVI, SOLICITAR RECALIFICACION</t>
  </si>
  <si>
    <t>PENDIENTE ENVIO</t>
  </si>
  <si>
    <t>TC 16-01-2026 (PENDIENTE CAPACITACION)</t>
  </si>
  <si>
    <t>PROGRAMADO ENERO</t>
  </si>
  <si>
    <t>SE ENVIO FUERA DE PLAZO, POR DEMORA POR PARTE DE FOOD TESTING - LLEGO EL 2 DE MARZO</t>
  </si>
  <si>
    <t xml:space="preserve"> TC 27-02-2026</t>
  </si>
  <si>
    <t>ENVIADO A LOGISTICA</t>
  </si>
  <si>
    <t>CAMAMARA GARCIA REYES // NO PAGAR, EL INFORME LE FALTABA UNA TEMPERATURA</t>
  </si>
  <si>
    <t>COMPENSATORIO / SE PIDIO COMPLETO EN DICIEMBRE Y LLEGO RESUMEN</t>
  </si>
  <si>
    <t>COMPENSATORIO / SE DEBIA HACER COMPLETO EN DIC PERO LLEGO RESUMEN</t>
  </si>
  <si>
    <t>NO PAGAR ES COMPENSATORIO, se pago en diciembre</t>
  </si>
  <si>
    <t>COMPENSATORIO, NO SE EJECUTO EN DICIEMBRE TC 13-02-2026</t>
  </si>
  <si>
    <t>SOLO ESTA PENDIENTE EVIDENCIAS DE LIMPIEZA DE CAMARA DESGRASADORA</t>
  </si>
  <si>
    <t>PROGRAMADO FEBRERO</t>
  </si>
  <si>
    <t>ENVIAR CRONOGARMA INTERNO Y MENCIONAR SOBRE EL GTC</t>
  </si>
  <si>
    <t>PROPIO</t>
  </si>
  <si>
    <t>COMPENSATORIO POR QUE NO SE MIDIO DE 24 HRS EN DICIEMBRE - NO PAGAR (CAMARA ARAUCO)</t>
  </si>
  <si>
    <t>COMPENSATORIO (NO PAGAR) LOS PARAMETROS FALTANTES LLEGARON TARDE</t>
  </si>
  <si>
    <t>FUERA DE PLAZO / NO PAGAR LLEGO EL 1</t>
  </si>
  <si>
    <t>llego erroneo (no tiene todos los parametros ) no pagar</t>
  </si>
  <si>
    <t>TC 09-02-2026 NUEVO PLAZO JUEVES 19 DE FEBRERO</t>
  </si>
  <si>
    <t>ENVIAR CRONOGARMA INTERNO</t>
  </si>
  <si>
    <t>CONTROL INTERNO</t>
  </si>
  <si>
    <t>PROGRAMADO MARZO</t>
  </si>
  <si>
    <t>SIN CAUDAL</t>
  </si>
  <si>
    <t>SIN CAUDAL, NO PAGAR</t>
  </si>
  <si>
    <t>COMPENSATORIO DESDE DICIEMBRE</t>
  </si>
  <si>
    <t>CALLE GARCIA REYES</t>
  </si>
  <si>
    <t>CALLE ARAUCO</t>
  </si>
  <si>
    <t>COMPENSATORIO, SI SE EJECUTO EN FEBRERO</t>
  </si>
  <si>
    <t>MEDICION PROPIA</t>
  </si>
  <si>
    <t>TC 27-04-2026 - RECORDATORIO ENVIADO EL 29-04-2026</t>
  </si>
  <si>
    <t>TC 13-03-2026</t>
  </si>
  <si>
    <t>CAMARA CALLE ARAUCO</t>
  </si>
  <si>
    <t>VER SI PODEMOS SALIRNOS DEL CONVENIO, SE SOLICITAN 4 MESES CONSECUTIVOS SIN SOBREPASAR PARAMETROS</t>
  </si>
  <si>
    <t>CONSULTAR POR CONTROL DIRECTO ANTERIOR QUE NO LLEGO</t>
  </si>
  <si>
    <t>TC 27-04-2026</t>
  </si>
  <si>
    <t>AQG LABS</t>
  </si>
  <si>
    <t>REUNION 23-04-2026 PARA VER POSIBLES CAUSALES Y PREPARAR UN PLAN DE TRABAJO</t>
  </si>
  <si>
    <t>TC 01-05-2026</t>
  </si>
  <si>
    <t>PROGRAMADO ABRIL</t>
  </si>
  <si>
    <t>TC 11-05-2026</t>
  </si>
  <si>
    <t>FALTA TEMPERATURA // SOLICITADO A JOCELYN</t>
  </si>
  <si>
    <t>TC 14-05-2026</t>
  </si>
  <si>
    <t>PROGRAMADO MAYO</t>
  </si>
  <si>
    <t>ROTURA DE CAÑERIA</t>
  </si>
  <si>
    <t>SI SE EJECUTO</t>
  </si>
  <si>
    <t>DOCUSINE CRONOGRAMA SH</t>
  </si>
  <si>
    <t>PROGRAMADO JUNIO</t>
  </si>
  <si>
    <t>PENDIENTE DE EVIDENCIAS</t>
  </si>
  <si>
    <t>PENDIENTE ENVIO SANITARIA</t>
  </si>
  <si>
    <t>FALTA CORREGIR DATOS DEL LOCAL</t>
  </si>
  <si>
    <t>LLEGO, FALTA ENMENDAR DATOS</t>
  </si>
  <si>
    <t>SE SOLICITO ACTUALIZAR EL CAUDAL</t>
  </si>
  <si>
    <t>CRONOGRAMA ENVIADO A MF</t>
  </si>
  <si>
    <t>PENDIENTE ENVIAR CRONOGRAMA A LA SANITARIA</t>
  </si>
  <si>
    <t>RPM REVOCADA</t>
  </si>
  <si>
    <t>ENVIADO CRONOGRAMA MF</t>
  </si>
  <si>
    <t>PENDIENTE ENVIAR EVIDENCIAS A LA SANITARIA</t>
  </si>
  <si>
    <t>EVIDENCIAS ENVIADAS A LUIS B. ADMINISTRADOR STRIP CENTER</t>
  </si>
  <si>
    <t>PROGRAMADO JULIO</t>
  </si>
  <si>
    <t>EXTRA</t>
  </si>
  <si>
    <t>PH ACIDO EN 75% DE LOS DATOS - TC 13-07-2026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</si>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</sst>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E2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6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</cellXfs>
  <cellStyles count="1">
    <cellStyle name="Normal" xfId="0" builtinId="0"/>
  </cellStyles>
  <dxfs count="114">
    <dxf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165" formatCode="m/d/yyyy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quioza\AppData\Local\Microsoft\Windows\INetCache\Content.Outlook\1KX8VF3T\Planilla_Base_Control%20Riles%202026_.xlsx" TargetMode="External"/><Relationship Id="rId1" Type="http://schemas.openxmlformats.org/officeDocument/2006/relationships/externalLinkPath" Target="file:///C:\Users\dquioza\AppData\Local\Microsoft\Windows\INetCache\Content.Outlook\1KX8VF3T\Planilla_Base_Control%20Riles%202026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4"/>
      <sheetName val="INFO_LOCALES"/>
      <sheetName val="Hoja2"/>
      <sheetName val="Hoja3"/>
      <sheetName val="Fiscalizaciones 2025"/>
      <sheetName val="BASE DESPLEGABLE"/>
      <sheetName val="Hoja5"/>
      <sheetName val="Hoja7"/>
      <sheetName val="Hoja4"/>
      <sheetName val="Listado Ley 20.393 (2025)"/>
      <sheetName val="Graficas"/>
      <sheetName val="2025"/>
      <sheetName val="Listado Mensual 2025 OLD"/>
      <sheetName val="Listado Mensual 2026"/>
      <sheetName val="Graficas 26"/>
      <sheetName val="Grafico Mensual"/>
      <sheetName val="2024"/>
      <sheetName val="Listado Anual 2025"/>
      <sheetName val="Hoja8"/>
      <sheetName val="Hoja9"/>
      <sheetName val="Grafico Anual"/>
      <sheetName val="Listado Ley 20.393"/>
    </sheetNames>
    <sheetDataSet>
      <sheetData sheetId="0">
        <row r="3">
          <cell r="D3">
            <v>150</v>
          </cell>
          <cell r="E3">
            <v>300</v>
          </cell>
        </row>
        <row r="9">
          <cell r="D9">
            <v>3</v>
          </cell>
          <cell r="E9">
            <v>6</v>
          </cell>
        </row>
        <row r="14">
          <cell r="D14">
            <v>0.02</v>
          </cell>
          <cell r="E14">
            <v>0.04</v>
          </cell>
        </row>
        <row r="15">
          <cell r="D15">
            <v>4</v>
          </cell>
          <cell r="E15">
            <v>8</v>
          </cell>
        </row>
        <row r="24">
          <cell r="D24">
            <v>300</v>
          </cell>
          <cell r="E24">
            <v>600</v>
          </cell>
        </row>
        <row r="25">
          <cell r="D25">
            <v>15</v>
          </cell>
          <cell r="E25">
            <v>30</v>
          </cell>
        </row>
        <row r="26">
          <cell r="D26">
            <v>80</v>
          </cell>
          <cell r="E26">
            <v>160</v>
          </cell>
        </row>
      </sheetData>
      <sheetData sheetId="1">
        <row r="1">
          <cell r="B1" t="str">
            <v>CENTRO2</v>
          </cell>
          <cell r="C1" t="str">
            <v>LOCAL</v>
          </cell>
          <cell r="D1" t="str">
            <v>REGIÓN</v>
          </cell>
          <cell r="E1" t="str">
            <v>RPM</v>
          </cell>
          <cell r="F1" t="str">
            <v>EMPRESA DISTRIBUIDORA</v>
          </cell>
          <cell r="G1" t="str">
            <v>ESTADO FIN ENERO 2020</v>
          </cell>
          <cell r="H1" t="str">
            <v>DIRECCIÓN</v>
          </cell>
          <cell r="I1" t="str">
            <v>COMUNA</v>
          </cell>
          <cell r="J1" t="str">
            <v>CONVENIO</v>
          </cell>
        </row>
        <row r="2">
          <cell r="B2">
            <v>3</v>
          </cell>
          <cell r="C2" t="str">
            <v>OLMUE</v>
          </cell>
          <cell r="D2" t="str">
            <v>V - Valparaiso</v>
          </cell>
          <cell r="F2" t="str">
            <v>EL GRANIZO LTDA</v>
          </cell>
          <cell r="G2" t="str">
            <v>Abierto</v>
          </cell>
          <cell r="H2" t="str">
            <v>Diego Portales 2090</v>
          </cell>
          <cell r="I2" t="str">
            <v>Olmué</v>
          </cell>
          <cell r="J2" t="str">
            <v>SIN CONVENIO</v>
          </cell>
        </row>
        <row r="3">
          <cell r="B3">
            <v>5</v>
          </cell>
          <cell r="C3" t="str">
            <v>LAS COMPAÑIAS</v>
          </cell>
          <cell r="D3" t="str">
            <v>IV - Coquimbo</v>
          </cell>
          <cell r="E3">
            <v>2644</v>
          </cell>
          <cell r="F3" t="str">
            <v>AGUAS DEL VALLE S A</v>
          </cell>
          <cell r="G3" t="str">
            <v>Abierto</v>
          </cell>
          <cell r="H3" t="str">
            <v>Nicaragua 1571</v>
          </cell>
          <cell r="I3" t="str">
            <v>La Serena</v>
          </cell>
          <cell r="J3" t="str">
            <v>SIN CONVENIO</v>
          </cell>
        </row>
        <row r="4">
          <cell r="B4">
            <v>6</v>
          </cell>
          <cell r="C4" t="str">
            <v>SINDEMPART</v>
          </cell>
          <cell r="D4" t="str">
            <v>IV - Coquimbo</v>
          </cell>
          <cell r="F4" t="str">
            <v>AGUAS DEL VALLE S A</v>
          </cell>
          <cell r="G4" t="str">
            <v>Abierto</v>
          </cell>
          <cell r="H4" t="str">
            <v>El Sauce 981</v>
          </cell>
          <cell r="I4" t="str">
            <v>Coquimbo</v>
          </cell>
          <cell r="J4" t="str">
            <v>SIN CONVENIO</v>
          </cell>
        </row>
        <row r="5">
          <cell r="B5">
            <v>7</v>
          </cell>
          <cell r="C5" t="str">
            <v>VALLENAR I</v>
          </cell>
          <cell r="D5" t="str">
            <v>III - Atacama</v>
          </cell>
          <cell r="F5" t="str">
            <v>NUEVA ATACAMA</v>
          </cell>
          <cell r="G5" t="str">
            <v>Abierto</v>
          </cell>
          <cell r="H5" t="str">
            <v>Brasil 663</v>
          </cell>
          <cell r="I5" t="str">
            <v>Vallenar</v>
          </cell>
          <cell r="J5" t="str">
            <v>CONVENIO</v>
          </cell>
        </row>
        <row r="6">
          <cell r="B6">
            <v>8</v>
          </cell>
          <cell r="C6" t="str">
            <v>RECOVA</v>
          </cell>
          <cell r="D6" t="str">
            <v>IV - Coquimbo</v>
          </cell>
          <cell r="F6" t="str">
            <v>AGUAS DEL VALLE S A</v>
          </cell>
          <cell r="G6" t="str">
            <v>Abierto</v>
          </cell>
          <cell r="H6" t="str">
            <v>Brasil 715</v>
          </cell>
          <cell r="I6" t="str">
            <v>La Serena</v>
          </cell>
          <cell r="J6" t="str">
            <v>SIN CONVENIO</v>
          </cell>
        </row>
        <row r="7">
          <cell r="B7">
            <v>9</v>
          </cell>
          <cell r="C7" t="str">
            <v>COQUIMBO</v>
          </cell>
          <cell r="D7" t="str">
            <v>IV - Coquimbo</v>
          </cell>
          <cell r="F7" t="str">
            <v>AGUAS DEL VALLE S A</v>
          </cell>
          <cell r="G7" t="str">
            <v>Abierto</v>
          </cell>
          <cell r="H7" t="str">
            <v>Francisco Varela 1480</v>
          </cell>
          <cell r="I7" t="str">
            <v>Coquimbo</v>
          </cell>
          <cell r="J7" t="str">
            <v>SIN CONVENIO</v>
          </cell>
        </row>
        <row r="8">
          <cell r="B8">
            <v>10</v>
          </cell>
          <cell r="C8" t="str">
            <v>TIL TIL</v>
          </cell>
          <cell r="D8" t="str">
            <v>RM - Santiago</v>
          </cell>
          <cell r="F8" t="str">
            <v>AGUAS ANDINAS S.A.</v>
          </cell>
          <cell r="G8" t="str">
            <v>Abierto</v>
          </cell>
          <cell r="H8" t="str">
            <v>A Prat 295</v>
          </cell>
          <cell r="I8" t="str">
            <v>Til Til</v>
          </cell>
          <cell r="J8" t="str">
            <v>SIN CONVENIO</v>
          </cell>
        </row>
        <row r="9">
          <cell r="B9">
            <v>11</v>
          </cell>
          <cell r="C9" t="str">
            <v>ALTO PEÑUELAS</v>
          </cell>
          <cell r="D9" t="str">
            <v>IV - Coquimbo</v>
          </cell>
          <cell r="F9" t="str">
            <v>AGUAS DEL VALLE S A</v>
          </cell>
          <cell r="G9" t="str">
            <v>Abierto</v>
          </cell>
          <cell r="H9" t="str">
            <v>Alessandri 531</v>
          </cell>
          <cell r="I9" t="str">
            <v>Coquimbo</v>
          </cell>
          <cell r="J9" t="str">
            <v>SIN CONVENIO</v>
          </cell>
        </row>
        <row r="10">
          <cell r="B10">
            <v>12</v>
          </cell>
          <cell r="C10" t="str">
            <v>CISTERNAS</v>
          </cell>
          <cell r="D10" t="str">
            <v>IV - Coquimbo</v>
          </cell>
          <cell r="F10" t="str">
            <v>AGUAS DEL VALLE S A</v>
          </cell>
          <cell r="G10" t="str">
            <v>Abierto</v>
          </cell>
          <cell r="H10" t="str">
            <v>Reinaldo Boltz 1950</v>
          </cell>
          <cell r="I10" t="str">
            <v>La Serena</v>
          </cell>
          <cell r="J10" t="str">
            <v>SIN CONVENIO</v>
          </cell>
        </row>
        <row r="11">
          <cell r="B11">
            <v>13</v>
          </cell>
          <cell r="C11" t="str">
            <v>LA TORRE</v>
          </cell>
          <cell r="D11" t="str">
            <v>II - Antofagasta</v>
          </cell>
          <cell r="F11" t="str">
            <v>AGUAS DE ANTOFAGASTA S A</v>
          </cell>
          <cell r="G11" t="str">
            <v>Abierto</v>
          </cell>
          <cell r="H11" t="str">
            <v>Carlos Pezoa Veliz 10-22 Loc 01</v>
          </cell>
          <cell r="I11" t="str">
            <v>Antofagasta</v>
          </cell>
          <cell r="J11" t="str">
            <v>SIN CONVENIO</v>
          </cell>
        </row>
        <row r="12">
          <cell r="B12">
            <v>14</v>
          </cell>
          <cell r="C12" t="str">
            <v>COPIAPO</v>
          </cell>
          <cell r="D12" t="str">
            <v>III - Atacama</v>
          </cell>
          <cell r="F12" t="str">
            <v>NUEVA ATACAMA</v>
          </cell>
          <cell r="G12" t="str">
            <v>Abierto</v>
          </cell>
          <cell r="H12" t="str">
            <v>Av. Henrriquez N° 523</v>
          </cell>
          <cell r="I12" t="str">
            <v>Copiapó</v>
          </cell>
          <cell r="J12" t="str">
            <v>CONVENIO</v>
          </cell>
        </row>
        <row r="13">
          <cell r="B13">
            <v>16</v>
          </cell>
          <cell r="C13" t="str">
            <v>VALLENAR II</v>
          </cell>
          <cell r="D13" t="str">
            <v>III - Atacama</v>
          </cell>
          <cell r="F13" t="str">
            <v>NUEVA ATACAMA</v>
          </cell>
          <cell r="G13" t="str">
            <v>Abierto</v>
          </cell>
          <cell r="H13" t="str">
            <v>Arturo Prat 2350</v>
          </cell>
          <cell r="I13" t="str">
            <v>Vallenar</v>
          </cell>
          <cell r="J13" t="str">
            <v>TERMINADO</v>
          </cell>
        </row>
        <row r="14">
          <cell r="B14">
            <v>17</v>
          </cell>
          <cell r="C14" t="str">
            <v>LOS ALAMOS</v>
          </cell>
          <cell r="D14" t="str">
            <v>IV - Coquimbo</v>
          </cell>
          <cell r="E14">
            <v>2643</v>
          </cell>
          <cell r="F14" t="str">
            <v>AGUAS DEL VALLE S A</v>
          </cell>
          <cell r="G14" t="str">
            <v>Abierto</v>
          </cell>
          <cell r="H14" t="str">
            <v>Los Alamos 580</v>
          </cell>
          <cell r="I14" t="str">
            <v>Coquimbo</v>
          </cell>
          <cell r="J14" t="str">
            <v>TERMINADO</v>
          </cell>
        </row>
        <row r="15">
          <cell r="B15">
            <v>18</v>
          </cell>
          <cell r="C15" t="str">
            <v>EL SALVADOR</v>
          </cell>
          <cell r="D15" t="str">
            <v>III - Atacama</v>
          </cell>
          <cell r="F15" t="str">
            <v>NUEVA ATACAMA</v>
          </cell>
          <cell r="G15" t="str">
            <v>Abierto</v>
          </cell>
          <cell r="H15" t="str">
            <v>Ohiggins 115</v>
          </cell>
          <cell r="I15" t="str">
            <v>Diego De Almagro</v>
          </cell>
          <cell r="J15" t="str">
            <v>SIN CONVENIO</v>
          </cell>
        </row>
        <row r="16">
          <cell r="B16">
            <v>19</v>
          </cell>
          <cell r="C16" t="str">
            <v>BONILLA</v>
          </cell>
          <cell r="D16" t="str">
            <v>II - Antofagasta</v>
          </cell>
          <cell r="F16" t="str">
            <v>AGUAS DE ANTOFAGASTA S A</v>
          </cell>
          <cell r="G16" t="str">
            <v>Abierto</v>
          </cell>
          <cell r="H16" t="str">
            <v>Huamachuco 8481</v>
          </cell>
          <cell r="I16" t="str">
            <v>Antofagasta</v>
          </cell>
          <cell r="J16" t="str">
            <v>SIN CONVENIO</v>
          </cell>
        </row>
        <row r="17">
          <cell r="B17">
            <v>20</v>
          </cell>
          <cell r="C17" t="str">
            <v>BARQUITO</v>
          </cell>
          <cell r="D17" t="str">
            <v>III - Atacama</v>
          </cell>
          <cell r="F17" t="str">
            <v>NUEVA ATACAMA</v>
          </cell>
          <cell r="G17" t="str">
            <v>Abierto</v>
          </cell>
          <cell r="H17" t="str">
            <v>Gabriela Mistral 602</v>
          </cell>
          <cell r="I17" t="str">
            <v>Chañaral</v>
          </cell>
          <cell r="J17" t="str">
            <v>SIN CONVENIO</v>
          </cell>
        </row>
        <row r="18">
          <cell r="B18">
            <v>21</v>
          </cell>
          <cell r="C18" t="str">
            <v>TANGUE</v>
          </cell>
          <cell r="D18" t="str">
            <v>IV - Coquimbo</v>
          </cell>
          <cell r="F18" t="str">
            <v>AGUAS DEL VALLE S A</v>
          </cell>
          <cell r="G18" t="str">
            <v>Abierto</v>
          </cell>
          <cell r="H18" t="str">
            <v>Tangue 36</v>
          </cell>
          <cell r="I18" t="str">
            <v>Ovalle</v>
          </cell>
          <cell r="J18" t="str">
            <v>SIN CONVENIO</v>
          </cell>
        </row>
        <row r="19">
          <cell r="B19">
            <v>22</v>
          </cell>
          <cell r="C19" t="str">
            <v>ATACAMA</v>
          </cell>
          <cell r="D19" t="str">
            <v>III - Atacama</v>
          </cell>
          <cell r="E19">
            <v>2666</v>
          </cell>
          <cell r="F19" t="str">
            <v>NUEVA ATACAMA</v>
          </cell>
          <cell r="G19" t="str">
            <v>Abierto</v>
          </cell>
          <cell r="H19" t="str">
            <v>Los Carreras 2242</v>
          </cell>
          <cell r="I19" t="str">
            <v>Copiapó</v>
          </cell>
          <cell r="J19" t="str">
            <v>CONVENIO</v>
          </cell>
        </row>
        <row r="20">
          <cell r="B20">
            <v>23</v>
          </cell>
          <cell r="C20" t="str">
            <v>LOS CARRERAS</v>
          </cell>
          <cell r="D20" t="str">
            <v>III - Atacama</v>
          </cell>
          <cell r="F20" t="str">
            <v>NUEVA ATACAMA</v>
          </cell>
          <cell r="G20" t="str">
            <v>Abierto</v>
          </cell>
          <cell r="H20" t="str">
            <v>Los Carrera 479</v>
          </cell>
          <cell r="I20" t="str">
            <v>Copiapó</v>
          </cell>
          <cell r="J20" t="str">
            <v>SIN CONVENIO</v>
          </cell>
        </row>
        <row r="21">
          <cell r="B21">
            <v>24</v>
          </cell>
          <cell r="C21" t="str">
            <v>CHACABUCO</v>
          </cell>
          <cell r="D21" t="str">
            <v>III - Atacama</v>
          </cell>
          <cell r="F21" t="str">
            <v>NUEVA ATACAMA</v>
          </cell>
          <cell r="G21" t="str">
            <v>Abierto</v>
          </cell>
          <cell r="H21" t="str">
            <v>Los Carreras  586</v>
          </cell>
          <cell r="I21" t="str">
            <v>Copiapó</v>
          </cell>
          <cell r="J21" t="str">
            <v>SIN CONVENIO</v>
          </cell>
        </row>
        <row r="22">
          <cell r="B22">
            <v>25</v>
          </cell>
          <cell r="C22" t="str">
            <v>EL PALOMAR</v>
          </cell>
          <cell r="D22" t="str">
            <v>III - Atacama</v>
          </cell>
          <cell r="E22">
            <v>3868</v>
          </cell>
          <cell r="F22" t="str">
            <v>NUEVA ATACAMA</v>
          </cell>
          <cell r="G22" t="str">
            <v>Abierto</v>
          </cell>
          <cell r="H22" t="str">
            <v>Av. Palomar 1525</v>
          </cell>
          <cell r="I22" t="str">
            <v>Copiapó</v>
          </cell>
          <cell r="J22" t="str">
            <v>TERMINADO</v>
          </cell>
        </row>
        <row r="23">
          <cell r="B23">
            <v>26</v>
          </cell>
          <cell r="C23" t="str">
            <v>SANTOS OSSA</v>
          </cell>
          <cell r="D23" t="str">
            <v>II - Antofagasta</v>
          </cell>
          <cell r="F23" t="str">
            <v>AGUAS DE ANTOFAGASTA S A</v>
          </cell>
          <cell r="G23" t="str">
            <v>Cerrado</v>
          </cell>
          <cell r="H23" t="str">
            <v>Jose Santos Ossa 2421</v>
          </cell>
          <cell r="I23" t="str">
            <v>Antofagasta</v>
          </cell>
          <cell r="J23" t="str">
            <v>SIN CONVENIO</v>
          </cell>
        </row>
        <row r="24">
          <cell r="B24">
            <v>27</v>
          </cell>
          <cell r="C24" t="str">
            <v>PAMPINO</v>
          </cell>
          <cell r="D24" t="str">
            <v>II - Antofagasta</v>
          </cell>
          <cell r="F24" t="str">
            <v>AGUAS DE ANTOFAGASTA S A</v>
          </cell>
          <cell r="G24" t="str">
            <v>Abierto</v>
          </cell>
          <cell r="H24" t="str">
            <v>Av. Santos Ossa 2350</v>
          </cell>
          <cell r="I24" t="str">
            <v>Antofagasta</v>
          </cell>
          <cell r="J24" t="str">
            <v>SIN CONVENIO</v>
          </cell>
        </row>
        <row r="25">
          <cell r="B25">
            <v>28</v>
          </cell>
          <cell r="C25" t="str">
            <v>PARQUE</v>
          </cell>
          <cell r="D25" t="str">
            <v>II - Antofagasta</v>
          </cell>
          <cell r="F25" t="str">
            <v>AGUAS DE ANTOFAGASTA S A</v>
          </cell>
          <cell r="G25" t="str">
            <v>Abierto</v>
          </cell>
          <cell r="H25" t="str">
            <v>Av. Jose Miguel Carrera 1527</v>
          </cell>
          <cell r="I25" t="str">
            <v>Antofagasta</v>
          </cell>
          <cell r="J25" t="str">
            <v>SIN CONVENIO</v>
          </cell>
        </row>
        <row r="26">
          <cell r="B26">
            <v>29</v>
          </cell>
          <cell r="C26" t="str">
            <v>GRAN VIA</v>
          </cell>
          <cell r="D26" t="str">
            <v>II - Antofagasta</v>
          </cell>
          <cell r="F26" t="str">
            <v>AGUAS DE ANTOFAGASTA S A</v>
          </cell>
          <cell r="G26" t="str">
            <v>Abierto</v>
          </cell>
          <cell r="H26" t="str">
            <v>Av. Angamos 0159</v>
          </cell>
          <cell r="I26" t="str">
            <v>Antofagasta</v>
          </cell>
          <cell r="J26" t="str">
            <v>SIN CONVENIO</v>
          </cell>
        </row>
        <row r="27">
          <cell r="B27">
            <v>30</v>
          </cell>
          <cell r="C27" t="str">
            <v>BALMACEDA</v>
          </cell>
          <cell r="D27" t="str">
            <v>IV - Coquimbo</v>
          </cell>
          <cell r="F27" t="str">
            <v>AGUAS DEL VALLE S A</v>
          </cell>
          <cell r="G27" t="str">
            <v>Abierto</v>
          </cell>
          <cell r="H27" t="str">
            <v>Balmaceda 1350</v>
          </cell>
          <cell r="I27" t="str">
            <v>La Serena</v>
          </cell>
          <cell r="J27" t="str">
            <v>SIN CONVENIO</v>
          </cell>
        </row>
        <row r="28">
          <cell r="B28">
            <v>32</v>
          </cell>
          <cell r="C28" t="str">
            <v>CHAÑARCILLO</v>
          </cell>
          <cell r="D28" t="str">
            <v>III - Atacama</v>
          </cell>
          <cell r="F28" t="str">
            <v>NUEVA ATACAMA</v>
          </cell>
          <cell r="G28" t="str">
            <v>Abierto</v>
          </cell>
          <cell r="H28" t="str">
            <v>Chacabuco Nº 231</v>
          </cell>
          <cell r="I28" t="str">
            <v>Copiapó</v>
          </cell>
          <cell r="J28" t="str">
            <v>CONVENIO</v>
          </cell>
        </row>
        <row r="29">
          <cell r="B29">
            <v>33</v>
          </cell>
          <cell r="C29" t="str">
            <v>COVIEFI</v>
          </cell>
          <cell r="D29" t="str">
            <v>II - Antofagasta</v>
          </cell>
          <cell r="F29" t="str">
            <v>AGUAS DE ANTOFAGASTA S A</v>
          </cell>
          <cell r="G29" t="str">
            <v>Abierto</v>
          </cell>
          <cell r="H29" t="str">
            <v>Av. Argentina 1910</v>
          </cell>
          <cell r="I29" t="str">
            <v>Antofagasta</v>
          </cell>
          <cell r="J29" t="str">
            <v>SIN CONVENIO</v>
          </cell>
        </row>
        <row r="30">
          <cell r="B30">
            <v>34</v>
          </cell>
          <cell r="C30" t="str">
            <v>LA CHIMBA</v>
          </cell>
          <cell r="D30" t="str">
            <v>II - Antofagasta</v>
          </cell>
          <cell r="F30" t="str">
            <v>AGUAS DE ANTOFAGASTA S A</v>
          </cell>
          <cell r="G30" t="str">
            <v>Abierto</v>
          </cell>
          <cell r="H30" t="str">
            <v>Pedro Aguirre Cerda 8700</v>
          </cell>
          <cell r="I30" t="str">
            <v>Antofagasta</v>
          </cell>
          <cell r="J30" t="str">
            <v>SIN CONVENIO</v>
          </cell>
        </row>
        <row r="31">
          <cell r="B31">
            <v>35</v>
          </cell>
          <cell r="C31" t="str">
            <v>CURACAVÍ I</v>
          </cell>
          <cell r="D31" t="str">
            <v>RM - Santiago</v>
          </cell>
          <cell r="F31" t="str">
            <v>AGUAS ANDINAS S.A.</v>
          </cell>
          <cell r="G31" t="str">
            <v>Abierto</v>
          </cell>
          <cell r="H31" t="str">
            <v>Av. Ambrosio Ohiggins 1920</v>
          </cell>
          <cell r="I31" t="str">
            <v>Curacaví</v>
          </cell>
          <cell r="J31" t="str">
            <v>SIN CONVENIO</v>
          </cell>
        </row>
        <row r="32">
          <cell r="B32">
            <v>36</v>
          </cell>
          <cell r="C32" t="str">
            <v>LAMPA</v>
          </cell>
          <cell r="D32" t="str">
            <v>RM - Santiago</v>
          </cell>
          <cell r="F32" t="str">
            <v>AGUAS ANDINAS S.A.</v>
          </cell>
          <cell r="G32" t="str">
            <v>Cerrado</v>
          </cell>
          <cell r="H32" t="str">
            <v>Arturo Prat 681</v>
          </cell>
          <cell r="I32" t="str">
            <v>Lampa</v>
          </cell>
          <cell r="J32" t="str">
            <v>SIN CONVENIO</v>
          </cell>
        </row>
        <row r="33">
          <cell r="B33">
            <v>41</v>
          </cell>
          <cell r="C33" t="str">
            <v>IGNACIO CARRERA PINTO</v>
          </cell>
          <cell r="D33" t="str">
            <v>RM - Santiago</v>
          </cell>
          <cell r="F33" t="str">
            <v>AGUAS ANDINAS S.A.</v>
          </cell>
          <cell r="G33" t="str">
            <v>Abierto</v>
          </cell>
          <cell r="H33" t="str">
            <v>Ignacio Carrera Pinto 3857</v>
          </cell>
          <cell r="I33" t="str">
            <v>Ñuñoa</v>
          </cell>
          <cell r="J33" t="str">
            <v>SIN CONVENIO</v>
          </cell>
        </row>
        <row r="34">
          <cell r="B34">
            <v>43</v>
          </cell>
          <cell r="C34" t="str">
            <v>BATUCO</v>
          </cell>
          <cell r="D34" t="str">
            <v>RM - Santiago</v>
          </cell>
          <cell r="F34" t="str">
            <v>AGUAS ANDINAS S.A.</v>
          </cell>
          <cell r="G34" t="str">
            <v>Abierto</v>
          </cell>
          <cell r="H34" t="str">
            <v>Av. Francia 640</v>
          </cell>
          <cell r="I34" t="str">
            <v>Lampa</v>
          </cell>
          <cell r="J34" t="str">
            <v>SIN CONVENIO</v>
          </cell>
        </row>
        <row r="35">
          <cell r="B35">
            <v>44</v>
          </cell>
          <cell r="C35" t="str">
            <v>LAS REJAS</v>
          </cell>
          <cell r="D35" t="str">
            <v>RM - Santiago</v>
          </cell>
          <cell r="F35" t="str">
            <v>SMAPA</v>
          </cell>
          <cell r="G35" t="str">
            <v>Cerrado</v>
          </cell>
          <cell r="H35" t="str">
            <v>Av. Las Rejas Sur 1279</v>
          </cell>
          <cell r="I35" t="str">
            <v>Estacion Central</v>
          </cell>
          <cell r="J35" t="str">
            <v>SIN CONVENIO</v>
          </cell>
        </row>
        <row r="36">
          <cell r="B36">
            <v>45</v>
          </cell>
          <cell r="C36" t="str">
            <v>2° TRANSVERSAL MAIPU</v>
          </cell>
          <cell r="D36" t="str">
            <v>RM - Santiago</v>
          </cell>
          <cell r="F36" t="str">
            <v>SMAPA</v>
          </cell>
          <cell r="G36" t="str">
            <v>Abierto</v>
          </cell>
          <cell r="H36" t="str">
            <v>Av. 2 Transversal 4090</v>
          </cell>
          <cell r="I36" t="str">
            <v>Maipú</v>
          </cell>
          <cell r="J36" t="str">
            <v>SIN CONVENIO</v>
          </cell>
        </row>
        <row r="37">
          <cell r="B37">
            <v>46</v>
          </cell>
          <cell r="C37" t="str">
            <v>CALAMA I</v>
          </cell>
          <cell r="D37" t="str">
            <v>II - Antofagasta</v>
          </cell>
          <cell r="E37">
            <v>3035</v>
          </cell>
          <cell r="F37" t="str">
            <v>AGUAS DE ANTOFAGASTA S A</v>
          </cell>
          <cell r="G37" t="str">
            <v>Abierto</v>
          </cell>
          <cell r="H37" t="str">
            <v>Granaderos 3180</v>
          </cell>
          <cell r="I37" t="str">
            <v>Calama</v>
          </cell>
          <cell r="J37" t="str">
            <v>SIN CONVENIO</v>
          </cell>
        </row>
        <row r="38">
          <cell r="B38">
            <v>47</v>
          </cell>
          <cell r="C38" t="str">
            <v>PLAZA</v>
          </cell>
          <cell r="D38" t="str">
            <v>II - Antofagasta</v>
          </cell>
          <cell r="F38" t="str">
            <v>AGUAS DE ANTOFAGASTA S A</v>
          </cell>
          <cell r="G38" t="str">
            <v>Abierto</v>
          </cell>
          <cell r="H38" t="str">
            <v>Ignacio Carrera Pinto 909</v>
          </cell>
          <cell r="I38" t="str">
            <v>Antofagasta</v>
          </cell>
          <cell r="J38" t="str">
            <v>SIN CONVENIO</v>
          </cell>
        </row>
        <row r="39">
          <cell r="B39">
            <v>48</v>
          </cell>
          <cell r="C39" t="str">
            <v>OVIEDO CAVADA</v>
          </cell>
          <cell r="D39" t="str">
            <v>II - Antofagasta</v>
          </cell>
          <cell r="F39" t="str">
            <v>AGUAS DE ANTOFAGASTA S A</v>
          </cell>
          <cell r="G39" t="str">
            <v>Abierto</v>
          </cell>
          <cell r="H39" t="str">
            <v>Carlos Oviedo Cavada 5319</v>
          </cell>
          <cell r="I39" t="str">
            <v>Antofagasta</v>
          </cell>
          <cell r="J39" t="str">
            <v>SIN CONVENIO</v>
          </cell>
        </row>
        <row r="40">
          <cell r="B40">
            <v>49</v>
          </cell>
          <cell r="C40" t="str">
            <v>VICUÑA P19</v>
          </cell>
          <cell r="D40" t="str">
            <v>RM - Santiago</v>
          </cell>
          <cell r="F40" t="str">
            <v>AGUAS ANDINAS S.A.</v>
          </cell>
          <cell r="G40" t="str">
            <v>Abierto</v>
          </cell>
          <cell r="H40" t="str">
            <v>Av. Vic. Mackenna  9090</v>
          </cell>
          <cell r="I40" t="str">
            <v>La Florida</v>
          </cell>
          <cell r="J40" t="str">
            <v>SIN CONVENIO</v>
          </cell>
        </row>
        <row r="41">
          <cell r="B41">
            <v>50</v>
          </cell>
          <cell r="C41" t="str">
            <v>ILLAPEL I</v>
          </cell>
          <cell r="D41" t="str">
            <v>IV - Coquimbo</v>
          </cell>
          <cell r="F41" t="str">
            <v>AGUAS DEL VALLE S A</v>
          </cell>
          <cell r="G41" t="str">
            <v>Abierto</v>
          </cell>
          <cell r="H41" t="str">
            <v>Constitucion 515</v>
          </cell>
          <cell r="I41" t="str">
            <v>Illapel</v>
          </cell>
          <cell r="J41" t="str">
            <v>SIN CONVENIO</v>
          </cell>
        </row>
        <row r="42">
          <cell r="B42">
            <v>51</v>
          </cell>
          <cell r="C42" t="str">
            <v>QUILLOTA I</v>
          </cell>
          <cell r="D42" t="str">
            <v>V - Valparaiso</v>
          </cell>
          <cell r="F42" t="str">
            <v>ESVAL S.A.</v>
          </cell>
          <cell r="G42" t="str">
            <v>Abierto</v>
          </cell>
          <cell r="H42" t="str">
            <v>O'Higgins 34</v>
          </cell>
          <cell r="I42" t="str">
            <v>Quillota</v>
          </cell>
          <cell r="J42" t="str">
            <v>SIN CONVENIO</v>
          </cell>
        </row>
        <row r="43">
          <cell r="B43">
            <v>53</v>
          </cell>
          <cell r="C43" t="str">
            <v>SAN FELIPE</v>
          </cell>
          <cell r="D43" t="str">
            <v>V - Valparaiso</v>
          </cell>
          <cell r="F43" t="str">
            <v>ESVAL S.A.</v>
          </cell>
          <cell r="G43" t="str">
            <v>Abierto</v>
          </cell>
          <cell r="H43" t="str">
            <v>Portus 1248</v>
          </cell>
          <cell r="I43" t="str">
            <v>San Felipe</v>
          </cell>
          <cell r="J43" t="str">
            <v>SIN CONVENIO</v>
          </cell>
        </row>
        <row r="44">
          <cell r="B44">
            <v>54</v>
          </cell>
          <cell r="C44" t="str">
            <v>LOS ANDES</v>
          </cell>
          <cell r="D44" t="str">
            <v>V - Valparaiso</v>
          </cell>
          <cell r="F44" t="str">
            <v>ESVAL S.A.</v>
          </cell>
          <cell r="G44" t="str">
            <v>Abierto</v>
          </cell>
          <cell r="H44" t="str">
            <v>Yerbas Buenas 460</v>
          </cell>
          <cell r="I44" t="str">
            <v>Los Andes</v>
          </cell>
          <cell r="J44" t="str">
            <v>SIN CONVENIO</v>
          </cell>
        </row>
        <row r="45">
          <cell r="B45">
            <v>56</v>
          </cell>
          <cell r="C45" t="str">
            <v>LARAPINTA</v>
          </cell>
          <cell r="D45" t="str">
            <v>RM - Santiago</v>
          </cell>
          <cell r="F45" t="str">
            <v>AGUAS ANDINAS S.A.</v>
          </cell>
          <cell r="G45" t="str">
            <v>Abierto</v>
          </cell>
          <cell r="H45" t="str">
            <v>Av. Los Halcones 2180</v>
          </cell>
          <cell r="I45" t="str">
            <v>Lampa</v>
          </cell>
          <cell r="J45" t="str">
            <v>SIN CONVENIO</v>
          </cell>
        </row>
        <row r="46">
          <cell r="B46">
            <v>58</v>
          </cell>
          <cell r="C46" t="str">
            <v>CONCHA Y TORO</v>
          </cell>
          <cell r="D46" t="str">
            <v>RM - Santiago</v>
          </cell>
          <cell r="F46" t="str">
            <v>AGUAS ANDINAS S.A.</v>
          </cell>
          <cell r="G46" t="str">
            <v>Abierto</v>
          </cell>
          <cell r="H46" t="str">
            <v>Av. Concha Y Toro N°3193</v>
          </cell>
          <cell r="I46" t="str">
            <v>Puente Alto</v>
          </cell>
          <cell r="J46" t="str">
            <v>SIN CONVENIO</v>
          </cell>
        </row>
        <row r="47">
          <cell r="B47">
            <v>59</v>
          </cell>
          <cell r="C47" t="str">
            <v>ILLAPEL II</v>
          </cell>
          <cell r="D47" t="str">
            <v>IV - Coquimbo</v>
          </cell>
          <cell r="F47" t="str">
            <v>AGUAS DEL VALLE S A</v>
          </cell>
          <cell r="G47" t="str">
            <v>Abierto</v>
          </cell>
          <cell r="H47" t="str">
            <v>Independencia 0104</v>
          </cell>
          <cell r="I47" t="str">
            <v>Illapel</v>
          </cell>
          <cell r="J47" t="str">
            <v>SIN CONVENIO</v>
          </cell>
        </row>
        <row r="48">
          <cell r="B48">
            <v>60</v>
          </cell>
          <cell r="C48" t="str">
            <v>LOS VILOS</v>
          </cell>
          <cell r="D48" t="str">
            <v>IV - Coquimbo</v>
          </cell>
          <cell r="F48" t="str">
            <v>AGUAS DEL VALLE S A</v>
          </cell>
          <cell r="G48" t="str">
            <v>Abierto</v>
          </cell>
          <cell r="H48" t="str">
            <v>Caupolican 584</v>
          </cell>
          <cell r="I48" t="str">
            <v>Los Vilos</v>
          </cell>
          <cell r="J48" t="str">
            <v>SIN CONVENIO</v>
          </cell>
        </row>
        <row r="49">
          <cell r="B49">
            <v>61</v>
          </cell>
          <cell r="C49" t="str">
            <v>SAN BERNARDO I</v>
          </cell>
          <cell r="D49" t="str">
            <v>RM - Santiago</v>
          </cell>
          <cell r="F49" t="str">
            <v>AGUAS ANDINAS S.A.</v>
          </cell>
          <cell r="G49" t="str">
            <v>Cerrado</v>
          </cell>
          <cell r="H49" t="str">
            <v>Av. Padre Hurtado 13694</v>
          </cell>
          <cell r="I49" t="str">
            <v>San Bernardo</v>
          </cell>
          <cell r="J49" t="str">
            <v>SIN CONVENIO</v>
          </cell>
        </row>
        <row r="50">
          <cell r="B50">
            <v>62</v>
          </cell>
          <cell r="C50" t="str">
            <v>CARRASCAL</v>
          </cell>
          <cell r="D50" t="str">
            <v>RM - Santiago</v>
          </cell>
          <cell r="F50" t="str">
            <v>AGUAS ANDINAS S.A.</v>
          </cell>
          <cell r="G50" t="str">
            <v>Abierto</v>
          </cell>
          <cell r="H50" t="str">
            <v>Gonzalo Bulnes 2407</v>
          </cell>
          <cell r="I50" t="str">
            <v>Quinta Normal</v>
          </cell>
          <cell r="J50" t="str">
            <v>SIN CONVENIO</v>
          </cell>
        </row>
        <row r="51">
          <cell r="B51">
            <v>63</v>
          </cell>
          <cell r="C51" t="str">
            <v>RINCONADA</v>
          </cell>
          <cell r="D51" t="str">
            <v>RM - Santiago</v>
          </cell>
          <cell r="F51" t="str">
            <v>SMAPA</v>
          </cell>
          <cell r="G51" t="str">
            <v>Cerrado</v>
          </cell>
          <cell r="H51" t="str">
            <v>Av. Rinconada 1900</v>
          </cell>
          <cell r="I51" t="str">
            <v>Maipú</v>
          </cell>
          <cell r="J51" t="str">
            <v>SIN CONVENIO</v>
          </cell>
        </row>
        <row r="52">
          <cell r="B52">
            <v>64</v>
          </cell>
          <cell r="C52" t="str">
            <v>FRANKLIN</v>
          </cell>
          <cell r="D52" t="str">
            <v>RM - Santiago</v>
          </cell>
          <cell r="F52" t="str">
            <v>AGUAS ANDINAS S.A.</v>
          </cell>
          <cell r="G52" t="str">
            <v>Cerrado</v>
          </cell>
          <cell r="H52" t="str">
            <v>San Francisco 2265</v>
          </cell>
          <cell r="I52" t="str">
            <v>Santiago</v>
          </cell>
          <cell r="J52" t="str">
            <v>SIN CONVENIO</v>
          </cell>
        </row>
        <row r="53">
          <cell r="B53">
            <v>67</v>
          </cell>
          <cell r="C53" t="str">
            <v>CASABLANCA</v>
          </cell>
          <cell r="D53" t="str">
            <v>V - Valparaiso</v>
          </cell>
          <cell r="F53" t="str">
            <v>ESVAL S.A.</v>
          </cell>
          <cell r="G53" t="str">
            <v>Abierto</v>
          </cell>
          <cell r="H53" t="str">
            <v>Constitucion 120</v>
          </cell>
          <cell r="I53" t="str">
            <v>Casablanca</v>
          </cell>
          <cell r="J53" t="str">
            <v>SIN CONVENIO</v>
          </cell>
        </row>
        <row r="54">
          <cell r="B54">
            <v>68</v>
          </cell>
          <cell r="C54" t="str">
            <v>BUIN</v>
          </cell>
          <cell r="D54" t="str">
            <v>RM - Santiago</v>
          </cell>
          <cell r="F54" t="str">
            <v>AGUAS ANDINAS S.A.</v>
          </cell>
          <cell r="G54" t="str">
            <v>Abierto</v>
          </cell>
          <cell r="H54" t="str">
            <v>Balmaceda 280</v>
          </cell>
          <cell r="I54" t="str">
            <v>Buin</v>
          </cell>
          <cell r="J54" t="str">
            <v>SIN CONVENIO</v>
          </cell>
        </row>
        <row r="55">
          <cell r="B55">
            <v>70</v>
          </cell>
          <cell r="C55" t="str">
            <v>LOTA I</v>
          </cell>
          <cell r="D55" t="str">
            <v>VIII - Biobío</v>
          </cell>
          <cell r="F55" t="str">
            <v>ESSBIO S.A.</v>
          </cell>
          <cell r="G55" t="str">
            <v>Cerrado</v>
          </cell>
          <cell r="H55" t="str">
            <v>Anibal Pinto 143</v>
          </cell>
          <cell r="I55" t="str">
            <v>Lota</v>
          </cell>
          <cell r="J55" t="str">
            <v>SIN CONVENIO</v>
          </cell>
        </row>
        <row r="56">
          <cell r="B56">
            <v>71</v>
          </cell>
          <cell r="C56" t="str">
            <v>PENCO</v>
          </cell>
          <cell r="D56" t="str">
            <v>VIII - Biobío</v>
          </cell>
          <cell r="F56" t="str">
            <v>ESSBIO S.A.</v>
          </cell>
          <cell r="G56" t="str">
            <v>Abierto</v>
          </cell>
          <cell r="H56" t="str">
            <v>Freire 699</v>
          </cell>
          <cell r="I56" t="str">
            <v>Penco</v>
          </cell>
          <cell r="J56" t="str">
            <v>SIN CONVENIO</v>
          </cell>
        </row>
        <row r="57">
          <cell r="B57">
            <v>72</v>
          </cell>
          <cell r="C57" t="str">
            <v>TOME</v>
          </cell>
          <cell r="D57" t="str">
            <v>VIII - Biobío</v>
          </cell>
          <cell r="F57" t="str">
            <v>ESSBIO S.A.</v>
          </cell>
          <cell r="G57" t="str">
            <v>Cerrado</v>
          </cell>
          <cell r="H57" t="str">
            <v>Manuel Montt 1251</v>
          </cell>
          <cell r="I57" t="str">
            <v>Tomé</v>
          </cell>
          <cell r="J57" t="str">
            <v>SIN CONVENIO</v>
          </cell>
        </row>
        <row r="58">
          <cell r="B58">
            <v>73</v>
          </cell>
          <cell r="C58" t="str">
            <v>TALCAHUANO</v>
          </cell>
          <cell r="D58" t="str">
            <v>VIII - Biobío</v>
          </cell>
          <cell r="F58" t="str">
            <v>ESSBIO S.A.</v>
          </cell>
          <cell r="G58" t="str">
            <v>Cerrado</v>
          </cell>
          <cell r="H58" t="str">
            <v>Bilbao 200</v>
          </cell>
          <cell r="I58" t="str">
            <v>Talcahuano</v>
          </cell>
          <cell r="J58" t="str">
            <v>SIN CONVENIO</v>
          </cell>
        </row>
        <row r="59">
          <cell r="B59">
            <v>74</v>
          </cell>
          <cell r="C59" t="str">
            <v>HIGUERAS</v>
          </cell>
          <cell r="D59" t="str">
            <v>VIII - Biobío</v>
          </cell>
          <cell r="F59" t="str">
            <v>ESSBIO S.A.</v>
          </cell>
          <cell r="G59" t="str">
            <v>Abierto</v>
          </cell>
          <cell r="H59" t="str">
            <v>Las Araucarias 295</v>
          </cell>
          <cell r="I59" t="str">
            <v>Talcahuano</v>
          </cell>
          <cell r="J59" t="str">
            <v>SIN CONVENIO</v>
          </cell>
        </row>
        <row r="60">
          <cell r="B60">
            <v>75</v>
          </cell>
          <cell r="C60" t="str">
            <v>CONCEPCION II</v>
          </cell>
          <cell r="D60" t="str">
            <v>VIII - Biobío</v>
          </cell>
          <cell r="F60" t="str">
            <v>ESSBIO S.A.</v>
          </cell>
          <cell r="G60" t="str">
            <v>Abierto</v>
          </cell>
          <cell r="H60" t="str">
            <v>Tucapel 1313</v>
          </cell>
          <cell r="I60" t="str">
            <v>Concepción</v>
          </cell>
          <cell r="J60" t="str">
            <v>SIN CONVENIO</v>
          </cell>
        </row>
        <row r="61">
          <cell r="B61">
            <v>76</v>
          </cell>
          <cell r="C61" t="str">
            <v>CORONEL</v>
          </cell>
          <cell r="D61" t="str">
            <v>VIII - Biobío</v>
          </cell>
          <cell r="F61" t="str">
            <v>ESSBIO S.A.</v>
          </cell>
          <cell r="G61" t="str">
            <v>Abierto</v>
          </cell>
          <cell r="H61" t="str">
            <v>M. Montt 501</v>
          </cell>
          <cell r="I61" t="str">
            <v>Coronel</v>
          </cell>
          <cell r="J61" t="str">
            <v>SIN CONVENIO</v>
          </cell>
        </row>
        <row r="62">
          <cell r="B62">
            <v>77</v>
          </cell>
          <cell r="C62" t="str">
            <v>LOTA II</v>
          </cell>
          <cell r="D62" t="str">
            <v>VIII - Biobío</v>
          </cell>
          <cell r="F62" t="str">
            <v>ESSBIO S.A.</v>
          </cell>
          <cell r="G62" t="str">
            <v>Abierto</v>
          </cell>
          <cell r="H62" t="str">
            <v>Pedro Aguirre Cerda 684</v>
          </cell>
          <cell r="I62" t="str">
            <v>Lota</v>
          </cell>
          <cell r="J62" t="str">
            <v>SIN CONVENIO</v>
          </cell>
        </row>
        <row r="63">
          <cell r="B63">
            <v>78</v>
          </cell>
          <cell r="C63" t="str">
            <v>BELLAVISTA</v>
          </cell>
          <cell r="D63" t="str">
            <v>VIII - Biobío</v>
          </cell>
          <cell r="F63" t="str">
            <v>ESSBIO S.A.</v>
          </cell>
          <cell r="G63" t="str">
            <v>Abierto</v>
          </cell>
          <cell r="H63" t="str">
            <v>Los Lleuques 1540</v>
          </cell>
          <cell r="I63" t="str">
            <v>Concepción</v>
          </cell>
          <cell r="J63" t="str">
            <v>SIN CONVENIO</v>
          </cell>
        </row>
        <row r="64">
          <cell r="B64">
            <v>79</v>
          </cell>
          <cell r="C64" t="str">
            <v>CHIGUAYANTE</v>
          </cell>
          <cell r="D64" t="str">
            <v>VIII - Biobío</v>
          </cell>
          <cell r="F64" t="str">
            <v>ESSBIO S.A.</v>
          </cell>
          <cell r="G64" t="str">
            <v>Abierto</v>
          </cell>
          <cell r="H64" t="str">
            <v>Manuel Rodriguez 785</v>
          </cell>
          <cell r="I64" t="str">
            <v>Chiguayante</v>
          </cell>
          <cell r="J64" t="str">
            <v>SIN CONVENIO</v>
          </cell>
        </row>
        <row r="65">
          <cell r="B65">
            <v>80</v>
          </cell>
          <cell r="C65" t="str">
            <v>ANGOL I</v>
          </cell>
          <cell r="D65" t="str">
            <v>IX - Araucanía</v>
          </cell>
          <cell r="F65" t="str">
            <v>AGUAS ARAUCANIA S A</v>
          </cell>
          <cell r="G65" t="str">
            <v>Abierto</v>
          </cell>
          <cell r="H65" t="str">
            <v>Av. O'Higgins 1257</v>
          </cell>
          <cell r="I65" t="str">
            <v>Angol</v>
          </cell>
          <cell r="J65" t="str">
            <v>SIN CONVENIO</v>
          </cell>
        </row>
        <row r="66">
          <cell r="B66">
            <v>81</v>
          </cell>
          <cell r="C66" t="str">
            <v>LOMAS COLORADAS</v>
          </cell>
          <cell r="D66" t="str">
            <v>VIII - Biobío</v>
          </cell>
          <cell r="F66" t="str">
            <v>ESSBIO S.A.</v>
          </cell>
          <cell r="G66" t="str">
            <v>Abierto</v>
          </cell>
          <cell r="H66" t="str">
            <v>Los Mañios 7045</v>
          </cell>
          <cell r="I66" t="str">
            <v>San Pedro de la Paz</v>
          </cell>
          <cell r="J66" t="str">
            <v>SIN CONVENIO</v>
          </cell>
        </row>
        <row r="67">
          <cell r="B67">
            <v>82</v>
          </cell>
          <cell r="C67" t="str">
            <v>ALTO JAHUEL</v>
          </cell>
          <cell r="D67" t="str">
            <v>RM - Santiago</v>
          </cell>
          <cell r="F67" t="str">
            <v>AGUAS ANDINAS S.A.</v>
          </cell>
          <cell r="G67" t="str">
            <v>Abierto</v>
          </cell>
          <cell r="H67" t="str">
            <v>Miraflores 242</v>
          </cell>
          <cell r="I67" t="str">
            <v>Buin</v>
          </cell>
          <cell r="J67" t="str">
            <v>SIN CONVENIO</v>
          </cell>
        </row>
        <row r="68">
          <cell r="B68">
            <v>85</v>
          </cell>
          <cell r="C68" t="str">
            <v>AMUNATEGUI</v>
          </cell>
          <cell r="D68" t="str">
            <v>I - Tarapacá</v>
          </cell>
          <cell r="F68" t="str">
            <v>AGUAS DEL ALTIPLANO S.A.</v>
          </cell>
          <cell r="G68" t="str">
            <v>Abierto</v>
          </cell>
          <cell r="H68" t="str">
            <v>Amunategui 902</v>
          </cell>
          <cell r="I68" t="str">
            <v>Iquique</v>
          </cell>
          <cell r="J68" t="str">
            <v>CONVENIO</v>
          </cell>
        </row>
        <row r="69">
          <cell r="B69">
            <v>86</v>
          </cell>
          <cell r="C69" t="str">
            <v>BILBAO</v>
          </cell>
          <cell r="D69" t="str">
            <v>I - Tarapacá</v>
          </cell>
          <cell r="E69">
            <v>4049</v>
          </cell>
          <cell r="F69" t="str">
            <v>AGUAS DEL ALTIPLANO S.A.</v>
          </cell>
          <cell r="G69" t="str">
            <v>Abierto</v>
          </cell>
          <cell r="H69" t="str">
            <v>Fco.Bilbao 3545</v>
          </cell>
          <cell r="I69" t="str">
            <v>Iquique</v>
          </cell>
          <cell r="J69" t="str">
            <v>CONVENIO</v>
          </cell>
        </row>
        <row r="70">
          <cell r="B70">
            <v>87</v>
          </cell>
          <cell r="C70" t="str">
            <v>JUAN MARTINEZ</v>
          </cell>
          <cell r="D70" t="str">
            <v>I - Tarapacá</v>
          </cell>
          <cell r="F70" t="str">
            <v>AGUAS DEL ALTIPLANO S.A.</v>
          </cell>
          <cell r="G70" t="str">
            <v>Abierto</v>
          </cell>
          <cell r="H70" t="str">
            <v>M. Rodriguez 964</v>
          </cell>
          <cell r="I70" t="str">
            <v>Iquique</v>
          </cell>
          <cell r="J70" t="str">
            <v>CONVENIO</v>
          </cell>
        </row>
        <row r="71">
          <cell r="B71">
            <v>88</v>
          </cell>
          <cell r="C71" t="str">
            <v>LINARES I</v>
          </cell>
          <cell r="D71" t="str">
            <v>VII - Maule</v>
          </cell>
          <cell r="F71" t="str">
            <v>NUEVOSUR S.A.</v>
          </cell>
          <cell r="G71" t="str">
            <v>Abierto</v>
          </cell>
          <cell r="H71" t="str">
            <v>Maipu Nº 556</v>
          </cell>
          <cell r="I71" t="str">
            <v>Linares</v>
          </cell>
          <cell r="J71" t="str">
            <v>SIN CONVENIO</v>
          </cell>
        </row>
        <row r="72">
          <cell r="B72">
            <v>90</v>
          </cell>
          <cell r="C72" t="str">
            <v>LINARES II</v>
          </cell>
          <cell r="D72" t="str">
            <v>VII - Maule</v>
          </cell>
          <cell r="F72" t="str">
            <v>NUEVOSUR S.A.</v>
          </cell>
          <cell r="G72" t="str">
            <v>Cerrado</v>
          </cell>
          <cell r="H72" t="str">
            <v>Av. Januario Espinoza 985</v>
          </cell>
          <cell r="I72" t="str">
            <v>Linares</v>
          </cell>
          <cell r="J72" t="str">
            <v>SIN CONVENIO</v>
          </cell>
        </row>
        <row r="73">
          <cell r="B73">
            <v>91</v>
          </cell>
          <cell r="C73" t="str">
            <v>COMBARBALA</v>
          </cell>
          <cell r="D73" t="str">
            <v>IV - Coquimbo</v>
          </cell>
          <cell r="F73" t="str">
            <v>AGUAS DEL VALLE S A</v>
          </cell>
          <cell r="G73" t="str">
            <v>Abierto</v>
          </cell>
          <cell r="H73" t="str">
            <v>Comercio 310</v>
          </cell>
          <cell r="I73" t="str">
            <v>Combarbalá</v>
          </cell>
          <cell r="J73" t="str">
            <v>SIN CONVENIO</v>
          </cell>
        </row>
        <row r="74">
          <cell r="B74">
            <v>92</v>
          </cell>
          <cell r="C74" t="str">
            <v>LIMACHE</v>
          </cell>
          <cell r="D74" t="str">
            <v>V - Valparaiso</v>
          </cell>
          <cell r="F74" t="str">
            <v>ESVAL S.A.</v>
          </cell>
          <cell r="G74" t="str">
            <v>Abierto</v>
          </cell>
          <cell r="H74" t="str">
            <v>Republica 342</v>
          </cell>
          <cell r="I74" t="str">
            <v>Limache</v>
          </cell>
          <cell r="J74" t="str">
            <v>SIN CONVENIO</v>
          </cell>
        </row>
        <row r="75">
          <cell r="B75">
            <v>93</v>
          </cell>
          <cell r="C75" t="str">
            <v>SAN FERNANDO II</v>
          </cell>
          <cell r="D75" t="str">
            <v>VI - O'Higgins</v>
          </cell>
          <cell r="F75" t="str">
            <v>ESSBIO S.A.</v>
          </cell>
          <cell r="G75" t="str">
            <v>Abierto</v>
          </cell>
          <cell r="H75" t="str">
            <v>Manuel Rodriguez 954</v>
          </cell>
          <cell r="I75" t="str">
            <v>San Fernando</v>
          </cell>
          <cell r="J75" t="str">
            <v>SIN CONVENIO</v>
          </cell>
        </row>
        <row r="76">
          <cell r="B76">
            <v>96</v>
          </cell>
          <cell r="C76" t="str">
            <v>SAN FERNANDO I</v>
          </cell>
          <cell r="D76" t="str">
            <v>VI - O'Higgins</v>
          </cell>
          <cell r="F76" t="str">
            <v>ESSBIO S.A.</v>
          </cell>
          <cell r="G76" t="str">
            <v>Abierto</v>
          </cell>
          <cell r="H76" t="str">
            <v>Avenida Bernardo O"Higgins 601</v>
          </cell>
          <cell r="I76" t="str">
            <v>San Fernando</v>
          </cell>
          <cell r="J76" t="str">
            <v>SIN CONVENIO</v>
          </cell>
        </row>
        <row r="77">
          <cell r="B77">
            <v>97</v>
          </cell>
          <cell r="C77" t="str">
            <v>SALAMANCA</v>
          </cell>
          <cell r="D77" t="str">
            <v>IV - Coquimbo</v>
          </cell>
          <cell r="F77" t="str">
            <v>AGUAS DEL VALLE S A</v>
          </cell>
          <cell r="G77" t="str">
            <v>Abierto</v>
          </cell>
          <cell r="H77" t="str">
            <v>Manuel Bulnes 677</v>
          </cell>
          <cell r="I77" t="str">
            <v>Salamanca</v>
          </cell>
          <cell r="J77" t="str">
            <v>SIN CONVENIO</v>
          </cell>
        </row>
        <row r="78">
          <cell r="B78">
            <v>103</v>
          </cell>
          <cell r="C78" t="str">
            <v>VIVAR</v>
          </cell>
          <cell r="D78" t="str">
            <v>I - Tarapacá</v>
          </cell>
          <cell r="E78">
            <v>4420</v>
          </cell>
          <cell r="F78" t="str">
            <v>AGUAS DEL ALTIPLANO S.A.</v>
          </cell>
          <cell r="G78" t="str">
            <v>Abierto</v>
          </cell>
          <cell r="H78" t="str">
            <v>Vivar 786</v>
          </cell>
          <cell r="I78" t="str">
            <v>Iquique</v>
          </cell>
          <cell r="J78" t="str">
            <v>CONVENIO</v>
          </cell>
        </row>
        <row r="79">
          <cell r="B79">
            <v>104</v>
          </cell>
          <cell r="C79" t="str">
            <v>ALTO HOSPICIO</v>
          </cell>
          <cell r="D79" t="str">
            <v>I - Tarapacá</v>
          </cell>
          <cell r="F79" t="str">
            <v>AGUAS DEL ALTIPLANO S.A.</v>
          </cell>
          <cell r="G79" t="str">
            <v>Cerrado</v>
          </cell>
          <cell r="H79" t="str">
            <v>Av. Pérez Opazo 3165</v>
          </cell>
          <cell r="I79" t="str">
            <v>Alto Hospicio</v>
          </cell>
          <cell r="J79" t="str">
            <v>SIN CONVENIO</v>
          </cell>
        </row>
        <row r="80">
          <cell r="B80">
            <v>105</v>
          </cell>
          <cell r="C80" t="str">
            <v>IQUIQUE CENTRO</v>
          </cell>
          <cell r="D80" t="str">
            <v>I - Tarapacá</v>
          </cell>
          <cell r="E80">
            <v>4051</v>
          </cell>
          <cell r="F80" t="str">
            <v>AGUAS DEL ALTIPLANO S.A.</v>
          </cell>
          <cell r="G80" t="str">
            <v>Abierto</v>
          </cell>
          <cell r="H80" t="str">
            <v>Tarapaca 579</v>
          </cell>
          <cell r="I80" t="str">
            <v>Iquique</v>
          </cell>
          <cell r="J80" t="str">
            <v>TERMINADO</v>
          </cell>
        </row>
        <row r="81">
          <cell r="B81">
            <v>106</v>
          </cell>
          <cell r="C81" t="str">
            <v>LOS MOLLES</v>
          </cell>
          <cell r="D81" t="str">
            <v>I - Tarapacá</v>
          </cell>
          <cell r="E81">
            <v>4050</v>
          </cell>
          <cell r="F81" t="str">
            <v>AGUAS DEL ALTIPLANO S.A.</v>
          </cell>
          <cell r="G81" t="str">
            <v>Abierto</v>
          </cell>
          <cell r="H81" t="str">
            <v>Santiago Polanco 2251</v>
          </cell>
          <cell r="I81" t="str">
            <v>Iquique</v>
          </cell>
          <cell r="J81" t="str">
            <v>CONVENIO</v>
          </cell>
        </row>
        <row r="82">
          <cell r="B82">
            <v>107</v>
          </cell>
          <cell r="C82" t="str">
            <v>BENAVENTE</v>
          </cell>
          <cell r="D82" t="str">
            <v>IV - Coquimbo</v>
          </cell>
          <cell r="F82" t="str">
            <v>AGUAS DEL VALLE S A</v>
          </cell>
          <cell r="G82" t="str">
            <v>Abierto</v>
          </cell>
          <cell r="H82" t="str">
            <v>Benavente 221</v>
          </cell>
          <cell r="I82" t="str">
            <v>Ovalle</v>
          </cell>
          <cell r="J82" t="str">
            <v>SIN CONVENIO</v>
          </cell>
        </row>
        <row r="83">
          <cell r="B83">
            <v>109</v>
          </cell>
          <cell r="C83" t="str">
            <v>TOCOPILLA I</v>
          </cell>
          <cell r="D83" t="str">
            <v>II - Antofagasta</v>
          </cell>
          <cell r="F83" t="str">
            <v>AGUAS DE ANTOFAGASTA S A</v>
          </cell>
          <cell r="G83" t="str">
            <v>Abierto</v>
          </cell>
          <cell r="H83" t="str">
            <v>21 Mayo 1704</v>
          </cell>
          <cell r="I83" t="str">
            <v>Tocopilla</v>
          </cell>
          <cell r="J83" t="str">
            <v>SIN CONVENIO</v>
          </cell>
        </row>
        <row r="84">
          <cell r="B84">
            <v>110</v>
          </cell>
          <cell r="C84" t="str">
            <v>TOCOPILLA II</v>
          </cell>
          <cell r="D84" t="str">
            <v>II - Antofagasta</v>
          </cell>
          <cell r="F84" t="str">
            <v>AGUAS DE ANTOFAGASTA S A</v>
          </cell>
          <cell r="G84" t="str">
            <v>Abierto</v>
          </cell>
          <cell r="H84" t="str">
            <v>POLICARPO TORO S/N</v>
          </cell>
          <cell r="I84" t="str">
            <v>Tocopilla</v>
          </cell>
          <cell r="J84" t="str">
            <v>SIN CONVENIO</v>
          </cell>
        </row>
        <row r="85">
          <cell r="B85">
            <v>111</v>
          </cell>
          <cell r="C85" t="str">
            <v>CALAMA II</v>
          </cell>
          <cell r="D85" t="str">
            <v>II - Antofagasta</v>
          </cell>
          <cell r="E85">
            <v>2966</v>
          </cell>
          <cell r="F85" t="str">
            <v>AGUAS DE ANTOFAGASTA S A</v>
          </cell>
          <cell r="G85" t="str">
            <v>Abierto</v>
          </cell>
          <cell r="H85" t="str">
            <v>Aconcagua 2588</v>
          </cell>
          <cell r="I85" t="str">
            <v>Calama</v>
          </cell>
          <cell r="J85" t="str">
            <v>SIN CONVENIO</v>
          </cell>
        </row>
        <row r="86">
          <cell r="B86">
            <v>321</v>
          </cell>
          <cell r="C86" t="str">
            <v>VITACURA</v>
          </cell>
          <cell r="D86" t="str">
            <v>RM - Santiago</v>
          </cell>
          <cell r="F86" t="str">
            <v>AGUAS ANDINAS S.A.</v>
          </cell>
          <cell r="G86" t="str">
            <v>Cerrado</v>
          </cell>
          <cell r="H86" t="str">
            <v>Avenida Vitacura 4607</v>
          </cell>
          <cell r="I86" t="str">
            <v>Vitacura</v>
          </cell>
          <cell r="J86" t="str">
            <v>SIN CONVENIO</v>
          </cell>
        </row>
        <row r="87">
          <cell r="B87">
            <v>323</v>
          </cell>
          <cell r="C87" t="str">
            <v>VICUÑA MACKENNA</v>
          </cell>
          <cell r="D87" t="str">
            <v>RM - Santiago</v>
          </cell>
          <cell r="F87" t="str">
            <v>AGUAS ANDINAS S.A.</v>
          </cell>
          <cell r="G87" t="str">
            <v>Cerrado</v>
          </cell>
          <cell r="H87" t="str">
            <v>Av. Serafín Zamora 127</v>
          </cell>
          <cell r="I87" t="str">
            <v>La Florida</v>
          </cell>
          <cell r="J87" t="str">
            <v>SIN CONVENIO</v>
          </cell>
        </row>
        <row r="88">
          <cell r="B88">
            <v>324</v>
          </cell>
          <cell r="C88" t="str">
            <v>MACHALI</v>
          </cell>
          <cell r="D88" t="str">
            <v>VI - O'Higgins</v>
          </cell>
          <cell r="F88" t="str">
            <v>ESSBIO S.A.</v>
          </cell>
          <cell r="G88" t="str">
            <v>Abierto</v>
          </cell>
          <cell r="H88" t="str">
            <v>Miguel Ramirez 1420</v>
          </cell>
          <cell r="I88" t="str">
            <v>Rancagua</v>
          </cell>
          <cell r="J88" t="str">
            <v>SIN CONVENIO</v>
          </cell>
        </row>
        <row r="89">
          <cell r="B89">
            <v>325</v>
          </cell>
          <cell r="C89" t="str">
            <v>IRARRAZAVAL</v>
          </cell>
          <cell r="D89" t="str">
            <v>RM - Santiago</v>
          </cell>
          <cell r="F89" t="str">
            <v>AGUAS ANDINAS S.A.</v>
          </cell>
          <cell r="G89" t="str">
            <v>Abierto</v>
          </cell>
          <cell r="H89" t="str">
            <v>Av. Irarrázaval 4354</v>
          </cell>
          <cell r="I89" t="str">
            <v>Ñuñoa</v>
          </cell>
          <cell r="J89" t="str">
            <v>SIN CONVENIO</v>
          </cell>
        </row>
        <row r="90">
          <cell r="B90">
            <v>326</v>
          </cell>
          <cell r="C90" t="str">
            <v>ESCUELA MILITAR</v>
          </cell>
          <cell r="D90" t="str">
            <v>RM - Santiago</v>
          </cell>
          <cell r="F90" t="str">
            <v>AGUAS ANDINAS S.A.</v>
          </cell>
          <cell r="G90" t="str">
            <v>Abierto</v>
          </cell>
          <cell r="H90" t="str">
            <v>Apoquindo 4335</v>
          </cell>
          <cell r="I90" t="str">
            <v>Las Condes</v>
          </cell>
          <cell r="J90" t="str">
            <v>SIN CONVENIO</v>
          </cell>
        </row>
        <row r="91">
          <cell r="B91">
            <v>327</v>
          </cell>
          <cell r="C91" t="str">
            <v>MANQUEHUE</v>
          </cell>
          <cell r="D91" t="str">
            <v>RM - Santiago</v>
          </cell>
          <cell r="F91" t="str">
            <v>AGUAS ANDINAS S.A.</v>
          </cell>
          <cell r="G91" t="str">
            <v>Abierto</v>
          </cell>
          <cell r="H91" t="str">
            <v>Manquehue 1700</v>
          </cell>
          <cell r="I91" t="str">
            <v>Las Condes</v>
          </cell>
          <cell r="J91" t="str">
            <v>SIN CONVENIO</v>
          </cell>
        </row>
        <row r="92">
          <cell r="B92">
            <v>328</v>
          </cell>
          <cell r="C92" t="str">
            <v>GRAN AVENIDA I</v>
          </cell>
          <cell r="D92" t="str">
            <v>RM - Santiago</v>
          </cell>
          <cell r="F92" t="str">
            <v>AGUAS ANDINAS S.A.</v>
          </cell>
          <cell r="G92" t="str">
            <v>Abierto</v>
          </cell>
          <cell r="H92" t="str">
            <v>Avenida Jose Miguel Carrera 5485</v>
          </cell>
          <cell r="I92" t="str">
            <v>San Miguel</v>
          </cell>
          <cell r="J92" t="str">
            <v>SIN CONVENIO</v>
          </cell>
        </row>
        <row r="93">
          <cell r="B93">
            <v>330</v>
          </cell>
          <cell r="C93" t="str">
            <v>PROVIDENCIA</v>
          </cell>
          <cell r="D93" t="str">
            <v>RM - Santiago</v>
          </cell>
          <cell r="F93" t="str">
            <v>AGUAS ANDINAS S.A.</v>
          </cell>
          <cell r="G93" t="str">
            <v>Cerrado</v>
          </cell>
          <cell r="H93" t="str">
            <v>Apoquindo 2770</v>
          </cell>
          <cell r="I93" t="str">
            <v>Las Condes</v>
          </cell>
          <cell r="J93" t="str">
            <v>SIN CONVENIO</v>
          </cell>
        </row>
        <row r="94">
          <cell r="B94">
            <v>331</v>
          </cell>
          <cell r="C94" t="str">
            <v>DIEGO PORTALES</v>
          </cell>
          <cell r="D94" t="str">
            <v>RM - Santiago</v>
          </cell>
          <cell r="F94" t="str">
            <v>AGUAS ANDINAS S.A.</v>
          </cell>
          <cell r="G94" t="str">
            <v>Abierto</v>
          </cell>
          <cell r="H94" t="str">
            <v>Av. Portugal 56</v>
          </cell>
          <cell r="I94" t="str">
            <v>Santiago</v>
          </cell>
          <cell r="J94" t="str">
            <v>SIN CONVENIO</v>
          </cell>
        </row>
        <row r="95">
          <cell r="B95">
            <v>332</v>
          </cell>
          <cell r="C95" t="str">
            <v>1 NORTE</v>
          </cell>
          <cell r="D95" t="str">
            <v>V - Valparaiso</v>
          </cell>
          <cell r="F95" t="str">
            <v>ESVAL S.A.</v>
          </cell>
          <cell r="G95" t="str">
            <v>Abierto</v>
          </cell>
          <cell r="H95" t="str">
            <v>1 Norte 869</v>
          </cell>
          <cell r="I95" t="str">
            <v>Viña Del Mar</v>
          </cell>
          <cell r="J95" t="str">
            <v>SIN CONVENIO</v>
          </cell>
        </row>
        <row r="96">
          <cell r="B96">
            <v>333</v>
          </cell>
          <cell r="C96" t="str">
            <v>LOS LEONES</v>
          </cell>
          <cell r="D96" t="str">
            <v>RM - Santiago</v>
          </cell>
          <cell r="F96" t="str">
            <v>AGUAS ANDINAS S.A.</v>
          </cell>
          <cell r="G96" t="str">
            <v>Abierto</v>
          </cell>
          <cell r="H96" t="str">
            <v>Gral. Jose Artigas 3250</v>
          </cell>
          <cell r="I96" t="str">
            <v>Ñuñoa</v>
          </cell>
          <cell r="J96" t="str">
            <v>SIN CONVENIO</v>
          </cell>
        </row>
        <row r="97">
          <cell r="B97">
            <v>335</v>
          </cell>
          <cell r="C97" t="str">
            <v>SANTA MARIA</v>
          </cell>
          <cell r="D97" t="str">
            <v>RM - Santiago</v>
          </cell>
          <cell r="F97" t="str">
            <v>AGUAS MANQUEHUE SA</v>
          </cell>
          <cell r="G97" t="str">
            <v>Abierto</v>
          </cell>
          <cell r="H97" t="str">
            <v>Santa Maria 6940</v>
          </cell>
          <cell r="I97" t="str">
            <v>Vitacura</v>
          </cell>
          <cell r="J97" t="str">
            <v>SIN CONVENIO</v>
          </cell>
        </row>
        <row r="98">
          <cell r="B98">
            <v>336</v>
          </cell>
          <cell r="C98" t="str">
            <v>CONCEPCION I</v>
          </cell>
          <cell r="D98" t="str">
            <v>VIII - Biobío</v>
          </cell>
          <cell r="F98" t="str">
            <v>ESSBIO S.A.</v>
          </cell>
          <cell r="G98" t="str">
            <v>Abierto</v>
          </cell>
          <cell r="H98" t="str">
            <v>CHACABUCO 70</v>
          </cell>
          <cell r="I98" t="str">
            <v>Concepción</v>
          </cell>
          <cell r="J98" t="str">
            <v>SIN CONVENIO</v>
          </cell>
        </row>
        <row r="99">
          <cell r="B99">
            <v>340</v>
          </cell>
          <cell r="C99" t="str">
            <v>PRINCIPE DE GALES</v>
          </cell>
          <cell r="D99" t="str">
            <v>RM - Santiago</v>
          </cell>
          <cell r="F99" t="str">
            <v>AGUAS ANDINAS S.A.</v>
          </cell>
          <cell r="G99" t="str">
            <v>Abierto</v>
          </cell>
          <cell r="H99" t="str">
            <v>Principe De Gales 7271</v>
          </cell>
          <cell r="I99" t="str">
            <v>La Reina</v>
          </cell>
          <cell r="J99" t="str">
            <v>SIN CONVENIO</v>
          </cell>
        </row>
        <row r="100">
          <cell r="B100">
            <v>343</v>
          </cell>
          <cell r="C100" t="str">
            <v>4 PONIENTE</v>
          </cell>
          <cell r="D100" t="str">
            <v>V - Valparaiso</v>
          </cell>
          <cell r="F100" t="str">
            <v>ESVAL S.A.</v>
          </cell>
          <cell r="G100" t="str">
            <v>Abierto</v>
          </cell>
          <cell r="H100" t="str">
            <v>4 Poniente 630</v>
          </cell>
          <cell r="I100" t="str">
            <v>Viña Del Mar</v>
          </cell>
          <cell r="J100" t="str">
            <v>SIN CONVENIO</v>
          </cell>
        </row>
        <row r="101">
          <cell r="B101">
            <v>344</v>
          </cell>
          <cell r="C101" t="str">
            <v>CURICO ALAMEDA</v>
          </cell>
          <cell r="D101" t="str">
            <v>VII - Maule</v>
          </cell>
          <cell r="E101">
            <v>4530</v>
          </cell>
          <cell r="F101" t="str">
            <v>NUEVOSUR S.A.</v>
          </cell>
          <cell r="G101" t="str">
            <v>Abierto</v>
          </cell>
          <cell r="H101" t="str">
            <v>Estado 43</v>
          </cell>
          <cell r="I101" t="str">
            <v>Curicó</v>
          </cell>
          <cell r="J101" t="str">
            <v>SIN CONVENIO</v>
          </cell>
        </row>
        <row r="102">
          <cell r="B102">
            <v>345</v>
          </cell>
          <cell r="C102" t="str">
            <v>CHILLAN</v>
          </cell>
          <cell r="D102" t="str">
            <v>XVI - Ñuble</v>
          </cell>
          <cell r="F102" t="str">
            <v>ESSBIO S.A.</v>
          </cell>
          <cell r="G102" t="str">
            <v>Abierto</v>
          </cell>
          <cell r="H102" t="str">
            <v>Av. Collin 866</v>
          </cell>
          <cell r="I102" t="str">
            <v>Chillán</v>
          </cell>
          <cell r="J102" t="str">
            <v>SIN CONVENIO</v>
          </cell>
        </row>
        <row r="103">
          <cell r="B103">
            <v>346</v>
          </cell>
          <cell r="C103" t="str">
            <v>TEMUCO</v>
          </cell>
          <cell r="D103" t="str">
            <v>IX - Araucanía</v>
          </cell>
          <cell r="F103" t="str">
            <v>AGUAS ARAUCANIA S A</v>
          </cell>
          <cell r="G103" t="str">
            <v>Cerrado</v>
          </cell>
          <cell r="H103" t="str">
            <v>Fco Salazar 01650</v>
          </cell>
          <cell r="I103" t="str">
            <v>Temuco</v>
          </cell>
          <cell r="J103" t="str">
            <v>SIN CONVENIO</v>
          </cell>
        </row>
        <row r="104">
          <cell r="B104">
            <v>347</v>
          </cell>
          <cell r="C104" t="str">
            <v>SILVA CARVALLO</v>
          </cell>
          <cell r="D104" t="str">
            <v>RM - Santiago</v>
          </cell>
          <cell r="F104" t="str">
            <v>SMAPA</v>
          </cell>
          <cell r="G104" t="str">
            <v>Abierto</v>
          </cell>
          <cell r="H104" t="str">
            <v>Av. Silva Carvallo 1414</v>
          </cell>
          <cell r="I104" t="str">
            <v>Maipú</v>
          </cell>
          <cell r="J104" t="str">
            <v>SIN CONVENIO</v>
          </cell>
        </row>
        <row r="105">
          <cell r="B105">
            <v>352</v>
          </cell>
          <cell r="C105" t="str">
            <v>VILLA OLIMPICA</v>
          </cell>
          <cell r="D105" t="str">
            <v>RM - Santiago</v>
          </cell>
          <cell r="F105" t="str">
            <v>AGUAS ANDINAS S.A.</v>
          </cell>
          <cell r="G105" t="str">
            <v>Abierto</v>
          </cell>
          <cell r="H105" t="str">
            <v>Obispo Orrego 1250</v>
          </cell>
          <cell r="I105" t="str">
            <v>Ñuñoa</v>
          </cell>
          <cell r="J105" t="str">
            <v>SIN CONVENIO</v>
          </cell>
        </row>
        <row r="106">
          <cell r="B106">
            <v>353</v>
          </cell>
          <cell r="C106" t="str">
            <v>JUAN ANTONIO RIOS</v>
          </cell>
          <cell r="D106" t="str">
            <v>RM - Santiago</v>
          </cell>
          <cell r="F106" t="str">
            <v>AGUAS ANDINAS S.A.</v>
          </cell>
          <cell r="G106" t="str">
            <v>Abierto</v>
          </cell>
          <cell r="H106" t="str">
            <v>Salomon Sack351Indep</v>
          </cell>
          <cell r="I106" t="str">
            <v>Independencia</v>
          </cell>
          <cell r="J106" t="str">
            <v>SIN CONVENIO</v>
          </cell>
        </row>
        <row r="107">
          <cell r="B107">
            <v>354</v>
          </cell>
          <cell r="C107" t="str">
            <v>SANTA ROSA</v>
          </cell>
          <cell r="D107" t="str">
            <v>RM - Santiago</v>
          </cell>
          <cell r="F107" t="str">
            <v>AGUAS ANDINAS S.A.</v>
          </cell>
          <cell r="G107" t="str">
            <v>Cerrado</v>
          </cell>
          <cell r="H107" t="str">
            <v>Av. Santa Rosa 8002</v>
          </cell>
          <cell r="I107" t="str">
            <v>La Granja</v>
          </cell>
          <cell r="J107" t="str">
            <v>SIN CONVENIO</v>
          </cell>
        </row>
        <row r="108">
          <cell r="B108">
            <v>355</v>
          </cell>
          <cell r="C108" t="str">
            <v>MANUEL MONTT</v>
          </cell>
          <cell r="D108" t="str">
            <v>RM - Santiago</v>
          </cell>
          <cell r="F108" t="str">
            <v>AGUAS ANDINAS S.A.</v>
          </cell>
          <cell r="G108" t="str">
            <v>Abierto</v>
          </cell>
          <cell r="H108" t="str">
            <v>Manuel Montt 1097</v>
          </cell>
          <cell r="I108" t="str">
            <v>Providencia</v>
          </cell>
          <cell r="J108" t="str">
            <v>SIN CONVENIO</v>
          </cell>
        </row>
        <row r="109">
          <cell r="B109">
            <v>357</v>
          </cell>
          <cell r="C109" t="str">
            <v>GRECIA</v>
          </cell>
          <cell r="D109" t="str">
            <v>RM - Santiago</v>
          </cell>
          <cell r="F109" t="str">
            <v>AGUAS ANDINAS S.A.</v>
          </cell>
          <cell r="G109" t="str">
            <v>Abierto</v>
          </cell>
          <cell r="H109" t="str">
            <v>Grecia 320</v>
          </cell>
          <cell r="I109" t="str">
            <v>Ñuñoa</v>
          </cell>
          <cell r="J109" t="str">
            <v>SIN CONVENIO</v>
          </cell>
        </row>
        <row r="110">
          <cell r="B110">
            <v>360</v>
          </cell>
          <cell r="C110" t="str">
            <v>RAMON FREIRE</v>
          </cell>
          <cell r="D110" t="str">
            <v>RM - Santiago</v>
          </cell>
          <cell r="F110" t="str">
            <v>SMAPA</v>
          </cell>
          <cell r="G110" t="str">
            <v>Cerrado</v>
          </cell>
          <cell r="H110" t="str">
            <v>Av. Pajaritos 1529</v>
          </cell>
          <cell r="I110" t="str">
            <v>Maipú</v>
          </cell>
          <cell r="J110" t="str">
            <v>SIN CONVENIO</v>
          </cell>
        </row>
        <row r="111">
          <cell r="B111">
            <v>362</v>
          </cell>
          <cell r="C111" t="str">
            <v>LAS TRANQUERAS</v>
          </cell>
          <cell r="D111" t="str">
            <v>RM - Santiago</v>
          </cell>
          <cell r="F111" t="str">
            <v>AGUAS CORDILLERA S.A.</v>
          </cell>
          <cell r="G111" t="str">
            <v>Abierto</v>
          </cell>
          <cell r="H111" t="str">
            <v>Vitacura 8400</v>
          </cell>
          <cell r="I111" t="str">
            <v>Vitacura</v>
          </cell>
          <cell r="J111" t="str">
            <v>SIN CONVENIO</v>
          </cell>
        </row>
        <row r="112">
          <cell r="B112">
            <v>365</v>
          </cell>
          <cell r="C112" t="str">
            <v>PANGUIPULLI II</v>
          </cell>
          <cell r="D112" t="str">
            <v>XIV - Los Ríos</v>
          </cell>
          <cell r="F112" t="str">
            <v>AGUAS DECIMA S A</v>
          </cell>
          <cell r="G112" t="str">
            <v>Cerrado</v>
          </cell>
          <cell r="H112" t="str">
            <v>Arturo Prat 54</v>
          </cell>
          <cell r="I112" t="str">
            <v>Panguipulli</v>
          </cell>
          <cell r="J112" t="str">
            <v>SIN CONVENIO</v>
          </cell>
        </row>
        <row r="113">
          <cell r="B113">
            <v>366</v>
          </cell>
          <cell r="C113" t="str">
            <v>VILLARRICA</v>
          </cell>
          <cell r="D113" t="str">
            <v>IX - Araucanía</v>
          </cell>
          <cell r="F113" t="str">
            <v>AGUAS ARAUCANIA S A</v>
          </cell>
          <cell r="G113" t="str">
            <v>Abierto</v>
          </cell>
          <cell r="H113" t="str">
            <v>Geronimo De Alderete  697</v>
          </cell>
          <cell r="I113" t="str">
            <v>Villarrica</v>
          </cell>
          <cell r="J113" t="str">
            <v>SIN CONVENIO</v>
          </cell>
        </row>
        <row r="114">
          <cell r="B114">
            <v>368</v>
          </cell>
          <cell r="C114" t="str">
            <v>PICHILEMU</v>
          </cell>
          <cell r="D114" t="str">
            <v>VI - O'Higgins</v>
          </cell>
          <cell r="F114" t="str">
            <v>ESSBIO S.A.</v>
          </cell>
          <cell r="G114" t="str">
            <v>Cerrado</v>
          </cell>
          <cell r="H114" t="str">
            <v>Anibal Pinto 540</v>
          </cell>
          <cell r="I114" t="str">
            <v>Pichilemu</v>
          </cell>
          <cell r="J114" t="str">
            <v>SIN CONVENIO</v>
          </cell>
        </row>
        <row r="115">
          <cell r="B115">
            <v>370</v>
          </cell>
          <cell r="C115" t="str">
            <v>SAN CARLOS</v>
          </cell>
          <cell r="D115" t="str">
            <v>XVI - Ñuble</v>
          </cell>
          <cell r="F115" t="str">
            <v>ESSBIO S.A.</v>
          </cell>
          <cell r="G115" t="str">
            <v>Cerrado</v>
          </cell>
          <cell r="H115" t="str">
            <v>Matta 575</v>
          </cell>
          <cell r="I115" t="str">
            <v>San Carlos</v>
          </cell>
          <cell r="J115" t="str">
            <v>SIN CONVENIO</v>
          </cell>
        </row>
        <row r="116">
          <cell r="B116">
            <v>371</v>
          </cell>
          <cell r="C116" t="str">
            <v>ANGOL II</v>
          </cell>
          <cell r="D116" t="str">
            <v>IX - Araucanía</v>
          </cell>
          <cell r="F116" t="str">
            <v>AGUAS ARAUCANIA S A</v>
          </cell>
          <cell r="G116" t="str">
            <v>Cerrado</v>
          </cell>
          <cell r="H116" t="str">
            <v>Pedro Aguirre Cerda 430</v>
          </cell>
          <cell r="I116" t="str">
            <v>Angol</v>
          </cell>
          <cell r="J116" t="str">
            <v>SIN CONVENIO</v>
          </cell>
        </row>
        <row r="117">
          <cell r="B117">
            <v>372</v>
          </cell>
          <cell r="C117" t="str">
            <v>ANGOL III</v>
          </cell>
          <cell r="D117" t="str">
            <v>IX - Araucanía</v>
          </cell>
          <cell r="F117" t="str">
            <v>AGUAS ARAUCANIA S A</v>
          </cell>
          <cell r="G117" t="str">
            <v>Cerrado</v>
          </cell>
          <cell r="H117" t="str">
            <v>Lautaro 551</v>
          </cell>
          <cell r="I117" t="str">
            <v>Angol</v>
          </cell>
          <cell r="J117" t="str">
            <v>SIN CONVENIO</v>
          </cell>
        </row>
        <row r="118">
          <cell r="B118">
            <v>373</v>
          </cell>
          <cell r="C118" t="str">
            <v>VICTORIA II</v>
          </cell>
          <cell r="D118" t="str">
            <v>IX - Araucanía</v>
          </cell>
          <cell r="F118" t="str">
            <v>AGUAS ARAUCANIA S A</v>
          </cell>
          <cell r="G118" t="str">
            <v>Cerrado</v>
          </cell>
          <cell r="H118" t="str">
            <v>21 De Mayo 1400</v>
          </cell>
          <cell r="I118" t="str">
            <v>Victoria</v>
          </cell>
          <cell r="J118" t="str">
            <v>SIN CONVENIO</v>
          </cell>
        </row>
        <row r="119">
          <cell r="B119">
            <v>374</v>
          </cell>
          <cell r="C119" t="str">
            <v>NACIMIENTO</v>
          </cell>
          <cell r="D119" t="str">
            <v>VIII - Biobío</v>
          </cell>
          <cell r="F119" t="str">
            <v>ESSBIO S.A.</v>
          </cell>
          <cell r="G119" t="str">
            <v>Abierto</v>
          </cell>
          <cell r="H119" t="str">
            <v>San Martin 560</v>
          </cell>
          <cell r="I119" t="str">
            <v>Nacimiento</v>
          </cell>
          <cell r="J119" t="str">
            <v>SIN CONVENIO</v>
          </cell>
        </row>
        <row r="120">
          <cell r="B120">
            <v>375</v>
          </cell>
          <cell r="C120" t="str">
            <v>ARAUCO</v>
          </cell>
          <cell r="D120" t="str">
            <v>XIV - Los Ríos</v>
          </cell>
          <cell r="E120">
            <v>3420</v>
          </cell>
          <cell r="F120" t="str">
            <v>AGUAS DECIMA S A</v>
          </cell>
          <cell r="G120" t="str">
            <v>Abierto</v>
          </cell>
          <cell r="H120" t="str">
            <v>Arauco 697</v>
          </cell>
          <cell r="I120" t="str">
            <v>Valdivia</v>
          </cell>
          <cell r="J120" t="str">
            <v>CONVENIO</v>
          </cell>
        </row>
        <row r="121">
          <cell r="B121">
            <v>376</v>
          </cell>
          <cell r="C121" t="str">
            <v>LAS ANIMAS</v>
          </cell>
          <cell r="D121" t="str">
            <v>XIV - Los Ríos</v>
          </cell>
          <cell r="F121" t="str">
            <v>AGUAS DECIMA S A</v>
          </cell>
          <cell r="G121" t="str">
            <v>Abierto</v>
          </cell>
          <cell r="H121" t="str">
            <v>Bombero Classing 204</v>
          </cell>
          <cell r="I121" t="str">
            <v>Valdivia</v>
          </cell>
          <cell r="J121" t="str">
            <v>SIN CONVENIO</v>
          </cell>
        </row>
        <row r="122">
          <cell r="B122">
            <v>377</v>
          </cell>
          <cell r="C122" t="str">
            <v>PICARTE</v>
          </cell>
          <cell r="D122" t="str">
            <v>XIV - Los Ríos</v>
          </cell>
          <cell r="F122" t="str">
            <v>AGUAS DECIMA S A</v>
          </cell>
          <cell r="G122" t="str">
            <v>Cerrado</v>
          </cell>
          <cell r="H122" t="str">
            <v>Picarte 2593</v>
          </cell>
          <cell r="I122" t="str">
            <v>Valdivia</v>
          </cell>
          <cell r="J122" t="str">
            <v>SIN CONVENIO</v>
          </cell>
        </row>
        <row r="123">
          <cell r="B123">
            <v>390</v>
          </cell>
          <cell r="C123" t="str">
            <v>MONTSERRAT PUENTE ALTO</v>
          </cell>
          <cell r="D123" t="str">
            <v>RM - Santiago</v>
          </cell>
          <cell r="F123" t="str">
            <v>AGUAS ANDINAS S.A.</v>
          </cell>
          <cell r="G123" t="str">
            <v>Proyecto</v>
          </cell>
          <cell r="H123" t="str">
            <v/>
          </cell>
          <cell r="I123" t="str">
            <v/>
          </cell>
          <cell r="J123" t="str">
            <v>SIN CONVENIO</v>
          </cell>
        </row>
        <row r="124">
          <cell r="B124">
            <v>392</v>
          </cell>
          <cell r="C124" t="str">
            <v>CURACAVI II</v>
          </cell>
          <cell r="D124" t="str">
            <v>RM - Santiago</v>
          </cell>
          <cell r="F124" t="str">
            <v>AGUAS ANDINAS S.A.</v>
          </cell>
          <cell r="G124" t="str">
            <v>Cerrado</v>
          </cell>
          <cell r="H124" t="str">
            <v>Av. O" Higgins 1689</v>
          </cell>
          <cell r="I124" t="str">
            <v>Curacaví</v>
          </cell>
          <cell r="J124" t="str">
            <v>SIN CONVENIO</v>
          </cell>
        </row>
        <row r="125">
          <cell r="B125">
            <v>393</v>
          </cell>
          <cell r="C125" t="str">
            <v>GUANACO</v>
          </cell>
          <cell r="D125" t="str">
            <v>RM - Santiago</v>
          </cell>
          <cell r="F125" t="str">
            <v>AGUAS ANDINAS S.A.</v>
          </cell>
          <cell r="G125" t="str">
            <v>Cerrado</v>
          </cell>
          <cell r="H125" t="str">
            <v>Guanaco 4480</v>
          </cell>
          <cell r="I125" t="str">
            <v>Conchalí</v>
          </cell>
          <cell r="J125" t="str">
            <v>SIN CONVENIO</v>
          </cell>
        </row>
        <row r="126">
          <cell r="B126">
            <v>394</v>
          </cell>
          <cell r="C126" t="str">
            <v>ZAPADORES</v>
          </cell>
          <cell r="D126" t="str">
            <v>RM - Santiago</v>
          </cell>
          <cell r="F126" t="str">
            <v>AGUAS ANDINAS S.A.</v>
          </cell>
          <cell r="G126" t="str">
            <v>Cerrado</v>
          </cell>
          <cell r="H126" t="str">
            <v>Zapadores 1320</v>
          </cell>
          <cell r="I126" t="str">
            <v>Conchalí</v>
          </cell>
          <cell r="J126" t="str">
            <v>SIN CONVENIO</v>
          </cell>
        </row>
        <row r="127">
          <cell r="B127">
            <v>395</v>
          </cell>
          <cell r="C127" t="str">
            <v>LAS PARCELAS</v>
          </cell>
          <cell r="D127" t="str">
            <v>RM - Santiago</v>
          </cell>
          <cell r="F127" t="str">
            <v>AGUAS ANDINAS S.A.</v>
          </cell>
          <cell r="G127" t="str">
            <v>Cerrado</v>
          </cell>
          <cell r="H127" t="str">
            <v>Av. Las Parcelas 9001</v>
          </cell>
          <cell r="I127" t="str">
            <v>Peñalolén</v>
          </cell>
          <cell r="J127" t="str">
            <v>SIN CONVENIO</v>
          </cell>
        </row>
        <row r="128">
          <cell r="B128">
            <v>396</v>
          </cell>
          <cell r="C128" t="str">
            <v>QUINTERO</v>
          </cell>
          <cell r="D128" t="str">
            <v>V - Valparaiso</v>
          </cell>
          <cell r="F128" t="str">
            <v>ESVAL S.A.</v>
          </cell>
          <cell r="G128" t="str">
            <v>Abierto</v>
          </cell>
          <cell r="H128" t="str">
            <v>Estrella De Chile 169</v>
          </cell>
          <cell r="I128" t="str">
            <v>Quintero</v>
          </cell>
          <cell r="J128" t="str">
            <v>SIN CONVENIO</v>
          </cell>
        </row>
        <row r="129">
          <cell r="B129">
            <v>398</v>
          </cell>
          <cell r="C129" t="str">
            <v>CONSTITUCIÓN I</v>
          </cell>
          <cell r="D129" t="str">
            <v>VII - Maule</v>
          </cell>
          <cell r="F129" t="str">
            <v>NUEVOSUR S.A.</v>
          </cell>
          <cell r="G129" t="str">
            <v>Abierto</v>
          </cell>
          <cell r="H129" t="str">
            <v>Vial 224</v>
          </cell>
          <cell r="I129" t="str">
            <v>Constitución</v>
          </cell>
          <cell r="J129" t="str">
            <v>SIN CONVENIO</v>
          </cell>
        </row>
        <row r="130">
          <cell r="B130">
            <v>400</v>
          </cell>
          <cell r="C130" t="str">
            <v>AV. PERÚ</v>
          </cell>
          <cell r="D130" t="str">
            <v>RM - Santiago</v>
          </cell>
          <cell r="F130" t="str">
            <v>AGUAS ANDINAS S.A.</v>
          </cell>
          <cell r="G130" t="str">
            <v>Abierto</v>
          </cell>
          <cell r="H130" t="str">
            <v>Av. Peru 735, Local 12</v>
          </cell>
          <cell r="I130" t="str">
            <v>Recoleta</v>
          </cell>
          <cell r="J130" t="str">
            <v>SIN CONVENIO</v>
          </cell>
        </row>
        <row r="131">
          <cell r="B131">
            <v>402</v>
          </cell>
          <cell r="C131" t="str">
            <v>TALCA 5 NORTE</v>
          </cell>
          <cell r="D131" t="str">
            <v>VII - Maule</v>
          </cell>
          <cell r="F131" t="str">
            <v>NUEVOSUR S.A.</v>
          </cell>
          <cell r="G131" t="str">
            <v>Abierto</v>
          </cell>
          <cell r="H131" t="str">
            <v>Avenida 5 Norte N°3615</v>
          </cell>
          <cell r="I131" t="str">
            <v>Talca</v>
          </cell>
          <cell r="J131" t="str">
            <v>SIN CONVENIO</v>
          </cell>
        </row>
        <row r="132">
          <cell r="B132">
            <v>404</v>
          </cell>
          <cell r="C132" t="str">
            <v>CIRCUNVALACIÓN</v>
          </cell>
          <cell r="D132" t="str">
            <v>IV - Coquimbo</v>
          </cell>
          <cell r="F132" t="str">
            <v>AGUAS DEL VALLE S A</v>
          </cell>
          <cell r="G132" t="str">
            <v>Abierto</v>
          </cell>
          <cell r="H132" t="str">
            <v>Av. Monjitas Oriente 2706</v>
          </cell>
          <cell r="I132" t="str">
            <v>La Serena</v>
          </cell>
          <cell r="J132" t="str">
            <v>SIN CONVENIO</v>
          </cell>
        </row>
        <row r="133">
          <cell r="B133">
            <v>405</v>
          </cell>
          <cell r="C133" t="str">
            <v>OSORNO FRANCIA</v>
          </cell>
          <cell r="D133" t="str">
            <v>X - Los Lagos</v>
          </cell>
          <cell r="F133" t="str">
            <v>SURALIS</v>
          </cell>
          <cell r="G133" t="str">
            <v>Abierto</v>
          </cell>
          <cell r="H133" t="str">
            <v>AV. Francia 1701 Local 1, Osorno</v>
          </cell>
          <cell r="I133" t="str">
            <v>Osorno</v>
          </cell>
          <cell r="J133" t="str">
            <v>SIN CONVENIO</v>
          </cell>
        </row>
        <row r="134">
          <cell r="B134">
            <v>413</v>
          </cell>
          <cell r="C134" t="str">
            <v>LOS MUERMOS</v>
          </cell>
          <cell r="D134" t="str">
            <v>X - Los Lagos</v>
          </cell>
          <cell r="F134" t="str">
            <v>SURALIS</v>
          </cell>
          <cell r="G134" t="str">
            <v>Abierto</v>
          </cell>
          <cell r="H134" t="str">
            <v>Padre Nelson Aguilar N 480, Local 1, Localidad Los Muermos</v>
          </cell>
          <cell r="I134" t="str">
            <v>Puerto Montt</v>
          </cell>
          <cell r="J134" t="str">
            <v>SIN CONVENIO</v>
          </cell>
        </row>
        <row r="135">
          <cell r="B135">
            <v>441</v>
          </cell>
          <cell r="C135" t="str">
            <v>AYSEN</v>
          </cell>
          <cell r="D135" t="str">
            <v>XI - Aysén</v>
          </cell>
          <cell r="F135" t="str">
            <v>AGUAS PATAGONIA</v>
          </cell>
          <cell r="G135" t="str">
            <v>Abierto</v>
          </cell>
          <cell r="H135" t="str">
            <v>Carrera  1500</v>
          </cell>
          <cell r="I135" t="str">
            <v>Aysén</v>
          </cell>
          <cell r="J135" t="str">
            <v>SIN CONVENIO</v>
          </cell>
        </row>
        <row r="136">
          <cell r="B136">
            <v>442</v>
          </cell>
          <cell r="C136" t="str">
            <v>COYHAIQUE</v>
          </cell>
          <cell r="D136" t="str">
            <v>XI - Aysén</v>
          </cell>
          <cell r="E136">
            <v>1320</v>
          </cell>
          <cell r="F136" t="str">
            <v>AGUAS PATAGONIA</v>
          </cell>
          <cell r="G136" t="str">
            <v>Abierto</v>
          </cell>
          <cell r="H136" t="str">
            <v>Lautaro 331</v>
          </cell>
          <cell r="I136" t="str">
            <v>Coyhaique</v>
          </cell>
          <cell r="J136" t="str">
            <v>SIN CONVENIO</v>
          </cell>
        </row>
        <row r="137">
          <cell r="B137">
            <v>445</v>
          </cell>
          <cell r="C137" t="str">
            <v>VILLA ALEMANA</v>
          </cell>
          <cell r="D137" t="str">
            <v>V - Valparaiso</v>
          </cell>
          <cell r="F137" t="str">
            <v>ESVAL S.A.</v>
          </cell>
          <cell r="G137" t="str">
            <v>Abierto</v>
          </cell>
          <cell r="H137" t="str">
            <v>Av. Valparaiso 1982</v>
          </cell>
          <cell r="I137" t="str">
            <v>Villa Alemana</v>
          </cell>
          <cell r="J137" t="str">
            <v>SIN CONVENIO</v>
          </cell>
        </row>
        <row r="138">
          <cell r="B138">
            <v>457</v>
          </cell>
          <cell r="C138" t="str">
            <v>LAUTARO NAVARRO AUSTRAL</v>
          </cell>
          <cell r="D138" t="str">
            <v>XII - Magallanes</v>
          </cell>
          <cell r="F138" t="str">
            <v>AGUAS MAGALLANES S.A.</v>
          </cell>
          <cell r="G138" t="str">
            <v>Abierto</v>
          </cell>
          <cell r="H138" t="str">
            <v>Lautaro Navarro 1293</v>
          </cell>
          <cell r="I138" t="str">
            <v>Punta Arenas</v>
          </cell>
          <cell r="J138" t="str">
            <v>SIN CONVENIO</v>
          </cell>
        </row>
        <row r="139">
          <cell r="B139">
            <v>458</v>
          </cell>
          <cell r="C139" t="str">
            <v>ESPAÑA AUSTRAL</v>
          </cell>
          <cell r="D139" t="str">
            <v>XII - Magallanes</v>
          </cell>
          <cell r="E139">
            <v>1306</v>
          </cell>
          <cell r="F139" t="str">
            <v>AGUAS MAGALLANES S.A.</v>
          </cell>
          <cell r="G139" t="str">
            <v>Abierto</v>
          </cell>
          <cell r="H139" t="str">
            <v>Av. España 01375</v>
          </cell>
          <cell r="I139" t="str">
            <v>Punta Arenas</v>
          </cell>
          <cell r="J139" t="str">
            <v>SIN CONVENIO</v>
          </cell>
        </row>
        <row r="140">
          <cell r="B140">
            <v>459</v>
          </cell>
          <cell r="C140" t="str">
            <v>ALLENDE AUSTRAL</v>
          </cell>
          <cell r="D140" t="str">
            <v>XII - Magallanes</v>
          </cell>
          <cell r="E140">
            <v>3735</v>
          </cell>
          <cell r="F140" t="str">
            <v>AGUAS MAGALLANES S.A.</v>
          </cell>
          <cell r="G140" t="str">
            <v>Abierto</v>
          </cell>
          <cell r="H140" t="str">
            <v>Salvador Allende 0399</v>
          </cell>
          <cell r="I140" t="str">
            <v>Punta Arenas</v>
          </cell>
          <cell r="J140" t="str">
            <v>SIN CONVENIO</v>
          </cell>
        </row>
        <row r="141">
          <cell r="B141">
            <v>460</v>
          </cell>
          <cell r="C141" t="str">
            <v>CHILOE AUSTRAL</v>
          </cell>
          <cell r="D141" t="str">
            <v>XII - Magallanes</v>
          </cell>
          <cell r="F141" t="str">
            <v>AGUAS MAGALLANES S.A.</v>
          </cell>
          <cell r="G141" t="str">
            <v>Cerrado</v>
          </cell>
          <cell r="H141" t="str">
            <v>Calle Chiloe 855</v>
          </cell>
          <cell r="I141" t="str">
            <v>Punta Arenas</v>
          </cell>
          <cell r="J141" t="str">
            <v>SIN CONVENIO</v>
          </cell>
        </row>
        <row r="142">
          <cell r="B142">
            <v>461</v>
          </cell>
          <cell r="C142" t="str">
            <v>ZENTENO AUSTRAL</v>
          </cell>
          <cell r="D142" t="str">
            <v>XII - Magallanes</v>
          </cell>
          <cell r="E142">
            <v>3736</v>
          </cell>
          <cell r="F142" t="str">
            <v>AGUAS MAGALLANES S.A.</v>
          </cell>
          <cell r="G142" t="str">
            <v>Abierto</v>
          </cell>
          <cell r="H142" t="str">
            <v>Capitan Guillermo 05</v>
          </cell>
          <cell r="I142" t="str">
            <v>Punta Arenas</v>
          </cell>
          <cell r="J142" t="str">
            <v>SIN CONVENIO</v>
          </cell>
        </row>
        <row r="143">
          <cell r="B143">
            <v>462</v>
          </cell>
          <cell r="C143" t="str">
            <v>COFRIMA</v>
          </cell>
          <cell r="D143" t="str">
            <v>XII - Magallanes</v>
          </cell>
          <cell r="F143" t="str">
            <v>AGUAS MAGALLANES S.A.</v>
          </cell>
          <cell r="G143" t="str">
            <v>Proyecto</v>
          </cell>
          <cell r="H143" t="str">
            <v>AV.FREI  770</v>
          </cell>
          <cell r="I143" t="str">
            <v>Punta Arenas</v>
          </cell>
          <cell r="J143" t="str">
            <v>SIN CONVENIO</v>
          </cell>
        </row>
        <row r="144">
          <cell r="B144">
            <v>463</v>
          </cell>
          <cell r="C144" t="str">
            <v>BORIES AUSTRAL</v>
          </cell>
          <cell r="D144" t="str">
            <v>XII - Magallanes</v>
          </cell>
          <cell r="E144">
            <v>3739</v>
          </cell>
          <cell r="F144" t="str">
            <v>AGUAS MAGALLANES S.A.</v>
          </cell>
          <cell r="G144" t="str">
            <v>Abierto</v>
          </cell>
          <cell r="H144" t="str">
            <v>Gobernador Bories 647</v>
          </cell>
          <cell r="I144" t="str">
            <v>Punta Arenas</v>
          </cell>
          <cell r="J144" t="str">
            <v>SIN CONVENIO</v>
          </cell>
        </row>
        <row r="145">
          <cell r="B145">
            <v>464</v>
          </cell>
          <cell r="C145" t="str">
            <v>AGUIRRE CERDA AUSTRAL</v>
          </cell>
          <cell r="D145" t="str">
            <v>XII - Magallanes</v>
          </cell>
          <cell r="F145" t="str">
            <v>AGUAS MAGALLANES S.A.</v>
          </cell>
          <cell r="G145" t="str">
            <v>Abierto</v>
          </cell>
          <cell r="H145" t="str">
            <v>Pedro Aguirre Cerda 0413</v>
          </cell>
          <cell r="I145" t="str">
            <v>Punta Arenas</v>
          </cell>
          <cell r="J145" t="str">
            <v>SIN CONVENIO</v>
          </cell>
        </row>
        <row r="146">
          <cell r="B146">
            <v>465</v>
          </cell>
          <cell r="C146" t="str">
            <v>PUERTO NATALES</v>
          </cell>
          <cell r="D146" t="str">
            <v>XII - Magallanes</v>
          </cell>
          <cell r="E146">
            <v>1133</v>
          </cell>
          <cell r="F146" t="str">
            <v>AGUAS MAGALLANES S.A.</v>
          </cell>
          <cell r="G146" t="str">
            <v>Abierto</v>
          </cell>
          <cell r="H146" t="str">
            <v>Bulnes 742</v>
          </cell>
          <cell r="I146" t="str">
            <v>Puerto Natales</v>
          </cell>
          <cell r="J146" t="str">
            <v>SIN CONVENIO</v>
          </cell>
        </row>
        <row r="147">
          <cell r="B147">
            <v>466</v>
          </cell>
          <cell r="C147" t="str">
            <v>QUILLOTA III</v>
          </cell>
          <cell r="D147" t="str">
            <v>V - Valparaiso</v>
          </cell>
          <cell r="F147" t="str">
            <v>ESVAL S.A.</v>
          </cell>
          <cell r="G147" t="str">
            <v>Abierto</v>
          </cell>
          <cell r="H147" t="str">
            <v>San Martin 147</v>
          </cell>
          <cell r="I147" t="str">
            <v>Quillota</v>
          </cell>
          <cell r="J147" t="str">
            <v>SIN CONVENIO</v>
          </cell>
        </row>
        <row r="148">
          <cell r="B148">
            <v>468</v>
          </cell>
          <cell r="C148" t="str">
            <v>VALPARAISO</v>
          </cell>
          <cell r="D148" t="str">
            <v>V - Valparaiso</v>
          </cell>
          <cell r="F148" t="str">
            <v>ESVAL S.A.</v>
          </cell>
          <cell r="G148" t="str">
            <v>Cerrado</v>
          </cell>
          <cell r="H148" t="str">
            <v>Av. Brasil 1479</v>
          </cell>
          <cell r="I148" t="str">
            <v>Valparaíso</v>
          </cell>
          <cell r="J148" t="str">
            <v>SIN CONVENIO</v>
          </cell>
        </row>
        <row r="149">
          <cell r="B149">
            <v>469</v>
          </cell>
          <cell r="C149" t="str">
            <v>LOS MILITARES</v>
          </cell>
          <cell r="D149" t="str">
            <v>RM - Santiago</v>
          </cell>
          <cell r="F149" t="str">
            <v>AGUAS CORDILLERA S.A.</v>
          </cell>
          <cell r="G149" t="str">
            <v>Abierto</v>
          </cell>
          <cell r="H149" t="str">
            <v>Manquehue Norte 457</v>
          </cell>
          <cell r="I149" t="str">
            <v>Las Condes</v>
          </cell>
          <cell r="J149" t="str">
            <v>SIN CONVENIO</v>
          </cell>
        </row>
        <row r="150">
          <cell r="B150">
            <v>471</v>
          </cell>
          <cell r="C150" t="str">
            <v>FRUTILLAR</v>
          </cell>
          <cell r="D150" t="str">
            <v>X - Los Lagos</v>
          </cell>
          <cell r="F150" t="str">
            <v>SURALIS</v>
          </cell>
          <cell r="G150" t="str">
            <v>Cerrado</v>
          </cell>
          <cell r="H150" t="str">
            <v>Carlos Richter 201</v>
          </cell>
          <cell r="I150" t="str">
            <v>Frutillar</v>
          </cell>
          <cell r="J150" t="str">
            <v>SIN CONVENIO</v>
          </cell>
        </row>
        <row r="151">
          <cell r="B151">
            <v>472</v>
          </cell>
          <cell r="C151" t="str">
            <v>CALDERA I</v>
          </cell>
          <cell r="D151" t="str">
            <v>III - Atacama</v>
          </cell>
          <cell r="F151" t="str">
            <v>NUEVA ATACAMA</v>
          </cell>
          <cell r="G151" t="str">
            <v>Abierto</v>
          </cell>
          <cell r="H151" t="str">
            <v>Batallon Atacama 319</v>
          </cell>
          <cell r="I151" t="str">
            <v>Caldera</v>
          </cell>
          <cell r="J151" t="str">
            <v>CONVENIO</v>
          </cell>
        </row>
        <row r="152">
          <cell r="B152">
            <v>473</v>
          </cell>
          <cell r="C152" t="str">
            <v>CALDERA II</v>
          </cell>
          <cell r="D152" t="str">
            <v>III - Atacama</v>
          </cell>
          <cell r="F152" t="str">
            <v>NUEVA ATACAMA</v>
          </cell>
          <cell r="G152" t="str">
            <v>Cerrado</v>
          </cell>
          <cell r="H152" t="str">
            <v>Cousiño 187</v>
          </cell>
          <cell r="I152" t="str">
            <v>Caldera</v>
          </cell>
          <cell r="J152" t="str">
            <v>SIN CONVENIO</v>
          </cell>
        </row>
        <row r="153">
          <cell r="B153">
            <v>474</v>
          </cell>
          <cell r="C153" t="str">
            <v>CHILLAN II</v>
          </cell>
          <cell r="D153" t="str">
            <v>XVI - Ñuble</v>
          </cell>
          <cell r="F153" t="str">
            <v>ESSBIO S.A.</v>
          </cell>
          <cell r="G153" t="str">
            <v>Abierto</v>
          </cell>
          <cell r="H153" t="str">
            <v>5 De Abril 754</v>
          </cell>
          <cell r="I153" t="str">
            <v>Chillán</v>
          </cell>
          <cell r="J153" t="str">
            <v>SIN CONVENIO</v>
          </cell>
        </row>
        <row r="154">
          <cell r="B154">
            <v>475</v>
          </cell>
          <cell r="C154" t="str">
            <v>ESTADO</v>
          </cell>
          <cell r="D154" t="str">
            <v>RM - Santiago</v>
          </cell>
          <cell r="F154" t="str">
            <v>AGUAS ANDINAS S.A.</v>
          </cell>
          <cell r="G154" t="str">
            <v>Abierto</v>
          </cell>
          <cell r="H154" t="str">
            <v>Estado 85</v>
          </cell>
          <cell r="I154" t="str">
            <v>Santiago</v>
          </cell>
          <cell r="J154" t="str">
            <v>SIN CONVENIO</v>
          </cell>
        </row>
        <row r="155">
          <cell r="B155">
            <v>476</v>
          </cell>
          <cell r="C155" t="str">
            <v>FRANCISCO BILBAO</v>
          </cell>
          <cell r="D155" t="str">
            <v>RM - Santiago</v>
          </cell>
          <cell r="F155" t="str">
            <v>AGUAS ANDINAS S.A.</v>
          </cell>
          <cell r="G155" t="str">
            <v>Abierto</v>
          </cell>
          <cell r="H155" t="str">
            <v>Bilbao 2050</v>
          </cell>
          <cell r="I155" t="str">
            <v>Providencia</v>
          </cell>
          <cell r="J155" t="str">
            <v>SIN CONVENIO</v>
          </cell>
        </row>
        <row r="156">
          <cell r="B156">
            <v>477</v>
          </cell>
          <cell r="C156" t="str">
            <v>CURAUMA</v>
          </cell>
          <cell r="D156" t="str">
            <v>V - Valparaiso</v>
          </cell>
          <cell r="E156">
            <v>2721</v>
          </cell>
          <cell r="F156" t="str">
            <v>ESVAL S.A.</v>
          </cell>
          <cell r="G156" t="str">
            <v>Abierto</v>
          </cell>
          <cell r="H156" t="str">
            <v>Obispo Valdes 1170</v>
          </cell>
          <cell r="I156" t="str">
            <v>Valparaíso</v>
          </cell>
          <cell r="J156" t="str">
            <v>SIN CONVENIO</v>
          </cell>
        </row>
        <row r="157">
          <cell r="B157">
            <v>478</v>
          </cell>
          <cell r="C157" t="str">
            <v>LAS BRISAS SANTO DOMINGO</v>
          </cell>
          <cell r="D157" t="str">
            <v>V - Valparaiso</v>
          </cell>
          <cell r="F157" t="str">
            <v>ESVAL S.A.</v>
          </cell>
          <cell r="G157" t="str">
            <v>Cerrado</v>
          </cell>
          <cell r="H157" t="str">
            <v>Av. Las Brisas 11</v>
          </cell>
          <cell r="I157" t="str">
            <v>Santo Domingo</v>
          </cell>
          <cell r="J157" t="str">
            <v>SIN CONVENIO</v>
          </cell>
        </row>
        <row r="158">
          <cell r="B158">
            <v>481</v>
          </cell>
          <cell r="C158" t="str">
            <v>DORSAL</v>
          </cell>
          <cell r="D158" t="str">
            <v>RM - Santiago</v>
          </cell>
          <cell r="F158" t="str">
            <v>AGUAS ANDINAS S.A.</v>
          </cell>
          <cell r="G158" t="str">
            <v>Abierto</v>
          </cell>
          <cell r="H158" t="str">
            <v>Av. Dorsal 3100</v>
          </cell>
          <cell r="I158" t="str">
            <v>Conchalí</v>
          </cell>
          <cell r="J158" t="str">
            <v>SIN CONVENIO</v>
          </cell>
        </row>
        <row r="159">
          <cell r="B159">
            <v>482</v>
          </cell>
          <cell r="C159" t="str">
            <v>ABRAZO DE MAIPU</v>
          </cell>
          <cell r="D159" t="str">
            <v>RM - Santiago</v>
          </cell>
          <cell r="F159" t="str">
            <v>SMAPA</v>
          </cell>
          <cell r="G159" t="str">
            <v>Abierto</v>
          </cell>
          <cell r="H159" t="str">
            <v>Av. Jorge Guerra 16190</v>
          </cell>
          <cell r="I159" t="str">
            <v>Maipú</v>
          </cell>
          <cell r="J159" t="str">
            <v>SIN CONVENIO</v>
          </cell>
        </row>
        <row r="160">
          <cell r="B160">
            <v>483</v>
          </cell>
          <cell r="C160" t="str">
            <v>SANTO DOMINGO</v>
          </cell>
          <cell r="D160" t="str">
            <v>V - Valparaiso</v>
          </cell>
          <cell r="F160" t="str">
            <v>ESVAL S.A.</v>
          </cell>
          <cell r="G160" t="str">
            <v>Abierto</v>
          </cell>
          <cell r="H160" t="str">
            <v>Av. El Golf 06</v>
          </cell>
          <cell r="I160" t="str">
            <v>Santo Domingo</v>
          </cell>
          <cell r="J160" t="str">
            <v>SIN CONVENIO</v>
          </cell>
        </row>
        <row r="161">
          <cell r="B161">
            <v>484</v>
          </cell>
          <cell r="C161" t="str">
            <v>LLO LLEO</v>
          </cell>
          <cell r="D161" t="str">
            <v>V - Valparaiso</v>
          </cell>
          <cell r="F161" t="str">
            <v>ESVAL S.A.</v>
          </cell>
          <cell r="G161" t="str">
            <v>Cerrado</v>
          </cell>
          <cell r="H161" t="str">
            <v>Inmaculada Concepción 301, Llo lleo</v>
          </cell>
          <cell r="I161" t="str">
            <v>San Antonio</v>
          </cell>
          <cell r="J161" t="str">
            <v>SIN CONVENIO</v>
          </cell>
        </row>
        <row r="162">
          <cell r="B162">
            <v>485</v>
          </cell>
          <cell r="C162" t="str">
            <v>EL QUISCO</v>
          </cell>
          <cell r="D162" t="str">
            <v>V - Valparaiso</v>
          </cell>
          <cell r="F162" t="str">
            <v>ESVAL S.A.</v>
          </cell>
          <cell r="G162" t="str">
            <v>Abierto</v>
          </cell>
          <cell r="H162" t="str">
            <v>Jose Narcizo Aguirre 017</v>
          </cell>
          <cell r="I162" t="str">
            <v>El Quisco</v>
          </cell>
          <cell r="J162" t="str">
            <v>SIN CONVENIO</v>
          </cell>
        </row>
        <row r="163">
          <cell r="B163">
            <v>486</v>
          </cell>
          <cell r="C163" t="str">
            <v>CIUDAD DE LOS VALLES</v>
          </cell>
          <cell r="D163" t="str">
            <v>RM - Santiago</v>
          </cell>
          <cell r="F163" t="str">
            <v>AGUAS ANDINAS S.A.</v>
          </cell>
          <cell r="G163" t="str">
            <v>Abierto</v>
          </cell>
          <cell r="H163" t="str">
            <v>Av. El Canal 19591</v>
          </cell>
          <cell r="I163" t="str">
            <v>Pudahuel</v>
          </cell>
          <cell r="J163" t="str">
            <v>SIN CONVENIO</v>
          </cell>
        </row>
        <row r="164">
          <cell r="B164">
            <v>510</v>
          </cell>
          <cell r="C164" t="str">
            <v>CAMILO HENRIQUEZ I</v>
          </cell>
          <cell r="D164" t="str">
            <v>VII - Maule</v>
          </cell>
          <cell r="F164" t="str">
            <v>NUEVOSUR S.A.</v>
          </cell>
          <cell r="G164" t="str">
            <v>Abierto</v>
          </cell>
          <cell r="H164" t="str">
            <v>Av. Camilo Henriquez 445</v>
          </cell>
          <cell r="I164" t="str">
            <v>Curicó</v>
          </cell>
          <cell r="J164" t="str">
            <v>SIN CONVENIO</v>
          </cell>
        </row>
        <row r="165">
          <cell r="B165">
            <v>511</v>
          </cell>
          <cell r="C165" t="str">
            <v>CAMILO HENRIQUEZ II</v>
          </cell>
          <cell r="D165" t="str">
            <v>VII - Maule</v>
          </cell>
          <cell r="F165" t="str">
            <v>NUEVOSUR S.A.</v>
          </cell>
          <cell r="G165" t="str">
            <v>Abierto</v>
          </cell>
          <cell r="H165" t="str">
            <v>Av. Camilo Henriquez 655</v>
          </cell>
          <cell r="I165" t="str">
            <v>Curicó</v>
          </cell>
          <cell r="J165" t="str">
            <v>SIN CONVENIO</v>
          </cell>
        </row>
        <row r="166">
          <cell r="B166">
            <v>512</v>
          </cell>
          <cell r="C166" t="str">
            <v>MOLINA I</v>
          </cell>
          <cell r="D166" t="str">
            <v>VII - Maule</v>
          </cell>
          <cell r="F166" t="str">
            <v>NUEVOSUR S.A.</v>
          </cell>
          <cell r="G166" t="str">
            <v>Abierto</v>
          </cell>
          <cell r="H166" t="str">
            <v>Luis Cruz Martinez 1314</v>
          </cell>
          <cell r="I166" t="str">
            <v>Molina</v>
          </cell>
          <cell r="J166" t="str">
            <v>SIN CONVENIO</v>
          </cell>
        </row>
        <row r="167">
          <cell r="B167">
            <v>513</v>
          </cell>
          <cell r="C167" t="str">
            <v>TENO</v>
          </cell>
          <cell r="D167" t="str">
            <v>VII - Maule</v>
          </cell>
          <cell r="F167" t="str">
            <v>NUEVOSUR S.A.</v>
          </cell>
          <cell r="G167" t="str">
            <v>Abierto</v>
          </cell>
          <cell r="H167" t="str">
            <v>Av. Comalle 50</v>
          </cell>
          <cell r="I167" t="str">
            <v>Teno</v>
          </cell>
          <cell r="J167" t="str">
            <v>SIN CONVENIO</v>
          </cell>
        </row>
        <row r="168">
          <cell r="B168">
            <v>515</v>
          </cell>
          <cell r="C168" t="str">
            <v>CAUQUENES</v>
          </cell>
          <cell r="D168" t="str">
            <v>VII - Maule</v>
          </cell>
          <cell r="F168" t="str">
            <v>NUEVOSUR S.A.</v>
          </cell>
          <cell r="G168" t="str">
            <v>Abierto</v>
          </cell>
          <cell r="H168" t="str">
            <v>Catedral 215</v>
          </cell>
          <cell r="I168" t="str">
            <v>Cauquenes</v>
          </cell>
          <cell r="J168" t="str">
            <v>SIN CONVENIO</v>
          </cell>
        </row>
        <row r="169">
          <cell r="B169">
            <v>516</v>
          </cell>
          <cell r="C169" t="str">
            <v>CONSTITUCION II</v>
          </cell>
          <cell r="D169" t="str">
            <v>VII - Maule</v>
          </cell>
          <cell r="F169" t="str">
            <v>NUEVOSUR S.A.</v>
          </cell>
          <cell r="G169" t="str">
            <v>Cerrado</v>
          </cell>
          <cell r="H169" t="str">
            <v>Oñederra 691</v>
          </cell>
          <cell r="I169" t="str">
            <v>Constitución</v>
          </cell>
          <cell r="J169" t="str">
            <v>SIN CONVENIO</v>
          </cell>
        </row>
        <row r="170">
          <cell r="B170">
            <v>517</v>
          </cell>
          <cell r="C170" t="str">
            <v>CURICO TERMINAL</v>
          </cell>
          <cell r="D170" t="str">
            <v>VII - Maule</v>
          </cell>
          <cell r="F170" t="str">
            <v>NUEVOSUR S.A.</v>
          </cell>
          <cell r="G170" t="str">
            <v>Abierto</v>
          </cell>
          <cell r="H170" t="str">
            <v>Arturo Prat 733</v>
          </cell>
          <cell r="I170" t="str">
            <v>Curicó</v>
          </cell>
          <cell r="J170" t="str">
            <v>SIN CONVENIO</v>
          </cell>
        </row>
        <row r="171">
          <cell r="B171">
            <v>518</v>
          </cell>
          <cell r="C171" t="str">
            <v>LONCOCHE</v>
          </cell>
          <cell r="D171" t="str">
            <v>IX - Araucanía</v>
          </cell>
          <cell r="F171" t="str">
            <v>AGUAS ARAUCANIA S A</v>
          </cell>
          <cell r="G171" t="str">
            <v>Abierto</v>
          </cell>
          <cell r="H171" t="str">
            <v>Balmaceda Nº389 </v>
          </cell>
          <cell r="I171" t="str">
            <v>Loncoche</v>
          </cell>
          <cell r="J171" t="str">
            <v>SIN CONVENIO</v>
          </cell>
        </row>
        <row r="172">
          <cell r="B172">
            <v>519</v>
          </cell>
          <cell r="C172" t="str">
            <v>TRAIGUEN</v>
          </cell>
          <cell r="D172" t="str">
            <v>IX - Araucanía</v>
          </cell>
          <cell r="F172" t="str">
            <v>AGUAS ARAUCANIA S A</v>
          </cell>
          <cell r="G172" t="str">
            <v>Abierto</v>
          </cell>
          <cell r="H172" t="str">
            <v>Santa Cruz 1170</v>
          </cell>
          <cell r="I172" t="str">
            <v>Traiguén</v>
          </cell>
          <cell r="J172" t="str">
            <v>CONVENIO</v>
          </cell>
        </row>
        <row r="173">
          <cell r="B173">
            <v>520</v>
          </cell>
          <cell r="C173" t="str">
            <v>AV. ESPAÑA</v>
          </cell>
          <cell r="D173" t="str">
            <v>VII - Maule</v>
          </cell>
          <cell r="F173" t="str">
            <v>NUEVOSUR S.A.</v>
          </cell>
          <cell r="G173" t="str">
            <v>Abierto</v>
          </cell>
          <cell r="H173" t="str">
            <v>Av. España 414</v>
          </cell>
          <cell r="I173" t="str">
            <v>Curicó</v>
          </cell>
          <cell r="J173" t="str">
            <v>SIN CONVENIO</v>
          </cell>
        </row>
        <row r="174">
          <cell r="B174">
            <v>521</v>
          </cell>
          <cell r="C174" t="str">
            <v>COLLIPULLI</v>
          </cell>
          <cell r="D174" t="str">
            <v>IX - Araucanía</v>
          </cell>
          <cell r="F174" t="str">
            <v>AGUAS ARAUCANIA S A</v>
          </cell>
          <cell r="G174" t="str">
            <v>Abierto</v>
          </cell>
          <cell r="H174" t="str">
            <v>Cruz 233</v>
          </cell>
          <cell r="I174" t="str">
            <v>Collipulli</v>
          </cell>
          <cell r="J174" t="str">
            <v>SIN CONVENIO</v>
          </cell>
        </row>
        <row r="175">
          <cell r="B175">
            <v>522</v>
          </cell>
          <cell r="C175" t="str">
            <v>LANCO</v>
          </cell>
          <cell r="D175" t="str">
            <v>XIV - Los Ríos</v>
          </cell>
          <cell r="F175" t="str">
            <v>AGUAS DECIMA S A</v>
          </cell>
          <cell r="G175" t="str">
            <v>Cerrado</v>
          </cell>
          <cell r="H175" t="str">
            <v>Libertad 299</v>
          </cell>
          <cell r="I175" t="str">
            <v>Lanco</v>
          </cell>
          <cell r="J175" t="str">
            <v>SIN CONVENIO</v>
          </cell>
        </row>
        <row r="176">
          <cell r="B176">
            <v>523</v>
          </cell>
          <cell r="C176" t="str">
            <v>SAN JOSE</v>
          </cell>
          <cell r="D176" t="str">
            <v>XIV - Los Ríos</v>
          </cell>
          <cell r="F176" t="str">
            <v>SURALIS</v>
          </cell>
          <cell r="G176" t="str">
            <v>Cerrado</v>
          </cell>
          <cell r="H176" t="str">
            <v>Jose Puchi 1100</v>
          </cell>
          <cell r="I176" t="str">
            <v>Mariquina</v>
          </cell>
          <cell r="J176" t="str">
            <v>SIN CONVENIO</v>
          </cell>
        </row>
        <row r="177">
          <cell r="B177">
            <v>524</v>
          </cell>
          <cell r="C177" t="str">
            <v>AV. COLON</v>
          </cell>
          <cell r="D177" t="str">
            <v>VII - Maule</v>
          </cell>
          <cell r="F177" t="str">
            <v>NUEVOSUR S.A.</v>
          </cell>
          <cell r="G177" t="str">
            <v>Cerrado</v>
          </cell>
          <cell r="H177" t="str">
            <v>Av. Colon 890</v>
          </cell>
          <cell r="I177" t="str">
            <v>Curicó</v>
          </cell>
          <cell r="J177" t="str">
            <v>SIN CONVENIO</v>
          </cell>
        </row>
        <row r="178">
          <cell r="B178">
            <v>525</v>
          </cell>
          <cell r="C178" t="str">
            <v>LAUTARO</v>
          </cell>
          <cell r="D178" t="str">
            <v>IX - Araucanía</v>
          </cell>
          <cell r="F178" t="str">
            <v>AGUAS ARAUCANIA S A</v>
          </cell>
          <cell r="G178" t="str">
            <v>Abierto</v>
          </cell>
          <cell r="H178" t="str">
            <v>O"Higgins 630</v>
          </cell>
          <cell r="I178" t="str">
            <v>Lautaro</v>
          </cell>
          <cell r="J178" t="str">
            <v>SIN CONVENIO</v>
          </cell>
        </row>
        <row r="179">
          <cell r="B179">
            <v>526</v>
          </cell>
          <cell r="C179" t="str">
            <v>PITRUFQUEN</v>
          </cell>
          <cell r="D179" t="str">
            <v>IX - Araucanía</v>
          </cell>
          <cell r="F179" t="str">
            <v>AGUAS ARAUCANIA S A</v>
          </cell>
          <cell r="G179" t="str">
            <v>Abierto</v>
          </cell>
          <cell r="H179" t="str">
            <v>Bilbao 472 </v>
          </cell>
          <cell r="I179" t="str">
            <v>Pitrufquen</v>
          </cell>
          <cell r="J179" t="str">
            <v>SIN CONVENIO</v>
          </cell>
        </row>
        <row r="180">
          <cell r="B180">
            <v>527</v>
          </cell>
          <cell r="C180" t="str">
            <v>SANTA CRUZ</v>
          </cell>
          <cell r="D180" t="str">
            <v>VI - O'Higgins</v>
          </cell>
          <cell r="F180" t="str">
            <v>ESSBIO S.A.</v>
          </cell>
          <cell r="G180" t="str">
            <v>Cerrado</v>
          </cell>
          <cell r="H180" t="str">
            <v>Ramon Sanfurgo 66</v>
          </cell>
          <cell r="I180" t="str">
            <v>Santa Cruz</v>
          </cell>
          <cell r="J180" t="str">
            <v>SIN CONVENIO</v>
          </cell>
        </row>
        <row r="181">
          <cell r="B181">
            <v>528</v>
          </cell>
          <cell r="C181" t="str">
            <v>MOLINA EXPRESS</v>
          </cell>
          <cell r="D181" t="str">
            <v>VII - Maule</v>
          </cell>
          <cell r="F181" t="str">
            <v>NUEVOSUR S.A.</v>
          </cell>
          <cell r="G181" t="str">
            <v>Cerrado</v>
          </cell>
          <cell r="H181" t="str">
            <v>Quechereguas 1916</v>
          </cell>
          <cell r="I181" t="str">
            <v>Molina</v>
          </cell>
          <cell r="J181" t="str">
            <v>SIN CONVENIO</v>
          </cell>
        </row>
        <row r="182">
          <cell r="B182">
            <v>529</v>
          </cell>
          <cell r="C182" t="str">
            <v>NUEVA IMPERIAL</v>
          </cell>
          <cell r="D182" t="str">
            <v>IX - Araucanía</v>
          </cell>
          <cell r="F182" t="str">
            <v>AGUAS ARAUCANIA S A</v>
          </cell>
          <cell r="G182" t="str">
            <v>Abierto</v>
          </cell>
          <cell r="H182" t="str">
            <v>Arturo Prat 246</v>
          </cell>
          <cell r="I182" t="str">
            <v>Nueva Imperial</v>
          </cell>
          <cell r="J182" t="str">
            <v>SIN CONVENIO</v>
          </cell>
        </row>
        <row r="183">
          <cell r="B183">
            <v>530</v>
          </cell>
          <cell r="C183" t="str">
            <v>CARAHUE</v>
          </cell>
          <cell r="D183" t="str">
            <v>IX - Araucanía</v>
          </cell>
          <cell r="F183" t="str">
            <v>AGUAS ARAUCANIA S A</v>
          </cell>
          <cell r="G183" t="str">
            <v>Cerrado</v>
          </cell>
          <cell r="H183" t="str">
            <v>Pedro De Valdivia 46</v>
          </cell>
          <cell r="I183" t="str">
            <v>Carahue</v>
          </cell>
          <cell r="J183" t="str">
            <v>SIN CONVENIO</v>
          </cell>
        </row>
        <row r="184">
          <cell r="B184">
            <v>531</v>
          </cell>
          <cell r="C184" t="str">
            <v>MULCHEN</v>
          </cell>
          <cell r="D184" t="str">
            <v>VIII - Biobío</v>
          </cell>
          <cell r="F184" t="str">
            <v>ESSBIO S.A.</v>
          </cell>
          <cell r="G184" t="str">
            <v>Abierto</v>
          </cell>
          <cell r="H184" t="str">
            <v>Anibal Pinto 777</v>
          </cell>
          <cell r="I184" t="str">
            <v>Mulchen</v>
          </cell>
          <cell r="J184" t="str">
            <v>SIN CONVENIO</v>
          </cell>
        </row>
        <row r="185">
          <cell r="B185">
            <v>532</v>
          </cell>
          <cell r="C185" t="str">
            <v>CURACAUTIN</v>
          </cell>
          <cell r="D185" t="str">
            <v>IX - Araucanía</v>
          </cell>
          <cell r="F185" t="str">
            <v>AGUAS ARAUCANIA S A</v>
          </cell>
          <cell r="G185" t="str">
            <v>Abierto</v>
          </cell>
          <cell r="H185" t="str">
            <v>O"Higgins 515</v>
          </cell>
          <cell r="I185" t="str">
            <v>Curacautin</v>
          </cell>
          <cell r="J185" t="str">
            <v>CONVENIO</v>
          </cell>
        </row>
        <row r="186">
          <cell r="B186">
            <v>534</v>
          </cell>
          <cell r="C186" t="str">
            <v>RIO BUENO</v>
          </cell>
          <cell r="D186" t="str">
            <v>XIV - Los Ríos</v>
          </cell>
          <cell r="F186" t="str">
            <v>AGUAS DECIMA S A</v>
          </cell>
          <cell r="G186" t="str">
            <v>Cerrado</v>
          </cell>
          <cell r="H186" t="str">
            <v>Comercio 657</v>
          </cell>
          <cell r="I186" t="str">
            <v>Rio Bueno</v>
          </cell>
          <cell r="J186" t="str">
            <v>SIN CONVENIO</v>
          </cell>
        </row>
        <row r="187">
          <cell r="B187">
            <v>535</v>
          </cell>
          <cell r="C187" t="str">
            <v>RANCAGUA</v>
          </cell>
          <cell r="D187" t="str">
            <v>VI - O'Higgins</v>
          </cell>
          <cell r="F187" t="str">
            <v>ESSBIO S.A.</v>
          </cell>
          <cell r="G187" t="str">
            <v>Abierto</v>
          </cell>
          <cell r="H187" t="str">
            <v>Doctor Salinas 115</v>
          </cell>
          <cell r="I187" t="str">
            <v>Rancagua</v>
          </cell>
          <cell r="J187" t="str">
            <v>SIN CONVENIO</v>
          </cell>
        </row>
        <row r="188">
          <cell r="B188">
            <v>536</v>
          </cell>
          <cell r="C188" t="str">
            <v>MOLINA II</v>
          </cell>
          <cell r="D188" t="str">
            <v>VII - Maule</v>
          </cell>
          <cell r="F188" t="str">
            <v>NUEVOSUR S.A.</v>
          </cell>
          <cell r="G188" t="str">
            <v>Abierto</v>
          </cell>
          <cell r="H188" t="str">
            <v>Av. Luis Cruz Martinez 2016</v>
          </cell>
          <cell r="I188" t="str">
            <v>Molina</v>
          </cell>
          <cell r="J188" t="str">
            <v>SIN CONVENIO</v>
          </cell>
        </row>
        <row r="189">
          <cell r="B189">
            <v>537</v>
          </cell>
          <cell r="C189" t="str">
            <v>VICTORIA I</v>
          </cell>
          <cell r="D189" t="str">
            <v>IX - Araucanía</v>
          </cell>
          <cell r="F189" t="str">
            <v>AGUAS ARAUCANIA S A</v>
          </cell>
          <cell r="G189" t="str">
            <v>Abierto</v>
          </cell>
          <cell r="H189" t="str">
            <v>Pisagua 1354</v>
          </cell>
          <cell r="I189" t="str">
            <v>Victoria</v>
          </cell>
          <cell r="J189" t="str">
            <v>CONVENIO</v>
          </cell>
        </row>
        <row r="190">
          <cell r="B190">
            <v>538</v>
          </cell>
          <cell r="C190" t="str">
            <v>LAS CABRAS</v>
          </cell>
          <cell r="D190" t="str">
            <v>VI - O'Higgins</v>
          </cell>
          <cell r="F190" t="str">
            <v>ESSBIO S.A.</v>
          </cell>
          <cell r="G190" t="str">
            <v>Abierto</v>
          </cell>
          <cell r="H190" t="str">
            <v>Jose Miguel Carrera 325</v>
          </cell>
          <cell r="I190" t="str">
            <v>Las Cabras</v>
          </cell>
          <cell r="J190" t="str">
            <v>SIN CONVENIO</v>
          </cell>
        </row>
        <row r="191">
          <cell r="B191">
            <v>540</v>
          </cell>
          <cell r="C191" t="str">
            <v>PANGUIPULLI I</v>
          </cell>
          <cell r="D191" t="str">
            <v>XIV - Los Ríos</v>
          </cell>
          <cell r="F191" t="str">
            <v>AGUAS DECIMA S A</v>
          </cell>
          <cell r="G191" t="str">
            <v>Cerrado</v>
          </cell>
          <cell r="H191" t="str">
            <v>Pedro De Valdivia 266</v>
          </cell>
          <cell r="I191" t="str">
            <v>Panguipulli</v>
          </cell>
          <cell r="J191" t="str">
            <v>SIN CONVENIO</v>
          </cell>
        </row>
        <row r="192">
          <cell r="B192">
            <v>541</v>
          </cell>
          <cell r="C192" t="str">
            <v>LOS LAGOS I</v>
          </cell>
          <cell r="D192" t="str">
            <v>XIV - Los Ríos</v>
          </cell>
          <cell r="F192" t="str">
            <v>SURALIS</v>
          </cell>
          <cell r="G192" t="str">
            <v>Abierto</v>
          </cell>
          <cell r="H192" t="str">
            <v>Balmaceda Norte Numero 79</v>
          </cell>
          <cell r="I192" t="str">
            <v>Los Lagos</v>
          </cell>
          <cell r="J192" t="str">
            <v>SIN CONVENIO</v>
          </cell>
        </row>
        <row r="193">
          <cell r="B193">
            <v>542</v>
          </cell>
          <cell r="C193" t="str">
            <v>LOS LAGOS II</v>
          </cell>
          <cell r="D193" t="str">
            <v>XIV - Los Ríos</v>
          </cell>
          <cell r="F193" t="str">
            <v>SURALIS</v>
          </cell>
          <cell r="G193" t="str">
            <v>Abierto</v>
          </cell>
          <cell r="H193" t="str">
            <v>Quinchilca 334</v>
          </cell>
          <cell r="I193" t="str">
            <v>Los Lagos</v>
          </cell>
          <cell r="J193" t="str">
            <v>SIN CONVENIO</v>
          </cell>
        </row>
        <row r="194">
          <cell r="B194">
            <v>543</v>
          </cell>
          <cell r="C194" t="str">
            <v>PEUMO</v>
          </cell>
          <cell r="D194" t="str">
            <v>VI - O'Higgins</v>
          </cell>
          <cell r="F194" t="str">
            <v>ESSBIO S.A.</v>
          </cell>
          <cell r="G194" t="str">
            <v>Abierto</v>
          </cell>
          <cell r="H194" t="str">
            <v>Sarmiento 393</v>
          </cell>
          <cell r="I194" t="str">
            <v>Peumo</v>
          </cell>
          <cell r="J194" t="str">
            <v>SIN CONVENIO</v>
          </cell>
        </row>
        <row r="195">
          <cell r="B195">
            <v>544</v>
          </cell>
          <cell r="C195" t="str">
            <v>PURRANQUE</v>
          </cell>
          <cell r="D195" t="str">
            <v>X - Los Lagos</v>
          </cell>
          <cell r="F195" t="str">
            <v>SURALIS</v>
          </cell>
          <cell r="G195" t="str">
            <v>Abierto</v>
          </cell>
          <cell r="H195" t="str">
            <v>Eleuterio Ramirez 549</v>
          </cell>
          <cell r="I195" t="str">
            <v>Purranque</v>
          </cell>
          <cell r="J195" t="str">
            <v>SIN CONVENIO</v>
          </cell>
        </row>
        <row r="196">
          <cell r="B196">
            <v>545</v>
          </cell>
          <cell r="C196" t="str">
            <v>SAGRADA FAMILIA</v>
          </cell>
          <cell r="D196" t="str">
            <v>VII - Maule</v>
          </cell>
          <cell r="F196" t="str">
            <v>NUEVOSUR S.A.</v>
          </cell>
          <cell r="G196" t="str">
            <v>Abierto</v>
          </cell>
          <cell r="H196" t="str">
            <v>Av. Esperanza 138</v>
          </cell>
          <cell r="I196" t="str">
            <v>Sagrada Familia</v>
          </cell>
          <cell r="J196" t="str">
            <v>SIN CONVENIO</v>
          </cell>
        </row>
        <row r="197">
          <cell r="B197">
            <v>548</v>
          </cell>
          <cell r="C197" t="str">
            <v>QUILLOTA II</v>
          </cell>
          <cell r="D197" t="str">
            <v>V - Valparaiso</v>
          </cell>
          <cell r="F197" t="str">
            <v>ESVAL S.A.</v>
          </cell>
          <cell r="G197" t="str">
            <v>Cerrado</v>
          </cell>
          <cell r="H197" t="str">
            <v>Alberdi  757</v>
          </cell>
          <cell r="I197" t="str">
            <v>Quillota</v>
          </cell>
          <cell r="J197" t="str">
            <v>SIN CONVENIO</v>
          </cell>
        </row>
        <row r="198">
          <cell r="B198">
            <v>549</v>
          </cell>
          <cell r="C198" t="str">
            <v>LLAY LLAY I</v>
          </cell>
          <cell r="D198" t="str">
            <v>V - Valparaiso</v>
          </cell>
          <cell r="F198" t="str">
            <v>ESVAL S.A.</v>
          </cell>
          <cell r="G198" t="str">
            <v>Cerrado</v>
          </cell>
          <cell r="H198" t="str">
            <v>Edwadrs 257</v>
          </cell>
          <cell r="I198" t="str">
            <v>Llay-Llay</v>
          </cell>
          <cell r="J198" t="str">
            <v>SIN CONVENIO</v>
          </cell>
        </row>
        <row r="199">
          <cell r="B199">
            <v>550</v>
          </cell>
          <cell r="C199" t="str">
            <v>LLAY LLAY II</v>
          </cell>
          <cell r="D199" t="str">
            <v>V - Valparaiso</v>
          </cell>
          <cell r="F199" t="str">
            <v>ESVAL S.A.</v>
          </cell>
          <cell r="G199" t="str">
            <v>Abierto</v>
          </cell>
          <cell r="H199" t="str">
            <v>Balmaceda 307</v>
          </cell>
          <cell r="I199" t="str">
            <v>Llay-Llay</v>
          </cell>
          <cell r="J199" t="str">
            <v>SIN CONVENIO</v>
          </cell>
        </row>
        <row r="200">
          <cell r="B200">
            <v>551</v>
          </cell>
          <cell r="C200" t="str">
            <v>TALCA</v>
          </cell>
          <cell r="D200" t="str">
            <v>VII - Maule</v>
          </cell>
          <cell r="F200" t="str">
            <v>NUEVOSUR S.A.</v>
          </cell>
          <cell r="G200" t="str">
            <v>Cerrado</v>
          </cell>
          <cell r="H200" t="str">
            <v>11 Oriente 1371</v>
          </cell>
          <cell r="I200" t="str">
            <v>Talca</v>
          </cell>
          <cell r="J200" t="str">
            <v>SIN CONVENIO</v>
          </cell>
        </row>
        <row r="201">
          <cell r="B201">
            <v>552</v>
          </cell>
          <cell r="C201" t="str">
            <v>SAN CLEMENTE</v>
          </cell>
          <cell r="D201" t="str">
            <v>VII - Maule</v>
          </cell>
          <cell r="F201" t="str">
            <v>NUEVOSUR S.A.</v>
          </cell>
          <cell r="G201" t="str">
            <v>Abierto</v>
          </cell>
          <cell r="H201" t="str">
            <v>Huamachuco 613</v>
          </cell>
          <cell r="I201" t="str">
            <v>San Clemente</v>
          </cell>
          <cell r="J201" t="str">
            <v>SIN CONVENIO</v>
          </cell>
        </row>
        <row r="202">
          <cell r="B202">
            <v>553</v>
          </cell>
          <cell r="C202" t="str">
            <v>CHIMBARONGO</v>
          </cell>
          <cell r="D202" t="str">
            <v>VI - O'Higgins</v>
          </cell>
          <cell r="F202" t="str">
            <v>ESSBIO S.A.</v>
          </cell>
          <cell r="G202" t="str">
            <v>Abierto</v>
          </cell>
          <cell r="H202" t="str">
            <v>Carmen Larrain Nº 44</v>
          </cell>
          <cell r="I202" t="str">
            <v>Chimbarongo</v>
          </cell>
          <cell r="J202" t="str">
            <v>SIN CONVENIO</v>
          </cell>
        </row>
        <row r="203">
          <cell r="B203">
            <v>554</v>
          </cell>
          <cell r="C203" t="str">
            <v>NANCAGUA</v>
          </cell>
          <cell r="D203" t="str">
            <v>VI - O'Higgins</v>
          </cell>
          <cell r="F203" t="str">
            <v>ESSBIO S.A.</v>
          </cell>
          <cell r="G203" t="str">
            <v>Abierto</v>
          </cell>
          <cell r="H203" t="str">
            <v>Armando Jaramillo Nª152</v>
          </cell>
          <cell r="I203" t="str">
            <v>Nancagua</v>
          </cell>
          <cell r="J203" t="str">
            <v>SIN CONVENIO</v>
          </cell>
        </row>
        <row r="204">
          <cell r="B204">
            <v>555</v>
          </cell>
          <cell r="C204" t="str">
            <v>GRANEROS</v>
          </cell>
          <cell r="D204" t="str">
            <v>VI - O'Higgins</v>
          </cell>
          <cell r="E204">
            <v>4574</v>
          </cell>
          <cell r="F204" t="str">
            <v>ESSBIO S.A.</v>
          </cell>
          <cell r="G204" t="str">
            <v>Abierto</v>
          </cell>
          <cell r="H204" t="str">
            <v>Obispo Rafael Lira 042</v>
          </cell>
          <cell r="I204" t="str">
            <v>Graneros</v>
          </cell>
          <cell r="J204" t="str">
            <v>SIN CONVENIO</v>
          </cell>
        </row>
        <row r="205">
          <cell r="B205">
            <v>556</v>
          </cell>
          <cell r="C205" t="str">
            <v>LONTUE</v>
          </cell>
          <cell r="D205" t="str">
            <v>VII - Maule</v>
          </cell>
          <cell r="F205" t="str">
            <v>NUEVOSUR S.A.</v>
          </cell>
          <cell r="G205" t="str">
            <v>Abierto</v>
          </cell>
          <cell r="H205" t="str">
            <v>Av. 7 De Abril 2069</v>
          </cell>
          <cell r="I205" t="str">
            <v>Molina</v>
          </cell>
          <cell r="J205" t="str">
            <v>SIN CONVENIO</v>
          </cell>
        </row>
        <row r="206">
          <cell r="B206">
            <v>557</v>
          </cell>
          <cell r="C206" t="str">
            <v>ROMERAL</v>
          </cell>
          <cell r="D206" t="str">
            <v>VII - Maule</v>
          </cell>
          <cell r="F206" t="str">
            <v>NUEVOSUR S.A.</v>
          </cell>
          <cell r="G206" t="str">
            <v>Abierto</v>
          </cell>
          <cell r="H206" t="str">
            <v>Av. Libertad 1124-B</v>
          </cell>
          <cell r="I206" t="str">
            <v>Romeral</v>
          </cell>
          <cell r="J206" t="str">
            <v>SIN CONVENIO</v>
          </cell>
        </row>
        <row r="207">
          <cell r="B207">
            <v>572</v>
          </cell>
          <cell r="C207" t="str">
            <v>LA CALERA</v>
          </cell>
          <cell r="D207" t="str">
            <v>V - Valparaiso</v>
          </cell>
          <cell r="F207" t="str">
            <v>ESVAL S.A.</v>
          </cell>
          <cell r="G207" t="str">
            <v>Cerrado</v>
          </cell>
          <cell r="H207" t="str">
            <v>Arturo Prat 796</v>
          </cell>
          <cell r="I207" t="str">
            <v>La Calera</v>
          </cell>
          <cell r="J207" t="str">
            <v>SIN CONVENIO</v>
          </cell>
        </row>
        <row r="208">
          <cell r="B208">
            <v>573</v>
          </cell>
          <cell r="C208" t="str">
            <v>OVALLE I</v>
          </cell>
          <cell r="D208" t="str">
            <v>IV - Coquimbo</v>
          </cell>
          <cell r="F208" t="str">
            <v>AGUAS DEL VALLE S A</v>
          </cell>
          <cell r="G208" t="str">
            <v>Abierto</v>
          </cell>
          <cell r="H208" t="str">
            <v>Libertad 249</v>
          </cell>
          <cell r="I208" t="str">
            <v>Ovalle</v>
          </cell>
          <cell r="J208" t="str">
            <v>SIN CONVENIO</v>
          </cell>
        </row>
        <row r="209">
          <cell r="B209">
            <v>574</v>
          </cell>
          <cell r="C209" t="str">
            <v>COLINA</v>
          </cell>
          <cell r="D209" t="str">
            <v>RM - Santiago</v>
          </cell>
          <cell r="F209" t="str">
            <v>AGUAS ANDINAS S.A.</v>
          </cell>
          <cell r="G209" t="str">
            <v>Cerrado</v>
          </cell>
          <cell r="H209" t="str">
            <v>Concepcion Nº 224</v>
          </cell>
          <cell r="I209" t="str">
            <v>Colina</v>
          </cell>
          <cell r="J209" t="str">
            <v>SIN CONVENIO</v>
          </cell>
        </row>
        <row r="210">
          <cell r="B210">
            <v>575</v>
          </cell>
          <cell r="C210" t="str">
            <v>ANCUD</v>
          </cell>
          <cell r="D210" t="str">
            <v>X - Los Lagos</v>
          </cell>
          <cell r="F210" t="str">
            <v>SURALIS</v>
          </cell>
          <cell r="G210" t="str">
            <v>Cerrado</v>
          </cell>
          <cell r="H210" t="str">
            <v>Arturo Prat 364</v>
          </cell>
          <cell r="I210" t="str">
            <v>Ancud</v>
          </cell>
          <cell r="J210" t="str">
            <v>SIN CONVENIO</v>
          </cell>
        </row>
        <row r="211">
          <cell r="B211">
            <v>576</v>
          </cell>
          <cell r="C211" t="str">
            <v>CASTRO I</v>
          </cell>
          <cell r="D211" t="str">
            <v>X - Los Lagos</v>
          </cell>
          <cell r="E211">
            <v>3875</v>
          </cell>
          <cell r="F211" t="str">
            <v>SURALIS</v>
          </cell>
          <cell r="G211" t="str">
            <v>Abierto</v>
          </cell>
          <cell r="H211" t="str">
            <v>O'Higgins 711</v>
          </cell>
          <cell r="I211" t="str">
            <v>Castro</v>
          </cell>
          <cell r="J211" t="str">
            <v>SIN CONVENIO</v>
          </cell>
        </row>
        <row r="212">
          <cell r="B212">
            <v>577</v>
          </cell>
          <cell r="C212" t="str">
            <v>CASTRO II</v>
          </cell>
          <cell r="D212" t="str">
            <v>X - Los Lagos</v>
          </cell>
          <cell r="F212" t="str">
            <v>SURALIS</v>
          </cell>
          <cell r="G212" t="str">
            <v>Cerrado</v>
          </cell>
          <cell r="H212" t="str">
            <v>San Martin Nº 705</v>
          </cell>
          <cell r="I212" t="str">
            <v>Castro</v>
          </cell>
          <cell r="J212" t="str">
            <v>SIN CONVENIO</v>
          </cell>
        </row>
        <row r="213">
          <cell r="B213">
            <v>578</v>
          </cell>
          <cell r="C213" t="str">
            <v>ACHAO</v>
          </cell>
          <cell r="D213" t="str">
            <v>X - Los Lagos</v>
          </cell>
          <cell r="F213" t="str">
            <v>SURALIS</v>
          </cell>
          <cell r="G213" t="str">
            <v>Abierto</v>
          </cell>
          <cell r="H213" t="str">
            <v>Delicias 06</v>
          </cell>
          <cell r="I213" t="str">
            <v>Quinchao</v>
          </cell>
          <cell r="J213" t="str">
            <v>SIN CONVENIO</v>
          </cell>
        </row>
        <row r="214">
          <cell r="B214">
            <v>579</v>
          </cell>
          <cell r="C214" t="str">
            <v>OVALLE II</v>
          </cell>
          <cell r="D214" t="str">
            <v>IV - Coquimbo</v>
          </cell>
          <cell r="F214" t="str">
            <v>AGUAS DEL VALLE S A</v>
          </cell>
          <cell r="G214" t="str">
            <v>Cerrado</v>
          </cell>
          <cell r="H214" t="str">
            <v>Lord Cocharnne 556</v>
          </cell>
          <cell r="I214" t="str">
            <v>Ovalle</v>
          </cell>
          <cell r="J214" t="str">
            <v>SIN CONVENIO</v>
          </cell>
        </row>
        <row r="215">
          <cell r="B215">
            <v>580</v>
          </cell>
          <cell r="C215" t="str">
            <v>PUDAHUEL</v>
          </cell>
          <cell r="D215" t="str">
            <v>RM - Santiago</v>
          </cell>
          <cell r="F215" t="str">
            <v>AGUAS ANDINAS S.A.</v>
          </cell>
          <cell r="G215" t="str">
            <v>Abierto</v>
          </cell>
          <cell r="H215" t="str">
            <v>San Pablo 8315</v>
          </cell>
          <cell r="I215" t="str">
            <v>Pudahuel</v>
          </cell>
          <cell r="J215" t="str">
            <v>SIN CONVENIO</v>
          </cell>
        </row>
        <row r="216">
          <cell r="B216">
            <v>581</v>
          </cell>
          <cell r="C216" t="str">
            <v>MIRADOR</v>
          </cell>
          <cell r="D216" t="str">
            <v>RM - Santiago</v>
          </cell>
          <cell r="F216" t="str">
            <v>AGUAS ANDINAS S.A.</v>
          </cell>
          <cell r="G216" t="str">
            <v>Abierto</v>
          </cell>
          <cell r="H216" t="str">
            <v>Avda. Vicuña Mackenna 6331</v>
          </cell>
          <cell r="I216" t="str">
            <v>La Florida</v>
          </cell>
          <cell r="J216" t="str">
            <v>SIN CONVENIO</v>
          </cell>
        </row>
        <row r="217">
          <cell r="B217">
            <v>582</v>
          </cell>
          <cell r="C217" t="str">
            <v>RANCAGUA MALL</v>
          </cell>
          <cell r="D217" t="str">
            <v>VI - O'Higgins</v>
          </cell>
          <cell r="F217" t="str">
            <v>ESSBIO S.A.</v>
          </cell>
          <cell r="G217" t="str">
            <v>Cerrado</v>
          </cell>
          <cell r="H217" t="str">
            <v>Cuevas, 483 Nivel -2</v>
          </cell>
          <cell r="I217" t="str">
            <v>Rancagua</v>
          </cell>
          <cell r="J217" t="str">
            <v>SIN CONVENIO</v>
          </cell>
        </row>
        <row r="218">
          <cell r="B218">
            <v>583</v>
          </cell>
          <cell r="C218" t="str">
            <v>SAN JAVIER</v>
          </cell>
          <cell r="D218" t="str">
            <v>VII - Maule</v>
          </cell>
          <cell r="F218" t="str">
            <v>NUEVOSUR S.A.</v>
          </cell>
          <cell r="G218" t="str">
            <v>Abierto</v>
          </cell>
          <cell r="H218" t="str">
            <v>Balmaceda N° 1900</v>
          </cell>
          <cell r="I218" t="str">
            <v>San Javier</v>
          </cell>
          <cell r="J218" t="str">
            <v>SIN CONVENIO</v>
          </cell>
        </row>
        <row r="219">
          <cell r="B219">
            <v>584</v>
          </cell>
          <cell r="C219" t="str">
            <v>SARGENTO SILVA</v>
          </cell>
          <cell r="D219" t="str">
            <v>X - Los Lagos</v>
          </cell>
          <cell r="F219" t="str">
            <v>SURALIS</v>
          </cell>
          <cell r="G219" t="str">
            <v>Cerrado</v>
          </cell>
          <cell r="H219" t="str">
            <v>Sargento Silva 751</v>
          </cell>
          <cell r="I219" t="str">
            <v>Puerto Montt</v>
          </cell>
          <cell r="J219" t="str">
            <v>SIN CONVENIO</v>
          </cell>
        </row>
        <row r="220">
          <cell r="B220">
            <v>585</v>
          </cell>
          <cell r="C220" t="str">
            <v>LOS VOLCANES</v>
          </cell>
          <cell r="D220" t="str">
            <v>X - Los Lagos</v>
          </cell>
          <cell r="F220" t="str">
            <v>SURALIS</v>
          </cell>
          <cell r="G220" t="str">
            <v>Abierto</v>
          </cell>
          <cell r="H220" t="str">
            <v>Los Volcanes 585</v>
          </cell>
          <cell r="I220" t="str">
            <v>Puerto Montt</v>
          </cell>
          <cell r="J220" t="str">
            <v>SIN CONVENIO</v>
          </cell>
        </row>
        <row r="221">
          <cell r="B221">
            <v>586</v>
          </cell>
          <cell r="C221" t="str">
            <v>BUIN MAIPO</v>
          </cell>
          <cell r="D221" t="str">
            <v>RM - Santiago</v>
          </cell>
          <cell r="F221" t="str">
            <v>AGUAS ANDINAS S.A.</v>
          </cell>
          <cell r="G221" t="str">
            <v>Abierto</v>
          </cell>
          <cell r="H221" t="str">
            <v>Camino Buin Maipo 3147</v>
          </cell>
          <cell r="I221" t="str">
            <v>Buin</v>
          </cell>
          <cell r="J221" t="str">
            <v>SIN CONVENIO</v>
          </cell>
        </row>
        <row r="222">
          <cell r="B222">
            <v>598</v>
          </cell>
          <cell r="C222" t="str">
            <v>LO PRADO</v>
          </cell>
          <cell r="D222" t="str">
            <v>RM - Santiago</v>
          </cell>
          <cell r="F222" t="str">
            <v>AGUAS ANDINAS S.A.</v>
          </cell>
          <cell r="G222" t="str">
            <v>Cerrado</v>
          </cell>
          <cell r="H222" t="str">
            <v>San Pablo 7171</v>
          </cell>
          <cell r="I222" t="str">
            <v>Lo Prado</v>
          </cell>
          <cell r="J222" t="str">
            <v>SIN CONVENIO</v>
          </cell>
        </row>
        <row r="223">
          <cell r="B223">
            <v>599</v>
          </cell>
          <cell r="C223" t="str">
            <v>SILVA CARVALLO II</v>
          </cell>
          <cell r="D223" t="str">
            <v>RM - Santiago</v>
          </cell>
          <cell r="F223" t="str">
            <v>AGUAS ANDINAS S.A.</v>
          </cell>
          <cell r="G223" t="str">
            <v>Proyecto</v>
          </cell>
          <cell r="H223" t="str">
            <v>Alfredo Silva Carvallo 730</v>
          </cell>
          <cell r="I223" t="str">
            <v>Maipú</v>
          </cell>
          <cell r="J223" t="str">
            <v>SIN CONVENIO</v>
          </cell>
        </row>
        <row r="224">
          <cell r="B224">
            <v>600</v>
          </cell>
          <cell r="C224" t="str">
            <v>ALTO HOSPICIO II</v>
          </cell>
          <cell r="D224" t="str">
            <v>I - Tarapacá</v>
          </cell>
          <cell r="F224" t="str">
            <v>AGUAS DEL ALTIPLANO S.A.</v>
          </cell>
          <cell r="G224" t="str">
            <v>Abierto</v>
          </cell>
          <cell r="H224" t="str">
            <v>Ruta A16 3350</v>
          </cell>
          <cell r="I224" t="str">
            <v>Alto Hospicio</v>
          </cell>
          <cell r="J224" t="str">
            <v>SIN CONVENIO</v>
          </cell>
        </row>
        <row r="225">
          <cell r="B225">
            <v>601</v>
          </cell>
          <cell r="C225" t="str">
            <v>CHIGUAYANTE II</v>
          </cell>
          <cell r="D225" t="str">
            <v>VIII - Biobío</v>
          </cell>
          <cell r="F225" t="str">
            <v>ESSBIO S.A.</v>
          </cell>
          <cell r="G225" t="str">
            <v>Abierto</v>
          </cell>
          <cell r="H225" t="str">
            <v>Av. 8 Oriente 720</v>
          </cell>
          <cell r="I225" t="str">
            <v>Chiguayante</v>
          </cell>
          <cell r="J225" t="str">
            <v>SIN CONVENIO</v>
          </cell>
        </row>
        <row r="226">
          <cell r="B226">
            <v>602</v>
          </cell>
          <cell r="C226" t="str">
            <v>LOMAS DE SAN ANDRES</v>
          </cell>
          <cell r="D226" t="str">
            <v>VIII - Biobío</v>
          </cell>
          <cell r="F226" t="str">
            <v>ESSBIO S.A.</v>
          </cell>
          <cell r="G226" t="str">
            <v>Abierto</v>
          </cell>
          <cell r="H226" t="str">
            <v>Cosme Churruca 75</v>
          </cell>
          <cell r="I226" t="str">
            <v>Concepción</v>
          </cell>
          <cell r="J226" t="str">
            <v>SIN CONVENIO</v>
          </cell>
        </row>
        <row r="227">
          <cell r="B227">
            <v>603</v>
          </cell>
          <cell r="C227" t="str">
            <v>REPUBLICA</v>
          </cell>
          <cell r="D227" t="str">
            <v>RM - Santiago</v>
          </cell>
          <cell r="F227" t="str">
            <v>AGUAS ANDINAS S.A.</v>
          </cell>
          <cell r="G227" t="str">
            <v>Cerrado</v>
          </cell>
          <cell r="H227" t="str">
            <v>Alameda  2215</v>
          </cell>
          <cell r="I227" t="str">
            <v>Santiago</v>
          </cell>
          <cell r="J227" t="str">
            <v>SIN CONVENIO</v>
          </cell>
        </row>
        <row r="228">
          <cell r="B228">
            <v>621</v>
          </cell>
          <cell r="C228" t="str">
            <v>EL TABO</v>
          </cell>
          <cell r="D228" t="str">
            <v>V - Valparaiso</v>
          </cell>
          <cell r="F228" t="str">
            <v>ESVAL S.A.</v>
          </cell>
          <cell r="G228" t="str">
            <v>Abierto</v>
          </cell>
          <cell r="H228" t="str">
            <v>San Marcos 1027</v>
          </cell>
          <cell r="I228" t="str">
            <v>El Tabo</v>
          </cell>
          <cell r="J228" t="str">
            <v>SIN CONVENIO</v>
          </cell>
        </row>
        <row r="229">
          <cell r="B229">
            <v>622</v>
          </cell>
          <cell r="C229" t="str">
            <v>ZONA FRANCA I</v>
          </cell>
          <cell r="D229" t="str">
            <v>XII - Magallanes</v>
          </cell>
          <cell r="F229" t="str">
            <v>CARGA BCE ABU-GOSCH</v>
          </cell>
          <cell r="G229" t="str">
            <v>Abierto</v>
          </cell>
          <cell r="H229" t="str">
            <v xml:space="preserve">Manzana 18  Zona Franca </v>
          </cell>
          <cell r="I229" t="str">
            <v>Punta Arenas</v>
          </cell>
          <cell r="J229" t="str">
            <v>SIN CONVENIO</v>
          </cell>
        </row>
        <row r="230">
          <cell r="B230">
            <v>624</v>
          </cell>
          <cell r="C230" t="str">
            <v>PUCHUNCAVI</v>
          </cell>
          <cell r="D230" t="str">
            <v>V - Valparaiso</v>
          </cell>
          <cell r="F230" t="str">
            <v>ESVAL S.A.</v>
          </cell>
          <cell r="G230" t="str">
            <v>Abierto</v>
          </cell>
          <cell r="H230" t="str">
            <v>Av. Pte. Rios 672</v>
          </cell>
          <cell r="I230" t="str">
            <v>Puchuncaví</v>
          </cell>
          <cell r="J230" t="str">
            <v>SIN CONVENIO</v>
          </cell>
        </row>
        <row r="231">
          <cell r="B231">
            <v>625</v>
          </cell>
          <cell r="C231" t="str">
            <v>QUINTERO II</v>
          </cell>
          <cell r="D231" t="str">
            <v>V - Valparaiso</v>
          </cell>
          <cell r="F231" t="str">
            <v>ESVAL S.A.</v>
          </cell>
          <cell r="G231" t="str">
            <v>Abierto</v>
          </cell>
          <cell r="H231" t="str">
            <v>Calle Normandia 2680</v>
          </cell>
          <cell r="I231" t="str">
            <v>Quintero</v>
          </cell>
          <cell r="J231" t="str">
            <v>SIN CONVENIO</v>
          </cell>
        </row>
        <row r="232">
          <cell r="B232">
            <v>626</v>
          </cell>
          <cell r="C232" t="str">
            <v>EL MILAGRO</v>
          </cell>
          <cell r="D232" t="str">
            <v>IV - Coquimbo</v>
          </cell>
          <cell r="F232" t="str">
            <v>AGUAS DEL VALLE S A</v>
          </cell>
          <cell r="G232" t="str">
            <v>Abierto</v>
          </cell>
          <cell r="H232" t="str">
            <v>Santiago Del Apostol 4063</v>
          </cell>
          <cell r="I232" t="str">
            <v>La Serena</v>
          </cell>
          <cell r="J232" t="str">
            <v>SIN CONVENIO</v>
          </cell>
        </row>
        <row r="233">
          <cell r="B233">
            <v>627</v>
          </cell>
          <cell r="C233" t="str">
            <v>VALDIVIA</v>
          </cell>
          <cell r="D233" t="str">
            <v>XIV - Los Ríos</v>
          </cell>
          <cell r="F233" t="str">
            <v>AGUAS DECIMA S A</v>
          </cell>
          <cell r="G233" t="str">
            <v>Cerrado</v>
          </cell>
          <cell r="H233" t="str">
            <v>Av. Simpson 499</v>
          </cell>
          <cell r="I233" t="str">
            <v>Valdivia</v>
          </cell>
          <cell r="J233" t="str">
            <v>SIN CONVENIO</v>
          </cell>
        </row>
        <row r="234">
          <cell r="B234">
            <v>628</v>
          </cell>
          <cell r="C234" t="str">
            <v>CARTAGENA</v>
          </cell>
          <cell r="D234" t="str">
            <v>V - Valparaiso</v>
          </cell>
          <cell r="F234" t="str">
            <v>ESVAL S.A.</v>
          </cell>
          <cell r="G234" t="str">
            <v>Abierto</v>
          </cell>
          <cell r="H234" t="str">
            <v>Casanova 306</v>
          </cell>
          <cell r="I234" t="str">
            <v>Cartagena</v>
          </cell>
          <cell r="J234" t="str">
            <v>SIN CONVENIO</v>
          </cell>
        </row>
        <row r="235">
          <cell r="B235">
            <v>629</v>
          </cell>
          <cell r="C235" t="str">
            <v>EL QUISCO II</v>
          </cell>
          <cell r="D235" t="str">
            <v>V - Valparaiso</v>
          </cell>
          <cell r="F235" t="str">
            <v>ESVAL S.A.</v>
          </cell>
          <cell r="G235" t="str">
            <v>Proyecto</v>
          </cell>
          <cell r="H235" t="str">
            <v>Av Isidoro Dubornois 890</v>
          </cell>
          <cell r="I235" t="str">
            <v>El Quisco</v>
          </cell>
          <cell r="J235" t="str">
            <v>SIN CONVENIO</v>
          </cell>
        </row>
        <row r="236">
          <cell r="B236">
            <v>632</v>
          </cell>
          <cell r="C236" t="str">
            <v>VILLARRICA II</v>
          </cell>
          <cell r="D236" t="str">
            <v>IX - Araucanía</v>
          </cell>
          <cell r="F236" t="str">
            <v>AGUAS ARAUCANIA S A</v>
          </cell>
          <cell r="G236" t="str">
            <v>Cerrado</v>
          </cell>
          <cell r="H236" t="str">
            <v>Saturnino Epulef 1117</v>
          </cell>
          <cell r="I236" t="str">
            <v>Villarrica</v>
          </cell>
          <cell r="J236" t="str">
            <v>SIN CONVENIO</v>
          </cell>
        </row>
        <row r="237">
          <cell r="B237">
            <v>633</v>
          </cell>
          <cell r="C237" t="str">
            <v>CHIMBARONGO II</v>
          </cell>
          <cell r="D237" t="str">
            <v>VI - O'Higgins</v>
          </cell>
          <cell r="F237" t="str">
            <v>ESSBIO S.A.</v>
          </cell>
          <cell r="G237" t="str">
            <v>Abierto</v>
          </cell>
          <cell r="H237" t="str">
            <v>Garcia Y Reyes S/N</v>
          </cell>
          <cell r="I237" t="str">
            <v>Chimbarongo</v>
          </cell>
          <cell r="J237" t="str">
            <v>SIN CONVENIO</v>
          </cell>
        </row>
        <row r="238">
          <cell r="B238">
            <v>641</v>
          </cell>
          <cell r="C238" t="str">
            <v>VICUÑA</v>
          </cell>
          <cell r="D238" t="str">
            <v>IV - Coquimbo</v>
          </cell>
          <cell r="F238" t="str">
            <v>AGUAS DEL VALLE S A</v>
          </cell>
          <cell r="G238" t="str">
            <v>Abierto</v>
          </cell>
          <cell r="H238" t="str">
            <v>Chacabuco 302</v>
          </cell>
          <cell r="I238" t="str">
            <v>Vicuña</v>
          </cell>
          <cell r="J238" t="str">
            <v>SIN CONVENIO</v>
          </cell>
        </row>
        <row r="239">
          <cell r="B239">
            <v>642</v>
          </cell>
          <cell r="C239" t="str">
            <v>LOS NOTROS</v>
          </cell>
          <cell r="D239" t="str">
            <v>X - Los Lagos</v>
          </cell>
          <cell r="F239" t="str">
            <v>SURALIS</v>
          </cell>
          <cell r="G239" t="str">
            <v>Abierto</v>
          </cell>
          <cell r="H239" t="str">
            <v>Los Notros N° 1272</v>
          </cell>
          <cell r="I239" t="str">
            <v>Puerto Montt</v>
          </cell>
          <cell r="J239" t="str">
            <v>SIN CONVENIO</v>
          </cell>
        </row>
        <row r="240">
          <cell r="B240">
            <v>643</v>
          </cell>
          <cell r="C240" t="str">
            <v>LINDEROS</v>
          </cell>
          <cell r="D240" t="str">
            <v>RM - Santiago</v>
          </cell>
          <cell r="F240" t="str">
            <v>AGUAS ANDINAS S.A.</v>
          </cell>
          <cell r="G240" t="str">
            <v>Abierto</v>
          </cell>
          <cell r="H240" t="str">
            <v>Longitudinal Sur 4251 - Parcela 11</v>
          </cell>
          <cell r="I240" t="str">
            <v>Buin</v>
          </cell>
          <cell r="J240" t="str">
            <v>SIN CONVENIO</v>
          </cell>
        </row>
        <row r="241">
          <cell r="B241">
            <v>644</v>
          </cell>
          <cell r="C241" t="str">
            <v>RANCAGUA REPUBLICA</v>
          </cell>
          <cell r="D241" t="str">
            <v>VI - O'Higgins</v>
          </cell>
          <cell r="F241" t="str">
            <v>ESSBIO S.A.</v>
          </cell>
          <cell r="G241" t="str">
            <v>Abierto</v>
          </cell>
          <cell r="H241" t="str">
            <v>Republica  391</v>
          </cell>
          <cell r="I241" t="str">
            <v>Rancagua</v>
          </cell>
          <cell r="J241" t="str">
            <v>SIN CONVENIO</v>
          </cell>
        </row>
        <row r="242">
          <cell r="B242">
            <v>645</v>
          </cell>
          <cell r="C242" t="str">
            <v>MEMBRILLAR</v>
          </cell>
          <cell r="D242" t="str">
            <v>VI - O'Higgins</v>
          </cell>
          <cell r="E242">
            <v>84</v>
          </cell>
          <cell r="F242" t="str">
            <v>ESSBIO S.A.</v>
          </cell>
          <cell r="G242" t="str">
            <v>Abierto</v>
          </cell>
          <cell r="H242" t="str">
            <v>Av. Membrillar 10</v>
          </cell>
          <cell r="I242" t="str">
            <v>Rancagua</v>
          </cell>
          <cell r="J242" t="str">
            <v>SIN CONVENIO</v>
          </cell>
        </row>
        <row r="243">
          <cell r="B243">
            <v>646</v>
          </cell>
          <cell r="C243" t="str">
            <v>HORNILLAS</v>
          </cell>
          <cell r="D243" t="str">
            <v>XII - Magallanes</v>
          </cell>
          <cell r="F243" t="str">
            <v>AGUAS MAGALLANES S.A.</v>
          </cell>
          <cell r="G243" t="str">
            <v>Cerrado</v>
          </cell>
          <cell r="H243" t="str">
            <v>Av. Eduardo Frei 0770</v>
          </cell>
          <cell r="I243" t="str">
            <v>Punta Arenas</v>
          </cell>
          <cell r="J243" t="str">
            <v>SIN CONVENIO</v>
          </cell>
        </row>
        <row r="244">
          <cell r="B244">
            <v>669</v>
          </cell>
          <cell r="C244" t="str">
            <v>TIENDA DUMMY UNI</v>
          </cell>
          <cell r="D244" t="str">
            <v>RM - Santiago</v>
          </cell>
          <cell r="F244" t="str">
            <v>AGUAS ANDINAS S.A.</v>
          </cell>
          <cell r="G244" t="str">
            <v>Proyecto</v>
          </cell>
          <cell r="H244" t="str">
            <v>LO BARNECHEA 1393</v>
          </cell>
          <cell r="I244" t="str">
            <v>Lo Barnechea</v>
          </cell>
          <cell r="J244" t="str">
            <v>SIN CONVENIO</v>
          </cell>
        </row>
        <row r="245">
          <cell r="B245">
            <v>670</v>
          </cell>
          <cell r="C245" t="str">
            <v>PADRE ARTEAGA</v>
          </cell>
          <cell r="D245" t="str">
            <v>RM - Santiago</v>
          </cell>
          <cell r="F245" t="str">
            <v>AGUAS ANDINAS S.A.</v>
          </cell>
          <cell r="G245" t="str">
            <v>Cerrado</v>
          </cell>
          <cell r="H245" t="str">
            <v>Padre Arteaga 1002</v>
          </cell>
          <cell r="I245" t="str">
            <v>Lo Barnechea</v>
          </cell>
          <cell r="J245" t="str">
            <v>SIN CONVENIO</v>
          </cell>
        </row>
        <row r="246">
          <cell r="B246">
            <v>671</v>
          </cell>
          <cell r="C246" t="str">
            <v>LAS CONDES</v>
          </cell>
          <cell r="D246" t="str">
            <v>RM - Santiago</v>
          </cell>
          <cell r="F246" t="str">
            <v>AGUAS CORDILLERA S.A.</v>
          </cell>
          <cell r="G246" t="str">
            <v>Abierto</v>
          </cell>
          <cell r="H246" t="str">
            <v>Av. Las Condes 14791</v>
          </cell>
          <cell r="I246" t="str">
            <v>Lo Barnechea</v>
          </cell>
          <cell r="J246" t="str">
            <v>SIN CONVENIO</v>
          </cell>
        </row>
        <row r="247">
          <cell r="B247">
            <v>673</v>
          </cell>
          <cell r="C247" t="str">
            <v>LA TORRE II</v>
          </cell>
          <cell r="D247" t="str">
            <v>II - Antofagasta</v>
          </cell>
          <cell r="F247" t="str">
            <v>AGUAS DE ANTOFAGASTA S A</v>
          </cell>
          <cell r="G247" t="str">
            <v>Abierto</v>
          </cell>
          <cell r="H247" t="str">
            <v>Latorre 2149</v>
          </cell>
          <cell r="I247" t="str">
            <v>Calama</v>
          </cell>
          <cell r="J247" t="str">
            <v>SIN CONVENIO</v>
          </cell>
        </row>
        <row r="248">
          <cell r="B248">
            <v>674</v>
          </cell>
          <cell r="C248" t="str">
            <v>BRASILIA</v>
          </cell>
          <cell r="D248" t="str">
            <v>II - Antofagasta</v>
          </cell>
          <cell r="F248" t="str">
            <v>AGUAS DE ANTOFAGASTA S A</v>
          </cell>
          <cell r="G248" t="str">
            <v>Abierto</v>
          </cell>
          <cell r="H248" t="str">
            <v>Brasilia 2386</v>
          </cell>
          <cell r="I248" t="str">
            <v>Calama</v>
          </cell>
          <cell r="J248" t="str">
            <v>SIN CONVENIO</v>
          </cell>
        </row>
        <row r="249">
          <cell r="B249">
            <v>675</v>
          </cell>
          <cell r="C249" t="str">
            <v>GRECIA II</v>
          </cell>
          <cell r="D249" t="str">
            <v>II - Antofagasta</v>
          </cell>
          <cell r="F249" t="str">
            <v>AGUAS DE ANTOFAGASTA S A</v>
          </cell>
          <cell r="G249" t="str">
            <v>Cerrado</v>
          </cell>
          <cell r="H249" t="str">
            <v>Av. Grecia 2314</v>
          </cell>
          <cell r="I249" t="str">
            <v>Calama</v>
          </cell>
          <cell r="J249" t="str">
            <v>SIN CONVENIO</v>
          </cell>
        </row>
        <row r="250">
          <cell r="B250">
            <v>681</v>
          </cell>
          <cell r="C250" t="str">
            <v>ROTONDA ARICA</v>
          </cell>
          <cell r="D250" t="str">
            <v>XV - Arica y Parinacota</v>
          </cell>
          <cell r="F250" t="str">
            <v>AGUAS DEL ALTIPLANO S.A.</v>
          </cell>
          <cell r="G250" t="str">
            <v>Abierto</v>
          </cell>
          <cell r="H250" t="str">
            <v>AVDA 18 SEPTIEMBRE 2501</v>
          </cell>
          <cell r="I250" t="str">
            <v>Arica</v>
          </cell>
          <cell r="J250" t="str">
            <v>SIN CONVENIO</v>
          </cell>
        </row>
        <row r="251">
          <cell r="B251">
            <v>682</v>
          </cell>
          <cell r="C251" t="str">
            <v>LA UNION</v>
          </cell>
          <cell r="D251" t="str">
            <v>XIV - Los Ríos</v>
          </cell>
          <cell r="F251" t="str">
            <v>AGUAS DECIMA S A</v>
          </cell>
          <cell r="G251" t="str">
            <v>Proyecto</v>
          </cell>
          <cell r="H251" t="str">
            <v>BALMACEDA 542</v>
          </cell>
          <cell r="I251" t="str">
            <v>La Unión</v>
          </cell>
          <cell r="J251" t="str">
            <v>SIN CONVENIO</v>
          </cell>
        </row>
        <row r="252">
          <cell r="B252">
            <v>683</v>
          </cell>
          <cell r="C252" t="str">
            <v>METRO LO OVALLE</v>
          </cell>
          <cell r="D252" t="str">
            <v>RM - Santiago</v>
          </cell>
          <cell r="F252" t="str">
            <v>AGUAS ANDINAS S.A.</v>
          </cell>
          <cell r="G252" t="str">
            <v>Abierto</v>
          </cell>
          <cell r="H252" t="str">
            <v>Gran Av.6555</v>
          </cell>
          <cell r="I252" t="str">
            <v>La Cisterna</v>
          </cell>
          <cell r="J252" t="str">
            <v>SIN CONVENIO</v>
          </cell>
        </row>
        <row r="253">
          <cell r="B253">
            <v>684</v>
          </cell>
          <cell r="C253" t="str">
            <v>FRUTILLAR II</v>
          </cell>
          <cell r="D253" t="str">
            <v>X - Los Lagos</v>
          </cell>
          <cell r="F253" t="str">
            <v>SURALIS</v>
          </cell>
          <cell r="G253" t="str">
            <v>Proyecto</v>
          </cell>
          <cell r="H253" t="str">
            <v>Av. Carlos Richter 199</v>
          </cell>
          <cell r="I253" t="str">
            <v>Frutillar</v>
          </cell>
          <cell r="J253" t="str">
            <v>SIN CONVENIO</v>
          </cell>
        </row>
        <row r="254">
          <cell r="B254">
            <v>685</v>
          </cell>
          <cell r="C254" t="str">
            <v>LOS ANGELES SINAY</v>
          </cell>
          <cell r="D254" t="str">
            <v>VIII - Biobío</v>
          </cell>
          <cell r="F254" t="str">
            <v>ESSBIO S.A.</v>
          </cell>
          <cell r="G254" t="str">
            <v>Abierto</v>
          </cell>
          <cell r="H254" t="str">
            <v>Av. Alemania 610</v>
          </cell>
          <cell r="I254" t="str">
            <v>Los Angeles</v>
          </cell>
          <cell r="J254" t="str">
            <v>SIN CONVENIO</v>
          </cell>
        </row>
        <row r="255">
          <cell r="B255">
            <v>686</v>
          </cell>
          <cell r="C255" t="str">
            <v>RANCAGUA KENNEDY</v>
          </cell>
          <cell r="D255" t="str">
            <v>VI - O'Higgins</v>
          </cell>
          <cell r="F255" t="str">
            <v>ESSBIO S.A.</v>
          </cell>
          <cell r="G255" t="str">
            <v>Abierto</v>
          </cell>
          <cell r="H255" t="str">
            <v>Avda. Kennedy 2235</v>
          </cell>
          <cell r="I255" t="str">
            <v>Rancagua</v>
          </cell>
          <cell r="J255" t="str">
            <v>SIN CONVENIO</v>
          </cell>
        </row>
        <row r="256">
          <cell r="B256">
            <v>702</v>
          </cell>
          <cell r="C256" t="str">
            <v>PICHILEMU II</v>
          </cell>
          <cell r="D256" t="str">
            <v>VI - O'Higgins</v>
          </cell>
          <cell r="F256" t="str">
            <v>ESSBIO S.A.</v>
          </cell>
          <cell r="G256" t="str">
            <v>Cerrado</v>
          </cell>
          <cell r="H256" t="str">
            <v>Ortuzar 323</v>
          </cell>
          <cell r="I256" t="str">
            <v>Pichilemu</v>
          </cell>
          <cell r="J256" t="str">
            <v>SIN CONVENIO</v>
          </cell>
        </row>
        <row r="257">
          <cell r="B257">
            <v>703</v>
          </cell>
          <cell r="C257" t="str">
            <v>CORONEL II</v>
          </cell>
          <cell r="D257" t="str">
            <v>VIII - Biobío</v>
          </cell>
          <cell r="F257" t="str">
            <v>ESSBIO S.A.</v>
          </cell>
          <cell r="G257" t="str">
            <v>Abierto</v>
          </cell>
          <cell r="H257" t="str">
            <v>Manuel Montt 398</v>
          </cell>
          <cell r="I257" t="str">
            <v>Coronel</v>
          </cell>
          <cell r="J257" t="str">
            <v>SIN CONVENIO</v>
          </cell>
        </row>
        <row r="258">
          <cell r="B258">
            <v>704</v>
          </cell>
          <cell r="C258" t="str">
            <v>LAGUNILLAS</v>
          </cell>
          <cell r="D258" t="str">
            <v>VIII - Biobío</v>
          </cell>
          <cell r="F258" t="str">
            <v>ESSBIO S.A.</v>
          </cell>
          <cell r="G258" t="str">
            <v>Cerrado</v>
          </cell>
          <cell r="H258" t="str">
            <v>Los Notros 2961</v>
          </cell>
          <cell r="I258" t="str">
            <v>Coronel</v>
          </cell>
          <cell r="J258" t="str">
            <v>SIN CONVENIO</v>
          </cell>
        </row>
        <row r="259">
          <cell r="B259">
            <v>705</v>
          </cell>
          <cell r="C259" t="str">
            <v>MAIPU</v>
          </cell>
          <cell r="D259" t="str">
            <v>VIII - Biobío</v>
          </cell>
          <cell r="F259" t="str">
            <v>ESSBIO S.A.</v>
          </cell>
          <cell r="G259" t="str">
            <v>Cerrado</v>
          </cell>
          <cell r="H259" t="str">
            <v>Maipu 2099</v>
          </cell>
          <cell r="I259" t="str">
            <v>Concepción</v>
          </cell>
          <cell r="J259" t="str">
            <v>SIN CONVENIO</v>
          </cell>
        </row>
        <row r="260">
          <cell r="B260">
            <v>706</v>
          </cell>
          <cell r="C260" t="str">
            <v>COLLAO</v>
          </cell>
          <cell r="D260" t="str">
            <v>VIII - Biobío</v>
          </cell>
          <cell r="F260" t="str">
            <v>ESSBIO S.A.</v>
          </cell>
          <cell r="G260" t="str">
            <v>Cerrado</v>
          </cell>
          <cell r="H260" t="str">
            <v>Av. Collao 870</v>
          </cell>
          <cell r="I260" t="str">
            <v>Concepción</v>
          </cell>
          <cell r="J260" t="str">
            <v>SIN CONVENIO</v>
          </cell>
        </row>
        <row r="261">
          <cell r="B261">
            <v>707</v>
          </cell>
          <cell r="C261" t="str">
            <v>PENCO II</v>
          </cell>
          <cell r="D261" t="str">
            <v>VIII - Biobío</v>
          </cell>
          <cell r="F261" t="str">
            <v>ESSBIO S.A.</v>
          </cell>
          <cell r="G261" t="str">
            <v>Cerrado</v>
          </cell>
          <cell r="H261" t="str">
            <v>Freire 800</v>
          </cell>
          <cell r="I261" t="str">
            <v>Penco</v>
          </cell>
          <cell r="J261" t="str">
            <v>SIN CONVENIO</v>
          </cell>
        </row>
        <row r="262">
          <cell r="B262">
            <v>708</v>
          </cell>
          <cell r="C262" t="str">
            <v>CHIGUAYANTE III</v>
          </cell>
          <cell r="D262" t="str">
            <v>VIII - Biobío</v>
          </cell>
          <cell r="F262" t="str">
            <v>ESSBIO S.A.</v>
          </cell>
          <cell r="G262" t="str">
            <v>Cerrado</v>
          </cell>
          <cell r="H262" t="str">
            <v>Manuel Rodriguez 376</v>
          </cell>
          <cell r="I262" t="str">
            <v>Chiguayante</v>
          </cell>
          <cell r="J262" t="str">
            <v>SIN CONVENIO</v>
          </cell>
        </row>
        <row r="263">
          <cell r="B263">
            <v>709</v>
          </cell>
          <cell r="C263" t="str">
            <v>MANQUIMAVIDA</v>
          </cell>
          <cell r="D263" t="str">
            <v>VIII - Biobío</v>
          </cell>
          <cell r="F263" t="str">
            <v>ESSBIO S.A.</v>
          </cell>
          <cell r="G263" t="str">
            <v>Abierto</v>
          </cell>
          <cell r="H263" t="str">
            <v>Manuel Rodriguez 1500</v>
          </cell>
          <cell r="I263" t="str">
            <v>Chiguayante</v>
          </cell>
          <cell r="J263" t="str">
            <v>SIN CONVENIO</v>
          </cell>
        </row>
        <row r="264">
          <cell r="B264">
            <v>710</v>
          </cell>
          <cell r="C264" t="str">
            <v>LOS HUERTOS</v>
          </cell>
          <cell r="D264" t="str">
            <v>VIII - Biobío</v>
          </cell>
          <cell r="F264" t="str">
            <v>ESSBIO S.A.</v>
          </cell>
          <cell r="G264" t="str">
            <v>Abierto</v>
          </cell>
          <cell r="H264" t="str">
            <v>Las Violetas 1782 (Ex 39)</v>
          </cell>
          <cell r="I264" t="str">
            <v>San Pedro De La Paz</v>
          </cell>
          <cell r="J264" t="str">
            <v>SIN CONVENIO</v>
          </cell>
        </row>
        <row r="265">
          <cell r="B265">
            <v>711</v>
          </cell>
          <cell r="C265" t="str">
            <v>TOME II</v>
          </cell>
          <cell r="D265" t="str">
            <v>VIII - Biobío</v>
          </cell>
          <cell r="F265" t="str">
            <v>ESSBIO S.A.</v>
          </cell>
          <cell r="G265" t="str">
            <v>Cerrado</v>
          </cell>
          <cell r="H265" t="str">
            <v>Manuel Montt 1255</v>
          </cell>
          <cell r="I265" t="str">
            <v>Tomé</v>
          </cell>
          <cell r="J265" t="str">
            <v>SIN CONVENIO</v>
          </cell>
        </row>
        <row r="266">
          <cell r="B266">
            <v>712</v>
          </cell>
          <cell r="C266" t="str">
            <v>SAN CARLOS II</v>
          </cell>
          <cell r="D266" t="str">
            <v>XVI - Ñuble</v>
          </cell>
          <cell r="F266" t="str">
            <v>ESSBIO S.A.</v>
          </cell>
          <cell r="G266" t="str">
            <v>Abierto</v>
          </cell>
          <cell r="H266" t="str">
            <v>Ignacio Serrano 500</v>
          </cell>
          <cell r="I266" t="str">
            <v>San Carlos</v>
          </cell>
          <cell r="J266" t="str">
            <v>SIN CONVENIO</v>
          </cell>
        </row>
        <row r="267">
          <cell r="B267">
            <v>713</v>
          </cell>
          <cell r="C267" t="str">
            <v>GOMEZ CARREÑO</v>
          </cell>
          <cell r="D267" t="str">
            <v>VIII - Biobío</v>
          </cell>
          <cell r="F267" t="str">
            <v>ESSBIO S.A.</v>
          </cell>
          <cell r="G267" t="str">
            <v>Abierto</v>
          </cell>
          <cell r="H267" t="str">
            <v>Gomez Carreño 3875</v>
          </cell>
          <cell r="I267" t="str">
            <v>Talcahuano</v>
          </cell>
          <cell r="J267" t="str">
            <v>SIN CONVENIO</v>
          </cell>
        </row>
        <row r="268">
          <cell r="B268">
            <v>714</v>
          </cell>
          <cell r="C268" t="str">
            <v>ETCHEVERS</v>
          </cell>
          <cell r="D268" t="str">
            <v>V - Valparaiso</v>
          </cell>
          <cell r="F268" t="str">
            <v>ESVAL S.A.</v>
          </cell>
          <cell r="G268" t="str">
            <v>Abierto</v>
          </cell>
          <cell r="H268" t="str">
            <v>Etchevers Alto 594</v>
          </cell>
          <cell r="I268" t="str">
            <v>Viña Del Mar</v>
          </cell>
          <cell r="J268" t="str">
            <v>SIN CONVENIO</v>
          </cell>
        </row>
        <row r="269">
          <cell r="B269">
            <v>715</v>
          </cell>
          <cell r="C269" t="str">
            <v>ARAUCO II</v>
          </cell>
          <cell r="D269" t="str">
            <v>VIII - Biobío</v>
          </cell>
          <cell r="F269" t="str">
            <v>ESSBIO S.A.</v>
          </cell>
          <cell r="G269" t="str">
            <v>Abierto</v>
          </cell>
          <cell r="H269" t="str">
            <v>Covadonga 391</v>
          </cell>
          <cell r="I269" t="str">
            <v>Arauco</v>
          </cell>
          <cell r="J269" t="str">
            <v>SIN CONVENIO</v>
          </cell>
        </row>
        <row r="270">
          <cell r="B270">
            <v>716</v>
          </cell>
          <cell r="C270" t="str">
            <v>LA VIOLETA</v>
          </cell>
          <cell r="D270" t="str">
            <v>VIII - Biobío</v>
          </cell>
          <cell r="F270" t="str">
            <v>ESSBIO S.A.</v>
          </cell>
          <cell r="G270" t="str">
            <v>Abierto</v>
          </cell>
          <cell r="H270" t="str">
            <v>Pedro Aguirre Cerda 602</v>
          </cell>
          <cell r="I270" t="str">
            <v>Lota</v>
          </cell>
          <cell r="J270" t="str">
            <v>SIN CONVENIO</v>
          </cell>
        </row>
        <row r="271">
          <cell r="B271">
            <v>717</v>
          </cell>
          <cell r="C271" t="str">
            <v>JARDIN DEL MAR</v>
          </cell>
          <cell r="D271" t="str">
            <v>V - Valparaiso</v>
          </cell>
          <cell r="F271" t="str">
            <v>ESVAL S.A.</v>
          </cell>
          <cell r="G271" t="str">
            <v>Abierto</v>
          </cell>
          <cell r="H271" t="str">
            <v>Los Sargazos 1855</v>
          </cell>
          <cell r="I271" t="str">
            <v>Viña Del Mar</v>
          </cell>
          <cell r="J271" t="str">
            <v>SIN CONVENIO</v>
          </cell>
        </row>
        <row r="272">
          <cell r="B272">
            <v>718</v>
          </cell>
          <cell r="C272" t="str">
            <v>CHILLAN TERMINAL</v>
          </cell>
          <cell r="D272" t="str">
            <v>XVI - Ñuble</v>
          </cell>
          <cell r="F272" t="str">
            <v>ESSBIO S.A.</v>
          </cell>
          <cell r="G272" t="str">
            <v>Cerrado</v>
          </cell>
          <cell r="H272" t="str">
            <v>Sargento Aldea 855</v>
          </cell>
          <cell r="I272" t="str">
            <v>Chillán</v>
          </cell>
          <cell r="J272" t="str">
            <v>SIN CONVENIO</v>
          </cell>
        </row>
        <row r="273">
          <cell r="B273">
            <v>719</v>
          </cell>
          <cell r="C273" t="str">
            <v>SAN PEDRO</v>
          </cell>
          <cell r="D273" t="str">
            <v>VIII - Biobío</v>
          </cell>
          <cell r="F273" t="str">
            <v>ESSBIO S.A.</v>
          </cell>
          <cell r="G273" t="str">
            <v>Cerrado</v>
          </cell>
          <cell r="H273" t="str">
            <v>Av. San Pedro 25</v>
          </cell>
          <cell r="I273" t="str">
            <v>San Pedro De La Paz</v>
          </cell>
          <cell r="J273" t="str">
            <v>SIN CONVENIO</v>
          </cell>
        </row>
        <row r="274">
          <cell r="B274">
            <v>720</v>
          </cell>
          <cell r="C274" t="str">
            <v>CURANILAHUE</v>
          </cell>
          <cell r="D274" t="str">
            <v>VIII - Biobío</v>
          </cell>
          <cell r="F274" t="str">
            <v>ESSBIO S.A.</v>
          </cell>
          <cell r="G274" t="str">
            <v>Abierto</v>
          </cell>
          <cell r="H274" t="str">
            <v>O'Higgins 101</v>
          </cell>
          <cell r="I274" t="str">
            <v>Curanilahue</v>
          </cell>
          <cell r="J274" t="str">
            <v>SIN CONVENIO</v>
          </cell>
        </row>
        <row r="275">
          <cell r="B275">
            <v>721</v>
          </cell>
          <cell r="C275" t="str">
            <v>BULNES</v>
          </cell>
          <cell r="D275" t="str">
            <v>XVI - Ñuble</v>
          </cell>
          <cell r="F275" t="str">
            <v>ESSBIO S.A.</v>
          </cell>
          <cell r="G275" t="str">
            <v>Abierto</v>
          </cell>
          <cell r="H275" t="str">
            <v>Carlos Palacios 151</v>
          </cell>
          <cell r="I275" t="str">
            <v>Bulnes</v>
          </cell>
          <cell r="J275" t="str">
            <v>SIN CONVENIO</v>
          </cell>
        </row>
        <row r="276">
          <cell r="B276">
            <v>722</v>
          </cell>
          <cell r="C276" t="str">
            <v>LEBU</v>
          </cell>
          <cell r="D276" t="str">
            <v>VIII - Biobío</v>
          </cell>
          <cell r="F276" t="str">
            <v>ESSBIO S.A.</v>
          </cell>
          <cell r="G276" t="str">
            <v>Abierto</v>
          </cell>
          <cell r="H276" t="str">
            <v>Bulnes 130</v>
          </cell>
          <cell r="I276" t="str">
            <v>Lebu</v>
          </cell>
          <cell r="J276" t="str">
            <v>SIN CONVENIO</v>
          </cell>
        </row>
        <row r="277">
          <cell r="B277">
            <v>723</v>
          </cell>
          <cell r="C277" t="str">
            <v>LAJA</v>
          </cell>
          <cell r="D277" t="str">
            <v>VIII - Biobío</v>
          </cell>
          <cell r="F277" t="str">
            <v>ESSBIO S.A.</v>
          </cell>
          <cell r="G277" t="str">
            <v>Abierto</v>
          </cell>
          <cell r="H277" t="str">
            <v>Balmaceda 62</v>
          </cell>
          <cell r="I277" t="str">
            <v>Laja</v>
          </cell>
          <cell r="J277" t="str">
            <v>SIN CONVENIO</v>
          </cell>
        </row>
        <row r="278">
          <cell r="B278">
            <v>724</v>
          </cell>
          <cell r="C278" t="str">
            <v>CARACOL</v>
          </cell>
          <cell r="D278" t="str">
            <v>VIII - Biobío</v>
          </cell>
          <cell r="F278" t="str">
            <v>ESSBIO S.A.</v>
          </cell>
          <cell r="G278" t="str">
            <v>Abierto</v>
          </cell>
          <cell r="H278" t="str">
            <v>Ignacio Serrano 980</v>
          </cell>
          <cell r="I278" t="str">
            <v>Tomé</v>
          </cell>
          <cell r="J278" t="str">
            <v>SIN CONVENIO</v>
          </cell>
        </row>
        <row r="279">
          <cell r="B279">
            <v>725</v>
          </cell>
          <cell r="C279" t="str">
            <v>QUILLON</v>
          </cell>
          <cell r="D279" t="str">
            <v>XVI - Ñuble</v>
          </cell>
          <cell r="F279" t="str">
            <v>ESSBIO S.A.</v>
          </cell>
          <cell r="G279" t="str">
            <v>Abierto</v>
          </cell>
          <cell r="H279" t="str">
            <v>Cayumanqui 495</v>
          </cell>
          <cell r="I279" t="str">
            <v>Quillón</v>
          </cell>
          <cell r="J279" t="str">
            <v>SIN CONVENIO</v>
          </cell>
        </row>
        <row r="280">
          <cell r="B280">
            <v>726</v>
          </cell>
          <cell r="C280" t="str">
            <v>COIHUECO</v>
          </cell>
          <cell r="D280" t="str">
            <v>XVI - Ñuble</v>
          </cell>
          <cell r="F280" t="str">
            <v>ESSBIO S.A.</v>
          </cell>
          <cell r="G280" t="str">
            <v>Abierto</v>
          </cell>
          <cell r="H280" t="str">
            <v>Balmaceda 546</v>
          </cell>
          <cell r="I280" t="str">
            <v>Coihueco</v>
          </cell>
          <cell r="J280" t="str">
            <v>SIN CONVENIO</v>
          </cell>
        </row>
        <row r="281">
          <cell r="B281">
            <v>727</v>
          </cell>
          <cell r="C281" t="str">
            <v>JOSE DONOSO</v>
          </cell>
          <cell r="D281" t="str">
            <v>VIII - Biobío</v>
          </cell>
          <cell r="F281" t="str">
            <v>ESSBIO S.A.</v>
          </cell>
          <cell r="G281" t="str">
            <v>Cerrado</v>
          </cell>
          <cell r="H281" t="str">
            <v>Jose Donoso 65</v>
          </cell>
          <cell r="I281" t="str">
            <v>San Pedro De La Paz</v>
          </cell>
          <cell r="J281" t="str">
            <v>SIN CONVENIO</v>
          </cell>
        </row>
        <row r="282">
          <cell r="B282">
            <v>728</v>
          </cell>
          <cell r="C282" t="str">
            <v>PISAGUA I</v>
          </cell>
          <cell r="D282" t="str">
            <v>VI - O'Higgins</v>
          </cell>
          <cell r="F282" t="str">
            <v>ESSBIO S.A.</v>
          </cell>
          <cell r="G282" t="str">
            <v>Cerrado</v>
          </cell>
          <cell r="H282" t="str">
            <v>Pisagua 21</v>
          </cell>
          <cell r="I282" t="str">
            <v>Chimbarongo</v>
          </cell>
          <cell r="J282" t="str">
            <v>SIN CONVENIO</v>
          </cell>
        </row>
        <row r="283">
          <cell r="B283">
            <v>729</v>
          </cell>
          <cell r="C283" t="str">
            <v>PISAGUA II</v>
          </cell>
          <cell r="D283" t="str">
            <v>VI - O'Higgins</v>
          </cell>
          <cell r="F283" t="str">
            <v>ESSBIO S.A.</v>
          </cell>
          <cell r="G283" t="str">
            <v>Cerrado</v>
          </cell>
          <cell r="H283" t="str">
            <v>Pisagua 24</v>
          </cell>
          <cell r="I283" t="str">
            <v>Chimbarongo</v>
          </cell>
          <cell r="J283" t="str">
            <v>SIN CONVENIO</v>
          </cell>
        </row>
        <row r="284">
          <cell r="B284">
            <v>730</v>
          </cell>
          <cell r="C284" t="str">
            <v>VITTORIO</v>
          </cell>
          <cell r="D284" t="str">
            <v>VIII - Biobío</v>
          </cell>
          <cell r="F284" t="str">
            <v>ESSBIO S.A.</v>
          </cell>
          <cell r="G284" t="str">
            <v>Cerrado</v>
          </cell>
          <cell r="H284" t="str">
            <v>Manuel Rodriguez 1978</v>
          </cell>
          <cell r="I284" t="str">
            <v>Chiguayante</v>
          </cell>
          <cell r="J284" t="str">
            <v>SIN CONVENIO</v>
          </cell>
        </row>
        <row r="285">
          <cell r="B285">
            <v>731</v>
          </cell>
          <cell r="C285" t="str">
            <v>LOS PUELCHES</v>
          </cell>
          <cell r="D285" t="str">
            <v>XVI - Ñuble</v>
          </cell>
          <cell r="F285" t="str">
            <v>ESSBIO S.A.</v>
          </cell>
          <cell r="G285" t="str">
            <v>Cerrado</v>
          </cell>
          <cell r="H285" t="str">
            <v>Av. Los Puelches 705</v>
          </cell>
          <cell r="I285" t="str">
            <v>Chillán</v>
          </cell>
          <cell r="J285" t="str">
            <v>SIN CONVENIO</v>
          </cell>
        </row>
        <row r="286">
          <cell r="B286">
            <v>732</v>
          </cell>
          <cell r="C286" t="str">
            <v>YUNGAY</v>
          </cell>
          <cell r="D286" t="str">
            <v>XVI - Ñuble</v>
          </cell>
          <cell r="F286" t="str">
            <v>ESSBIO S.A.</v>
          </cell>
          <cell r="G286" t="str">
            <v>Abierto</v>
          </cell>
          <cell r="H286" t="str">
            <v>Esmeralda 211</v>
          </cell>
          <cell r="I286" t="str">
            <v>Yungay</v>
          </cell>
          <cell r="J286" t="str">
            <v>SIN CONVENIO</v>
          </cell>
        </row>
        <row r="287">
          <cell r="B287">
            <v>733</v>
          </cell>
          <cell r="C287" t="str">
            <v>CHILLAN VIEJO</v>
          </cell>
          <cell r="D287" t="str">
            <v>XVI - Ñuble</v>
          </cell>
          <cell r="F287" t="str">
            <v>ESSBIO S.A.</v>
          </cell>
          <cell r="G287" t="str">
            <v>Abierto</v>
          </cell>
          <cell r="H287" t="str">
            <v>Avenida Bernardo O"Higgins 2305</v>
          </cell>
          <cell r="I287" t="str">
            <v>Chillán Viejo</v>
          </cell>
          <cell r="J287" t="str">
            <v>SIN CONVENIO</v>
          </cell>
        </row>
        <row r="288">
          <cell r="B288">
            <v>734</v>
          </cell>
          <cell r="C288" t="str">
            <v>YUMBEL</v>
          </cell>
          <cell r="D288" t="str">
            <v>VIII - Biobío</v>
          </cell>
          <cell r="F288" t="str">
            <v>ESSBIO S.A.</v>
          </cell>
          <cell r="G288" t="str">
            <v>Abierto</v>
          </cell>
          <cell r="H288" t="str">
            <v>O'Higgins 620</v>
          </cell>
          <cell r="I288" t="str">
            <v>Yumbel</v>
          </cell>
          <cell r="J288" t="str">
            <v>SIN CONVENIO</v>
          </cell>
        </row>
        <row r="289">
          <cell r="B289">
            <v>735</v>
          </cell>
          <cell r="C289" t="str">
            <v>CABRERO</v>
          </cell>
          <cell r="D289" t="str">
            <v>VIII - Biobío</v>
          </cell>
          <cell r="F289" t="str">
            <v>ESSBIO S.A.</v>
          </cell>
          <cell r="G289" t="str">
            <v>Abierto</v>
          </cell>
          <cell r="H289" t="str">
            <v>General Cruz 380</v>
          </cell>
          <cell r="I289" t="str">
            <v>Cabrero</v>
          </cell>
          <cell r="J289" t="str">
            <v>SIN CONVENIO</v>
          </cell>
        </row>
        <row r="290">
          <cell r="B290">
            <v>736</v>
          </cell>
          <cell r="C290" t="str">
            <v>EL VOLCAN</v>
          </cell>
          <cell r="D290" t="str">
            <v>VIII - Biobío</v>
          </cell>
          <cell r="F290" t="str">
            <v>ESSBIO S.A.</v>
          </cell>
          <cell r="G290" t="str">
            <v>Abierto</v>
          </cell>
          <cell r="H290" t="str">
            <v>Juan Antonio Rios 3039</v>
          </cell>
          <cell r="I290" t="str">
            <v>Coronel</v>
          </cell>
          <cell r="J290" t="str">
            <v>SIN CONVENIO</v>
          </cell>
        </row>
        <row r="291">
          <cell r="B291">
            <v>737</v>
          </cell>
          <cell r="C291" t="str">
            <v>HUALQUI</v>
          </cell>
          <cell r="D291" t="str">
            <v>VIII - Biobío</v>
          </cell>
          <cell r="F291" t="str">
            <v>ESSBIO S.A.</v>
          </cell>
          <cell r="G291" t="str">
            <v>Abierto</v>
          </cell>
          <cell r="H291" t="str">
            <v>La Araucana 490</v>
          </cell>
          <cell r="I291" t="str">
            <v>Hualqui</v>
          </cell>
          <cell r="J291" t="str">
            <v>SIN CONVENIO</v>
          </cell>
        </row>
        <row r="292">
          <cell r="B292">
            <v>738</v>
          </cell>
          <cell r="C292" t="str">
            <v>COELEMU</v>
          </cell>
          <cell r="D292" t="str">
            <v>XVI - Ñuble</v>
          </cell>
          <cell r="F292" t="str">
            <v>ESSBIO S.A.</v>
          </cell>
          <cell r="G292" t="str">
            <v>Abierto</v>
          </cell>
          <cell r="H292" t="str">
            <v>Castellon 597</v>
          </cell>
          <cell r="I292" t="str">
            <v>Coelemu</v>
          </cell>
          <cell r="J292" t="str">
            <v>SIN CONVENIO</v>
          </cell>
        </row>
        <row r="293">
          <cell r="B293">
            <v>739</v>
          </cell>
          <cell r="C293" t="str">
            <v>LEONERA</v>
          </cell>
          <cell r="D293" t="str">
            <v>VIII - Biobío</v>
          </cell>
          <cell r="F293" t="str">
            <v>ESSBIO S.A.</v>
          </cell>
          <cell r="G293" t="str">
            <v>Cerrado</v>
          </cell>
          <cell r="H293" t="str">
            <v>Manuel Rodriguez 3004</v>
          </cell>
          <cell r="I293" t="str">
            <v>Chiguayante</v>
          </cell>
          <cell r="J293" t="str">
            <v>SIN CONVENIO</v>
          </cell>
        </row>
        <row r="294">
          <cell r="B294">
            <v>740</v>
          </cell>
          <cell r="C294" t="str">
            <v>HUALPEN</v>
          </cell>
          <cell r="D294" t="str">
            <v>VIII - Biobío</v>
          </cell>
          <cell r="F294" t="str">
            <v>ESSBIO S.A.</v>
          </cell>
          <cell r="G294" t="str">
            <v>Abierto</v>
          </cell>
          <cell r="H294" t="str">
            <v>Bulgaria 2818</v>
          </cell>
          <cell r="I294" t="str">
            <v>Hualpén</v>
          </cell>
          <cell r="J294" t="str">
            <v>SIN CONVENIO</v>
          </cell>
        </row>
        <row r="295">
          <cell r="B295">
            <v>741</v>
          </cell>
          <cell r="C295" t="str">
            <v>ANIBAL PINTO</v>
          </cell>
          <cell r="D295" t="str">
            <v>VIII - Biobío</v>
          </cell>
          <cell r="F295" t="str">
            <v>ESSBIO S.A.</v>
          </cell>
          <cell r="G295" t="str">
            <v>Cerrado</v>
          </cell>
          <cell r="H295" t="str">
            <v>Anibal Pinto 1828</v>
          </cell>
          <cell r="I295" t="str">
            <v>Concepción</v>
          </cell>
          <cell r="J295" t="str">
            <v>SIN CONVENIO</v>
          </cell>
        </row>
        <row r="296">
          <cell r="B296">
            <v>742</v>
          </cell>
          <cell r="C296" t="str">
            <v>LIRQUEN</v>
          </cell>
          <cell r="D296" t="str">
            <v>VIII - Biobío</v>
          </cell>
          <cell r="F296" t="str">
            <v>ESSBIO S.A.</v>
          </cell>
          <cell r="G296" t="str">
            <v>Cerrado</v>
          </cell>
          <cell r="H296" t="str">
            <v>Sargento Aldea 135</v>
          </cell>
          <cell r="I296" t="str">
            <v>Penco</v>
          </cell>
          <cell r="J296" t="str">
            <v>SIN CONVENIO</v>
          </cell>
        </row>
        <row r="297">
          <cell r="B297">
            <v>743</v>
          </cell>
          <cell r="C297" t="str">
            <v>CONCEPCION III</v>
          </cell>
          <cell r="D297" t="str">
            <v>VIII - Biobío</v>
          </cell>
          <cell r="F297" t="str">
            <v>ESSBIO S.A.</v>
          </cell>
          <cell r="G297" t="str">
            <v>Cerrado</v>
          </cell>
          <cell r="H297" t="str">
            <v>Caupolican 772</v>
          </cell>
          <cell r="I297" t="str">
            <v>Concepción</v>
          </cell>
          <cell r="J297" t="str">
            <v>SIN CONVENIO</v>
          </cell>
        </row>
        <row r="298">
          <cell r="B298">
            <v>744</v>
          </cell>
          <cell r="C298" t="str">
            <v>LOS ANGELES CARRERA</v>
          </cell>
          <cell r="D298" t="str">
            <v>VIII - Biobío</v>
          </cell>
          <cell r="F298" t="str">
            <v>ESSBIO S.A.</v>
          </cell>
          <cell r="G298" t="str">
            <v>Abierto</v>
          </cell>
          <cell r="H298" t="str">
            <v>Los Carrera 1380</v>
          </cell>
          <cell r="I298" t="str">
            <v>Los Angeles</v>
          </cell>
          <cell r="J298" t="str">
            <v>SIN CONVENIO</v>
          </cell>
        </row>
        <row r="299">
          <cell r="B299">
            <v>745</v>
          </cell>
          <cell r="C299" t="str">
            <v>LOS LLEUQUES</v>
          </cell>
          <cell r="D299" t="str">
            <v>VIII - Biobío</v>
          </cell>
          <cell r="F299" t="str">
            <v>ESSBIO S.A.</v>
          </cell>
          <cell r="G299" t="str">
            <v>Abierto</v>
          </cell>
          <cell r="H299" t="str">
            <v>Avenida Pdte. Eduardo Frei 162</v>
          </cell>
          <cell r="I299" t="str">
            <v>Cañete</v>
          </cell>
          <cell r="J299" t="str">
            <v>SIN CONVENIO</v>
          </cell>
        </row>
        <row r="300">
          <cell r="B300">
            <v>746</v>
          </cell>
          <cell r="C300" t="str">
            <v>HUEPIL</v>
          </cell>
          <cell r="D300" t="str">
            <v>VIII - Biobío</v>
          </cell>
          <cell r="F300" t="str">
            <v>ESSBIO S.A.</v>
          </cell>
          <cell r="G300" t="str">
            <v>Abierto</v>
          </cell>
          <cell r="H300" t="str">
            <v>Arturo Prat 500</v>
          </cell>
          <cell r="I300" t="str">
            <v>Tucapel</v>
          </cell>
          <cell r="J300" t="str">
            <v>SIN CONVENIO</v>
          </cell>
        </row>
        <row r="301">
          <cell r="B301">
            <v>747</v>
          </cell>
          <cell r="C301" t="str">
            <v>SAN PEDRO DEL MAR</v>
          </cell>
          <cell r="D301" t="str">
            <v>VIII - Biobío</v>
          </cell>
          <cell r="F301" t="str">
            <v>ESSBIO S.A.</v>
          </cell>
          <cell r="G301" t="str">
            <v>Abierto</v>
          </cell>
          <cell r="H301" t="str">
            <v>Tucapel 285</v>
          </cell>
          <cell r="I301" t="str">
            <v>San Pedro De La Paz</v>
          </cell>
          <cell r="J301" t="str">
            <v>SIN CONVENIO</v>
          </cell>
        </row>
        <row r="302">
          <cell r="B302">
            <v>748</v>
          </cell>
          <cell r="C302" t="str">
            <v>PEÑUELAS</v>
          </cell>
          <cell r="D302" t="str">
            <v>VIII - Biobío</v>
          </cell>
          <cell r="F302" t="str">
            <v>ESSBIO S.A.</v>
          </cell>
          <cell r="G302" t="str">
            <v>Abierto</v>
          </cell>
          <cell r="H302" t="str">
            <v>Av. Dos 35</v>
          </cell>
          <cell r="I302" t="str">
            <v>Hualpén</v>
          </cell>
          <cell r="J302" t="str">
            <v>SIN CONVENIO</v>
          </cell>
        </row>
        <row r="303">
          <cell r="B303">
            <v>749</v>
          </cell>
          <cell r="C303" t="str">
            <v>EL CARMEN</v>
          </cell>
          <cell r="D303" t="str">
            <v>XVI - Ñuble</v>
          </cell>
          <cell r="F303" t="str">
            <v>ESSBIO S.A.</v>
          </cell>
          <cell r="G303" t="str">
            <v>Abierto</v>
          </cell>
          <cell r="H303" t="str">
            <v>Esmeralda 550</v>
          </cell>
          <cell r="I303" t="str">
            <v>El Carmen</v>
          </cell>
          <cell r="J303" t="str">
            <v>SIN CONVENIO</v>
          </cell>
        </row>
        <row r="304">
          <cell r="B304">
            <v>750</v>
          </cell>
          <cell r="C304" t="str">
            <v>CAÑETE</v>
          </cell>
          <cell r="D304" t="str">
            <v>VIII - Biobío</v>
          </cell>
          <cell r="F304" t="str">
            <v>ESSBIO S.A.</v>
          </cell>
          <cell r="G304" t="str">
            <v>Abierto</v>
          </cell>
          <cell r="H304" t="str">
            <v>Saavedra 525</v>
          </cell>
          <cell r="I304" t="str">
            <v>Cañete</v>
          </cell>
          <cell r="J304" t="str">
            <v>SIN CONVENIO</v>
          </cell>
        </row>
        <row r="305">
          <cell r="B305">
            <v>751</v>
          </cell>
          <cell r="C305" t="str">
            <v>RENGO</v>
          </cell>
          <cell r="D305" t="str">
            <v>VI - O'Higgins</v>
          </cell>
          <cell r="F305" t="str">
            <v>ESSBIO S.A.</v>
          </cell>
          <cell r="G305" t="str">
            <v>Cerrado</v>
          </cell>
          <cell r="H305" t="str">
            <v>ARTURO PRAT  70</v>
          </cell>
          <cell r="I305" t="str">
            <v>Rengo</v>
          </cell>
          <cell r="J305" t="str">
            <v>SIN CONVENIO</v>
          </cell>
        </row>
        <row r="306">
          <cell r="B306">
            <v>752</v>
          </cell>
          <cell r="C306" t="str">
            <v>TEMUCO II</v>
          </cell>
          <cell r="D306" t="str">
            <v>IX - Araucanía</v>
          </cell>
          <cell r="F306" t="str">
            <v>AGUAS ARAUCANIA S A</v>
          </cell>
          <cell r="G306" t="str">
            <v>Abierto</v>
          </cell>
          <cell r="H306" t="str">
            <v>Anibal Pinto 72</v>
          </cell>
          <cell r="I306" t="str">
            <v>Temuco</v>
          </cell>
          <cell r="J306" t="str">
            <v>SIN CONVENIO</v>
          </cell>
        </row>
        <row r="307">
          <cell r="B307">
            <v>753</v>
          </cell>
          <cell r="C307" t="str">
            <v>TEMUCO III</v>
          </cell>
          <cell r="D307" t="str">
            <v>IX - Araucanía</v>
          </cell>
          <cell r="F307" t="str">
            <v>AGUAS ARAUCANIA S A</v>
          </cell>
          <cell r="G307" t="str">
            <v>Cerrado</v>
          </cell>
          <cell r="H307" t="str">
            <v>Anibal Pinto 72</v>
          </cell>
          <cell r="I307" t="str">
            <v>Temuco</v>
          </cell>
          <cell r="J307" t="str">
            <v>SIN CONVENIO</v>
          </cell>
        </row>
        <row r="308">
          <cell r="B308">
            <v>754</v>
          </cell>
          <cell r="C308" t="str">
            <v>TEMUCO IV</v>
          </cell>
          <cell r="D308" t="str">
            <v>IX - Araucanía</v>
          </cell>
          <cell r="F308" t="str">
            <v>AGUAS ARAUCANIA S A</v>
          </cell>
          <cell r="G308" t="str">
            <v>Abierto</v>
          </cell>
          <cell r="H308" t="str">
            <v>Avenida Javiera Carrera 1610</v>
          </cell>
          <cell r="I308" t="str">
            <v>Temuco</v>
          </cell>
          <cell r="J308" t="str">
            <v>CONVENIO</v>
          </cell>
        </row>
        <row r="309">
          <cell r="B309">
            <v>755</v>
          </cell>
          <cell r="C309" t="str">
            <v>TALCA II</v>
          </cell>
          <cell r="D309" t="str">
            <v>VII - Maule</v>
          </cell>
          <cell r="F309" t="str">
            <v>NUEVOSUR S.A.</v>
          </cell>
          <cell r="G309" t="str">
            <v>Abierto</v>
          </cell>
          <cell r="H309" t="str">
            <v>Av. Carlos Schorr Nº 265</v>
          </cell>
          <cell r="I309" t="str">
            <v>Talca</v>
          </cell>
          <cell r="J309" t="str">
            <v>SIN CONVENIO</v>
          </cell>
        </row>
        <row r="310">
          <cell r="B310">
            <v>756</v>
          </cell>
          <cell r="C310" t="str">
            <v>TALCA III</v>
          </cell>
          <cell r="D310" t="str">
            <v>VII - Maule</v>
          </cell>
          <cell r="F310" t="str">
            <v>NUEVOSUR S.A.</v>
          </cell>
          <cell r="G310" t="str">
            <v>Abierto</v>
          </cell>
          <cell r="H310" t="str">
            <v>2 Sur 1953</v>
          </cell>
          <cell r="I310" t="str">
            <v>Talca</v>
          </cell>
          <cell r="J310" t="str">
            <v>SIN CONVENIO</v>
          </cell>
        </row>
        <row r="311">
          <cell r="B311">
            <v>757</v>
          </cell>
          <cell r="C311" t="str">
            <v>LYNCH</v>
          </cell>
          <cell r="D311" t="str">
            <v>X - Los Lagos</v>
          </cell>
          <cell r="F311" t="str">
            <v>SURALIS</v>
          </cell>
          <cell r="G311" t="str">
            <v>Cerrado</v>
          </cell>
          <cell r="H311" t="str">
            <v>Patricio Lynch 2042</v>
          </cell>
          <cell r="I311" t="str">
            <v>Osorno</v>
          </cell>
          <cell r="J311" t="str">
            <v>SIN CONVENIO</v>
          </cell>
        </row>
        <row r="312">
          <cell r="B312">
            <v>758</v>
          </cell>
          <cell r="C312" t="str">
            <v>TALCA IV</v>
          </cell>
          <cell r="D312" t="str">
            <v>VII - Maule</v>
          </cell>
          <cell r="F312" t="str">
            <v>NUEVOSUR S.A.</v>
          </cell>
          <cell r="G312" t="str">
            <v>Abierto</v>
          </cell>
          <cell r="H312" t="str">
            <v>14 Sur 1310</v>
          </cell>
          <cell r="I312" t="str">
            <v>Talca</v>
          </cell>
          <cell r="J312" t="str">
            <v>SIN CONVENIO</v>
          </cell>
        </row>
        <row r="313">
          <cell r="B313">
            <v>759</v>
          </cell>
          <cell r="C313" t="str">
            <v>PORTAL</v>
          </cell>
          <cell r="D313" t="str">
            <v>VIII - Biobío</v>
          </cell>
          <cell r="F313" t="str">
            <v>ESSBIO S.A.</v>
          </cell>
          <cell r="G313" t="str">
            <v>Abierto</v>
          </cell>
          <cell r="H313" t="str">
            <v>Av. Alemania 100</v>
          </cell>
          <cell r="I313" t="str">
            <v>Los Angeles</v>
          </cell>
          <cell r="J313" t="str">
            <v>SIN CONVENIO</v>
          </cell>
        </row>
        <row r="314">
          <cell r="B314">
            <v>760</v>
          </cell>
          <cell r="C314" t="str">
            <v>COLON</v>
          </cell>
          <cell r="D314" t="str">
            <v>VIII - Biobío</v>
          </cell>
          <cell r="F314" t="str">
            <v>ESSBIO S.A.</v>
          </cell>
          <cell r="G314" t="str">
            <v>Abierto</v>
          </cell>
          <cell r="H314" t="str">
            <v>Av. Colon 600</v>
          </cell>
          <cell r="I314" t="str">
            <v>Los Angeles</v>
          </cell>
          <cell r="J314" t="str">
            <v>SIN CONVENIO</v>
          </cell>
        </row>
        <row r="315">
          <cell r="B315">
            <v>761</v>
          </cell>
          <cell r="C315" t="str">
            <v>MARCONI</v>
          </cell>
          <cell r="D315" t="str">
            <v>VIII - Biobío</v>
          </cell>
          <cell r="F315" t="str">
            <v>ESSBIO S.A.</v>
          </cell>
          <cell r="G315" t="str">
            <v>Abierto</v>
          </cell>
          <cell r="H315" t="str">
            <v>Marconi 1177</v>
          </cell>
          <cell r="I315" t="str">
            <v>Los Angeles</v>
          </cell>
          <cell r="J315" t="str">
            <v>SIN CONVENIO</v>
          </cell>
        </row>
        <row r="316">
          <cell r="B316">
            <v>762</v>
          </cell>
          <cell r="C316" t="str">
            <v>ANGOL</v>
          </cell>
          <cell r="D316" t="str">
            <v>IX - Araucanía</v>
          </cell>
          <cell r="F316" t="str">
            <v>AGUAS ARAUCANIA S A</v>
          </cell>
          <cell r="G316" t="str">
            <v>Cerrado</v>
          </cell>
          <cell r="H316" t="str">
            <v>Jose Luis Osorio Nº95</v>
          </cell>
          <cell r="I316" t="str">
            <v>Angol</v>
          </cell>
          <cell r="J316" t="str">
            <v>SIN CONVENIO</v>
          </cell>
        </row>
        <row r="317">
          <cell r="B317">
            <v>763</v>
          </cell>
          <cell r="C317" t="str">
            <v>JUAN SOLER</v>
          </cell>
          <cell r="D317" t="str">
            <v>X - Los Lagos</v>
          </cell>
          <cell r="F317" t="str">
            <v>SURALIS</v>
          </cell>
          <cell r="G317" t="str">
            <v>Abierto</v>
          </cell>
          <cell r="H317" t="str">
            <v>Juan Soler Manfredini 51</v>
          </cell>
          <cell r="I317" t="str">
            <v>Puerto Montt</v>
          </cell>
          <cell r="J317" t="str">
            <v>SIN CONVENIO</v>
          </cell>
        </row>
        <row r="318">
          <cell r="B318">
            <v>764</v>
          </cell>
          <cell r="C318" t="str">
            <v>URMENETA</v>
          </cell>
          <cell r="D318" t="str">
            <v>X - Los Lagos</v>
          </cell>
          <cell r="F318" t="str">
            <v>SURALIS</v>
          </cell>
          <cell r="G318" t="str">
            <v>Abierto</v>
          </cell>
          <cell r="H318" t="str">
            <v>Urmeneta 574</v>
          </cell>
          <cell r="I318" t="str">
            <v>Puerto Montt</v>
          </cell>
          <cell r="J318" t="str">
            <v>SIN CONVENIO</v>
          </cell>
        </row>
        <row r="319">
          <cell r="B319">
            <v>765</v>
          </cell>
          <cell r="C319" t="str">
            <v>PORTALES</v>
          </cell>
          <cell r="D319" t="str">
            <v>X - Los Lagos</v>
          </cell>
          <cell r="F319" t="str">
            <v>SURALIS</v>
          </cell>
          <cell r="G319" t="str">
            <v>Cerrado</v>
          </cell>
          <cell r="H319" t="str">
            <v>Diego Portales 1800</v>
          </cell>
          <cell r="I319" t="str">
            <v>Puerto Montt</v>
          </cell>
          <cell r="J319" t="str">
            <v>SIN CONVENIO</v>
          </cell>
        </row>
        <row r="320">
          <cell r="B320">
            <v>766</v>
          </cell>
          <cell r="C320" t="str">
            <v>ALERCE</v>
          </cell>
          <cell r="D320" t="str">
            <v>X - Los Lagos</v>
          </cell>
          <cell r="F320" t="str">
            <v>SURALIS</v>
          </cell>
          <cell r="G320" t="str">
            <v>Abierto</v>
          </cell>
          <cell r="H320" t="str">
            <v>Av. Gabriela Mistral S/N Alerce</v>
          </cell>
          <cell r="I320" t="str">
            <v>Puerto Montt</v>
          </cell>
          <cell r="J320" t="str">
            <v>SIN CONVENIO</v>
          </cell>
        </row>
        <row r="321">
          <cell r="B321">
            <v>767</v>
          </cell>
          <cell r="C321" t="str">
            <v>ANCUD III</v>
          </cell>
          <cell r="D321" t="str">
            <v>X - Los Lagos</v>
          </cell>
          <cell r="F321" t="str">
            <v>SURALIS</v>
          </cell>
          <cell r="G321" t="str">
            <v>Abierto</v>
          </cell>
          <cell r="H321" t="str">
            <v>Colo Colo 318</v>
          </cell>
          <cell r="I321" t="str">
            <v>Ancud</v>
          </cell>
          <cell r="J321" t="str">
            <v>SIN CONVENIO</v>
          </cell>
        </row>
        <row r="322">
          <cell r="B322">
            <v>768</v>
          </cell>
          <cell r="C322" t="str">
            <v>COYHAIQUE II</v>
          </cell>
          <cell r="D322" t="str">
            <v>XI - Aysén</v>
          </cell>
          <cell r="F322" t="str">
            <v>AGUAS PATAGONIA</v>
          </cell>
          <cell r="G322" t="str">
            <v>Cerrado</v>
          </cell>
          <cell r="H322" t="str">
            <v>Lord Cochrane 646</v>
          </cell>
          <cell r="I322" t="str">
            <v>Coyhaique</v>
          </cell>
          <cell r="J322" t="str">
            <v>SIN CONVENIO</v>
          </cell>
        </row>
        <row r="323">
          <cell r="B323">
            <v>769</v>
          </cell>
          <cell r="C323" t="str">
            <v>CALBUCO</v>
          </cell>
          <cell r="D323" t="str">
            <v>X - Los Lagos</v>
          </cell>
          <cell r="F323" t="str">
            <v>SURALIS</v>
          </cell>
          <cell r="G323" t="str">
            <v>Abierto</v>
          </cell>
          <cell r="H323" t="str">
            <v>Federico Errazuriz 211</v>
          </cell>
          <cell r="I323" t="str">
            <v>Calbuco</v>
          </cell>
          <cell r="J323" t="str">
            <v>SIN CONVENIO</v>
          </cell>
        </row>
        <row r="324">
          <cell r="B324">
            <v>770</v>
          </cell>
          <cell r="C324" t="str">
            <v>QUELLON II</v>
          </cell>
          <cell r="D324" t="str">
            <v>X - Los Lagos</v>
          </cell>
          <cell r="F324" t="str">
            <v>SURALIS</v>
          </cell>
          <cell r="G324" t="str">
            <v>Abierto</v>
          </cell>
          <cell r="H324" t="str">
            <v>Av. Juan Ladrilleros 460</v>
          </cell>
          <cell r="I324" t="str">
            <v>Quellón</v>
          </cell>
          <cell r="J324" t="str">
            <v>SIN CONVENIO</v>
          </cell>
        </row>
        <row r="325">
          <cell r="B325">
            <v>771</v>
          </cell>
          <cell r="C325" t="str">
            <v>MIRASOL</v>
          </cell>
          <cell r="D325" t="str">
            <v>X - Los Lagos</v>
          </cell>
          <cell r="E325">
            <v>3723</v>
          </cell>
          <cell r="F325" t="str">
            <v>SURALIS</v>
          </cell>
          <cell r="G325" t="str">
            <v>Abierto</v>
          </cell>
          <cell r="H325" t="str">
            <v>Av. La Cruz 2006</v>
          </cell>
          <cell r="I325" t="str">
            <v>Puerto Montt</v>
          </cell>
          <cell r="J325" t="str">
            <v>SIN CONVENIO</v>
          </cell>
        </row>
        <row r="326">
          <cell r="B326">
            <v>772</v>
          </cell>
          <cell r="C326" t="str">
            <v>VALLE VOLCANES</v>
          </cell>
          <cell r="D326" t="str">
            <v>X - Los Lagos</v>
          </cell>
          <cell r="F326" t="str">
            <v>SURALIS</v>
          </cell>
          <cell r="G326" t="str">
            <v>Cerrado</v>
          </cell>
          <cell r="H326" t="str">
            <v>Av. Cuarta Terraza 5001</v>
          </cell>
          <cell r="I326" t="str">
            <v>Puerto Montt</v>
          </cell>
          <cell r="J326" t="str">
            <v>SIN CONVENIO</v>
          </cell>
        </row>
        <row r="327">
          <cell r="B327">
            <v>773</v>
          </cell>
          <cell r="C327" t="str">
            <v>LLANQUIHUE</v>
          </cell>
          <cell r="D327" t="str">
            <v>X - Los Lagos</v>
          </cell>
          <cell r="F327" t="str">
            <v>SURALIS</v>
          </cell>
          <cell r="G327" t="str">
            <v>Abierto</v>
          </cell>
          <cell r="H327" t="str">
            <v>Baquedano 612</v>
          </cell>
          <cell r="I327" t="str">
            <v>Llanquihue</v>
          </cell>
          <cell r="J327" t="str">
            <v>SIN CONVENIO</v>
          </cell>
        </row>
        <row r="328">
          <cell r="B328">
            <v>774</v>
          </cell>
          <cell r="C328" t="str">
            <v>ANTONIO VARAS</v>
          </cell>
          <cell r="D328" t="str">
            <v>X - Los Lagos</v>
          </cell>
          <cell r="F328" t="str">
            <v>SURALIS</v>
          </cell>
          <cell r="G328" t="str">
            <v>Cerrado</v>
          </cell>
          <cell r="H328" t="str">
            <v>Antonio Varas 991</v>
          </cell>
          <cell r="I328" t="str">
            <v>Puerto Montt</v>
          </cell>
          <cell r="J328" t="str">
            <v>SIN CONVENIO</v>
          </cell>
        </row>
        <row r="329">
          <cell r="B329">
            <v>775</v>
          </cell>
          <cell r="C329" t="str">
            <v>PUERTO MONTT III</v>
          </cell>
          <cell r="D329" t="str">
            <v>X - Los Lagos</v>
          </cell>
          <cell r="F329" t="str">
            <v>SURALIS</v>
          </cell>
          <cell r="G329" t="str">
            <v>Abierto</v>
          </cell>
          <cell r="H329" t="str">
            <v>Chillan 65</v>
          </cell>
          <cell r="I329" t="str">
            <v>Puerto Montt</v>
          </cell>
          <cell r="J329" t="str">
            <v>SIN CONVENIO</v>
          </cell>
        </row>
        <row r="330">
          <cell r="B330">
            <v>776</v>
          </cell>
          <cell r="C330" t="str">
            <v>VALDIVIA II</v>
          </cell>
          <cell r="D330" t="str">
            <v>XIV - Los Ríos</v>
          </cell>
          <cell r="F330" t="str">
            <v>AGUAS DECIMA S A</v>
          </cell>
          <cell r="G330" t="str">
            <v>Cerrado</v>
          </cell>
          <cell r="H330" t="str">
            <v>Errazuriz 1040</v>
          </cell>
          <cell r="I330" t="str">
            <v>Valdivia</v>
          </cell>
          <cell r="J330" t="str">
            <v>SIN CONVENIO</v>
          </cell>
        </row>
        <row r="331">
          <cell r="B331">
            <v>777</v>
          </cell>
          <cell r="C331" t="str">
            <v>CENTRAL</v>
          </cell>
          <cell r="D331" t="str">
            <v>X - Los Lagos</v>
          </cell>
          <cell r="E331">
            <v>3684</v>
          </cell>
          <cell r="F331" t="str">
            <v>SURALIS</v>
          </cell>
          <cell r="G331" t="str">
            <v>Abierto</v>
          </cell>
          <cell r="H331" t="str">
            <v>Patricio Lynch 1278</v>
          </cell>
          <cell r="I331" t="str">
            <v>Osorno</v>
          </cell>
          <cell r="J331" t="str">
            <v>CONVENIO</v>
          </cell>
        </row>
        <row r="332">
          <cell r="B332">
            <v>778</v>
          </cell>
          <cell r="C332" t="str">
            <v>ORIENTE</v>
          </cell>
          <cell r="D332" t="str">
            <v>X - Los Lagos</v>
          </cell>
          <cell r="E332">
            <v>2867</v>
          </cell>
          <cell r="F332" t="str">
            <v>SURALIS</v>
          </cell>
          <cell r="G332" t="str">
            <v>Abierto</v>
          </cell>
          <cell r="H332" t="str">
            <v>Julio Buschman 2223</v>
          </cell>
          <cell r="I332" t="str">
            <v>Osorno</v>
          </cell>
          <cell r="J332" t="str">
            <v>CONVENIO</v>
          </cell>
        </row>
        <row r="333">
          <cell r="B333">
            <v>779</v>
          </cell>
          <cell r="C333" t="str">
            <v>BULNES II</v>
          </cell>
          <cell r="D333" t="str">
            <v>X - Los Lagos</v>
          </cell>
          <cell r="F333" t="str">
            <v>SURALIS</v>
          </cell>
          <cell r="G333" t="str">
            <v>Abierto</v>
          </cell>
          <cell r="H333" t="str">
            <v>Ramirez 699</v>
          </cell>
          <cell r="I333" t="str">
            <v>Osorno</v>
          </cell>
          <cell r="J333" t="str">
            <v>SIN CONVENIO</v>
          </cell>
        </row>
        <row r="334">
          <cell r="B334">
            <v>780</v>
          </cell>
          <cell r="C334" t="str">
            <v>VICTORIA</v>
          </cell>
          <cell r="D334" t="str">
            <v>X - Los Lagos</v>
          </cell>
          <cell r="E334">
            <v>1362</v>
          </cell>
          <cell r="F334" t="str">
            <v>SURALIS</v>
          </cell>
          <cell r="G334" t="str">
            <v>Abierto</v>
          </cell>
          <cell r="H334" t="str">
            <v>Victoria 367 Rahue Bajo</v>
          </cell>
          <cell r="I334" t="str">
            <v>Osorno</v>
          </cell>
          <cell r="J334" t="str">
            <v>SIN CONVENIO</v>
          </cell>
        </row>
        <row r="335">
          <cell r="B335">
            <v>781</v>
          </cell>
          <cell r="C335" t="str">
            <v>REPUBLICA II</v>
          </cell>
          <cell r="D335" t="str">
            <v>X - Los Lagos</v>
          </cell>
          <cell r="F335" t="str">
            <v>SURALIS</v>
          </cell>
          <cell r="G335" t="str">
            <v>Cerrado</v>
          </cell>
          <cell r="H335" t="str">
            <v>Republica 690</v>
          </cell>
          <cell r="I335" t="str">
            <v>Osorno</v>
          </cell>
          <cell r="J335" t="str">
            <v>SIN CONVENIO</v>
          </cell>
        </row>
        <row r="336">
          <cell r="B336">
            <v>782</v>
          </cell>
          <cell r="C336" t="str">
            <v>YUNGAY VALDIVIA</v>
          </cell>
          <cell r="D336" t="str">
            <v>XIV - Los Ríos</v>
          </cell>
          <cell r="F336" t="str">
            <v>AGUAS DECIMA S A</v>
          </cell>
          <cell r="G336" t="str">
            <v>Abierto</v>
          </cell>
          <cell r="H336" t="str">
            <v>Yungay 420</v>
          </cell>
          <cell r="I336" t="str">
            <v>Valdivia</v>
          </cell>
          <cell r="J336" t="str">
            <v>SIN CONVENIO</v>
          </cell>
        </row>
        <row r="337">
          <cell r="B337">
            <v>783</v>
          </cell>
          <cell r="C337" t="str">
            <v>ZENTENO</v>
          </cell>
          <cell r="D337" t="str">
            <v>X - Los Lagos</v>
          </cell>
          <cell r="F337" t="str">
            <v>SURALIS</v>
          </cell>
          <cell r="G337" t="str">
            <v>Cerrado</v>
          </cell>
          <cell r="H337" t="str">
            <v>Barros Arana 1595</v>
          </cell>
          <cell r="I337" t="str">
            <v>Osorno</v>
          </cell>
          <cell r="J337" t="str">
            <v>SIN CONVENIO</v>
          </cell>
        </row>
        <row r="338">
          <cell r="B338">
            <v>784</v>
          </cell>
          <cell r="C338" t="str">
            <v>LA UNION II</v>
          </cell>
          <cell r="D338" t="str">
            <v>XIV - Los Ríos</v>
          </cell>
          <cell r="F338" t="str">
            <v>SURALIS</v>
          </cell>
          <cell r="G338" t="str">
            <v>Abierto</v>
          </cell>
          <cell r="H338" t="str">
            <v>Serrano  617</v>
          </cell>
          <cell r="I338" t="str">
            <v>La Unión</v>
          </cell>
          <cell r="J338" t="str">
            <v>SIN CONVENIO</v>
          </cell>
        </row>
        <row r="339">
          <cell r="B339">
            <v>785</v>
          </cell>
          <cell r="C339" t="str">
            <v>COMERCIO</v>
          </cell>
          <cell r="D339" t="str">
            <v>XIV - Los Ríos</v>
          </cell>
          <cell r="F339" t="str">
            <v>AGUAS DECIMA S A</v>
          </cell>
          <cell r="G339" t="str">
            <v>Cerrado</v>
          </cell>
          <cell r="H339" t="str">
            <v>Comercio 650</v>
          </cell>
          <cell r="I339" t="str">
            <v>La Unión</v>
          </cell>
          <cell r="J339" t="str">
            <v>SIN CONVENIO</v>
          </cell>
        </row>
        <row r="340">
          <cell r="B340">
            <v>786</v>
          </cell>
          <cell r="C340" t="str">
            <v>PAILLACO</v>
          </cell>
          <cell r="D340" t="str">
            <v>XIV - Los Ríos</v>
          </cell>
          <cell r="F340" t="str">
            <v>SURALIS</v>
          </cell>
          <cell r="G340" t="str">
            <v>Abierto</v>
          </cell>
          <cell r="H340" t="str">
            <v>Arturo Prat 688</v>
          </cell>
          <cell r="I340" t="str">
            <v>Paillaco</v>
          </cell>
          <cell r="J340" t="str">
            <v>SIN CONVENIO</v>
          </cell>
        </row>
        <row r="341">
          <cell r="B341">
            <v>787</v>
          </cell>
          <cell r="C341" t="str">
            <v>RIO BUENO II</v>
          </cell>
          <cell r="D341" t="str">
            <v>XIV - Los Ríos</v>
          </cell>
          <cell r="F341" t="str">
            <v>SURALIS</v>
          </cell>
          <cell r="G341" t="str">
            <v>Abierto</v>
          </cell>
          <cell r="H341" t="str">
            <v>Pedro Lagos 593</v>
          </cell>
          <cell r="I341" t="str">
            <v>Rio Bueno</v>
          </cell>
          <cell r="J341" t="str">
            <v>SIN CONVENIO</v>
          </cell>
        </row>
        <row r="342">
          <cell r="B342">
            <v>788</v>
          </cell>
          <cell r="C342" t="str">
            <v>PANGUIPULLI</v>
          </cell>
          <cell r="D342" t="str">
            <v>XIV - Los Ríos</v>
          </cell>
          <cell r="F342" t="str">
            <v>SURALIS</v>
          </cell>
          <cell r="G342" t="str">
            <v>Abierto</v>
          </cell>
          <cell r="H342" t="str">
            <v>Pedro De Valdivia 115</v>
          </cell>
          <cell r="I342" t="str">
            <v>Panguipulli</v>
          </cell>
          <cell r="J342" t="str">
            <v>SIN CONVENIO</v>
          </cell>
        </row>
        <row r="343">
          <cell r="B343">
            <v>789</v>
          </cell>
          <cell r="C343" t="str">
            <v>FRUTILLAR III</v>
          </cell>
          <cell r="D343" t="str">
            <v>X - Los Lagos</v>
          </cell>
          <cell r="F343" t="str">
            <v>SURALIS</v>
          </cell>
          <cell r="G343" t="str">
            <v>Abierto</v>
          </cell>
          <cell r="H343" t="str">
            <v>Arturo Alessandri 381</v>
          </cell>
          <cell r="I343" t="str">
            <v>Frutillar</v>
          </cell>
          <cell r="J343" t="str">
            <v>SIN CONVENIO</v>
          </cell>
        </row>
        <row r="344">
          <cell r="B344">
            <v>790</v>
          </cell>
          <cell r="C344" t="str">
            <v>VALDIVIA III</v>
          </cell>
          <cell r="D344" t="str">
            <v>XIV - Los Ríos</v>
          </cell>
          <cell r="F344" t="str">
            <v>AGUAS DECIMA S A</v>
          </cell>
          <cell r="G344" t="str">
            <v>Cerrado</v>
          </cell>
          <cell r="H344" t="str">
            <v>Rene Schneider 3722</v>
          </cell>
          <cell r="I344" t="str">
            <v>Valdivia</v>
          </cell>
          <cell r="J344" t="str">
            <v>SIN CONVENIO</v>
          </cell>
        </row>
        <row r="345">
          <cell r="B345">
            <v>791</v>
          </cell>
          <cell r="C345" t="str">
            <v>VALDIVIA IV</v>
          </cell>
          <cell r="D345" t="str">
            <v>XIV - Los Ríos</v>
          </cell>
          <cell r="F345" t="str">
            <v>AGUAS DECIMA S A</v>
          </cell>
          <cell r="G345" t="str">
            <v>Abierto</v>
          </cell>
          <cell r="H345" t="str">
            <v>Av. Francia 2651</v>
          </cell>
          <cell r="I345" t="str">
            <v>Valdivia</v>
          </cell>
          <cell r="J345" t="str">
            <v>SIN CONVENIO</v>
          </cell>
        </row>
        <row r="346">
          <cell r="B346">
            <v>797</v>
          </cell>
          <cell r="C346" t="str">
            <v>RENCA</v>
          </cell>
          <cell r="D346" t="str">
            <v>RM - Santiago</v>
          </cell>
          <cell r="F346" t="str">
            <v>AGUAS ANDINAS S.A.</v>
          </cell>
          <cell r="G346" t="str">
            <v>Abierto</v>
          </cell>
          <cell r="H346" t="str">
            <v>Av. Brasil 7085</v>
          </cell>
          <cell r="I346" t="str">
            <v>Renca</v>
          </cell>
          <cell r="J346" t="str">
            <v>SIN CONVENIO</v>
          </cell>
        </row>
        <row r="347">
          <cell r="B347">
            <v>798</v>
          </cell>
          <cell r="C347" t="str">
            <v>MACHALI II</v>
          </cell>
          <cell r="D347" t="str">
            <v>VI - O'Higgins</v>
          </cell>
          <cell r="F347" t="str">
            <v>ESSBIO S.A.</v>
          </cell>
          <cell r="G347" t="str">
            <v>Cerrado</v>
          </cell>
          <cell r="H347" t="str">
            <v>Padre Hurtado  03</v>
          </cell>
          <cell r="I347" t="str">
            <v>Machalí</v>
          </cell>
          <cell r="J347" t="str">
            <v>SIN CONVENIO</v>
          </cell>
        </row>
        <row r="348">
          <cell r="B348">
            <v>799</v>
          </cell>
          <cell r="C348" t="str">
            <v>VILLA ALEMANA II</v>
          </cell>
          <cell r="D348" t="str">
            <v>V - Valparaiso</v>
          </cell>
          <cell r="F348" t="str">
            <v>ESVAL S.A.</v>
          </cell>
          <cell r="G348" t="str">
            <v>Cerrado</v>
          </cell>
          <cell r="H348" t="str">
            <v>Valparaiso 681</v>
          </cell>
          <cell r="I348" t="str">
            <v>Villa Alemana</v>
          </cell>
          <cell r="J348" t="str">
            <v>SIN CONVENIO</v>
          </cell>
        </row>
        <row r="349">
          <cell r="B349">
            <v>890</v>
          </cell>
          <cell r="C349" t="str">
            <v>PEÑAFLOR</v>
          </cell>
          <cell r="D349" t="str">
            <v>RM - Santiago</v>
          </cell>
          <cell r="F349" t="str">
            <v>AGUAS ANDINAS S.A.</v>
          </cell>
          <cell r="G349" t="str">
            <v>Abierto</v>
          </cell>
          <cell r="H349" t="str">
            <v>MIRAFLORES # 1185</v>
          </cell>
          <cell r="I349" t="str">
            <v>PEÑAFLOR</v>
          </cell>
          <cell r="J349" t="str">
            <v>SIN CONVENIO</v>
          </cell>
        </row>
        <row r="350">
          <cell r="B350">
            <v>895</v>
          </cell>
          <cell r="C350" t="str">
            <v>LAS VIZCACHAS</v>
          </cell>
          <cell r="D350" t="str">
            <v>RM - Santiago</v>
          </cell>
          <cell r="F350" t="str">
            <v>AGUAS ANDINAS S.A.</v>
          </cell>
          <cell r="G350" t="str">
            <v>Abierto</v>
          </cell>
          <cell r="H350" t="str">
            <v>Av. Camino San José de Maipo, n° domiciliario 06355, local comercial C1</v>
          </cell>
          <cell r="I350" t="str">
            <v>Puente Alto</v>
          </cell>
          <cell r="J350" t="str">
            <v>SIN CONVENIO</v>
          </cell>
        </row>
        <row r="351">
          <cell r="B351">
            <v>898</v>
          </cell>
          <cell r="C351" t="str">
            <v>SAN JUAN DE MACHALI</v>
          </cell>
          <cell r="D351" t="str">
            <v>VI - O'Higgins</v>
          </cell>
          <cell r="F351" t="str">
            <v>ESSBIO S.A.</v>
          </cell>
          <cell r="G351" t="str">
            <v>Abierto</v>
          </cell>
          <cell r="H351" t="str">
            <v>San Juan 1135 local 38 Machali</v>
          </cell>
          <cell r="I351" t="str">
            <v>Machali</v>
          </cell>
          <cell r="J351" t="str">
            <v>SIN CONVENIO</v>
          </cell>
        </row>
        <row r="352">
          <cell r="B352">
            <v>900</v>
          </cell>
          <cell r="C352" t="str">
            <v>CASABLANCA II</v>
          </cell>
          <cell r="D352" t="str">
            <v>V - Valparaiso</v>
          </cell>
          <cell r="F352" t="str">
            <v>ESVAL S.A.</v>
          </cell>
          <cell r="G352" t="str">
            <v>Cerrado</v>
          </cell>
          <cell r="H352" t="str">
            <v>Portales 114</v>
          </cell>
          <cell r="I352" t="str">
            <v>Casablanca</v>
          </cell>
          <cell r="J352" t="str">
            <v>SIN CONVENIO</v>
          </cell>
        </row>
        <row r="353">
          <cell r="B353">
            <v>901</v>
          </cell>
          <cell r="C353" t="str">
            <v>CALBUCO II</v>
          </cell>
          <cell r="D353" t="str">
            <v>X - Los Lagos</v>
          </cell>
          <cell r="F353" t="str">
            <v>SURALIS</v>
          </cell>
          <cell r="G353" t="str">
            <v>Abierto</v>
          </cell>
          <cell r="H353" t="str">
            <v>Federico Errazuriz 572</v>
          </cell>
          <cell r="I353" t="str">
            <v>Calbuco</v>
          </cell>
          <cell r="J353" t="str">
            <v>SIN CONVENIO</v>
          </cell>
        </row>
        <row r="354">
          <cell r="B354">
            <v>902</v>
          </cell>
          <cell r="C354" t="str">
            <v>VILLA ALEMANA III</v>
          </cell>
          <cell r="D354" t="str">
            <v>V - Valparaiso</v>
          </cell>
          <cell r="F354" t="str">
            <v>ESVAL S.A.</v>
          </cell>
          <cell r="G354" t="str">
            <v>Abierto</v>
          </cell>
          <cell r="H354" t="str">
            <v>Av. Valparaiso 899</v>
          </cell>
          <cell r="I354" t="str">
            <v>Villa Alemana</v>
          </cell>
          <cell r="J354" t="str">
            <v>SIN CONVENIO</v>
          </cell>
        </row>
        <row r="355">
          <cell r="B355">
            <v>903</v>
          </cell>
          <cell r="C355" t="str">
            <v>HUECHURABA FONTOVA</v>
          </cell>
          <cell r="D355" t="str">
            <v>RM - Santiago</v>
          </cell>
          <cell r="F355" t="str">
            <v>AGUAS ANDINAS S.A.</v>
          </cell>
          <cell r="G355" t="str">
            <v>Abierto</v>
          </cell>
          <cell r="H355" t="str">
            <v>Pedro Fontova 7626</v>
          </cell>
          <cell r="I355" t="str">
            <v>Huechuraba</v>
          </cell>
          <cell r="J355" t="str">
            <v>SIN CONVENIO</v>
          </cell>
        </row>
        <row r="356">
          <cell r="B356">
            <v>904</v>
          </cell>
          <cell r="C356" t="str">
            <v>RANCAGUA REPUBLICA II</v>
          </cell>
          <cell r="D356" t="str">
            <v>VI - O'Higgins</v>
          </cell>
          <cell r="F356" t="str">
            <v>ESSBIO S.A.</v>
          </cell>
          <cell r="G356" t="str">
            <v>Cerrado</v>
          </cell>
          <cell r="H356" t="str">
            <v>Av. La Cruz 01000</v>
          </cell>
          <cell r="I356" t="str">
            <v>Rancagua</v>
          </cell>
          <cell r="J356" t="str">
            <v>SIN CONVENIO</v>
          </cell>
        </row>
        <row r="357">
          <cell r="B357">
            <v>905</v>
          </cell>
          <cell r="C357" t="str">
            <v>VICENTE VALDES</v>
          </cell>
          <cell r="D357" t="str">
            <v>RM - Santiago</v>
          </cell>
          <cell r="F357" t="str">
            <v>AGUAS ANDINAS S.A.</v>
          </cell>
          <cell r="G357" t="str">
            <v>Abierto</v>
          </cell>
          <cell r="H357" t="str">
            <v>Vicuña Mackenna 7802</v>
          </cell>
          <cell r="I357" t="str">
            <v>La Florida</v>
          </cell>
          <cell r="J357" t="str">
            <v>SIN CONVENIO</v>
          </cell>
        </row>
        <row r="358">
          <cell r="B358">
            <v>906</v>
          </cell>
          <cell r="C358" t="str">
            <v>TEMUCO CAUPOLICAN</v>
          </cell>
          <cell r="D358" t="str">
            <v>IX - Araucanía</v>
          </cell>
          <cell r="F358" t="str">
            <v>AGUAS ARAUCANIA S A</v>
          </cell>
          <cell r="G358" t="str">
            <v>Abierto</v>
          </cell>
          <cell r="H358" t="str">
            <v>Avenida Caupolican 0191</v>
          </cell>
          <cell r="I358" t="str">
            <v>Temuco</v>
          </cell>
          <cell r="J358" t="str">
            <v>SIN CONVENIO</v>
          </cell>
        </row>
        <row r="359">
          <cell r="B359">
            <v>907</v>
          </cell>
          <cell r="C359" t="str">
            <v>TALCAHUANO BILBAO</v>
          </cell>
          <cell r="D359" t="str">
            <v>VIII - Biobío</v>
          </cell>
          <cell r="F359" t="str">
            <v>ESSBIO S.A.</v>
          </cell>
          <cell r="G359" t="str">
            <v>Abierto</v>
          </cell>
          <cell r="H359" t="str">
            <v>Bilbao 477</v>
          </cell>
          <cell r="I359" t="str">
            <v>Talcahuano</v>
          </cell>
          <cell r="J359" t="str">
            <v>SIN CONVENIO</v>
          </cell>
        </row>
        <row r="360">
          <cell r="B360">
            <v>908</v>
          </cell>
          <cell r="C360" t="str">
            <v>LOMAS SAN SEBASTIAN</v>
          </cell>
          <cell r="D360" t="str">
            <v>VIII - Biobío</v>
          </cell>
          <cell r="F360" t="str">
            <v>ESSBIO S.A.</v>
          </cell>
          <cell r="G360" t="str">
            <v>Cerrado</v>
          </cell>
          <cell r="H360" t="str">
            <v>Camino Del Amanecer 1122</v>
          </cell>
          <cell r="I360" t="str">
            <v>Concepción</v>
          </cell>
          <cell r="J360" t="str">
            <v>SIN CONVENIO</v>
          </cell>
        </row>
        <row r="361">
          <cell r="B361">
            <v>909</v>
          </cell>
          <cell r="C361" t="str">
            <v>TEMUCO SAN MARTIN</v>
          </cell>
          <cell r="D361" t="str">
            <v>IX - Araucanía</v>
          </cell>
          <cell r="F361" t="str">
            <v>AGUAS ARAUCANIA S A</v>
          </cell>
          <cell r="G361" t="str">
            <v>Abierto</v>
          </cell>
          <cell r="H361" t="str">
            <v>SAN MARTIN ( L147)  0675</v>
          </cell>
          <cell r="I361" t="str">
            <v>Temuco</v>
          </cell>
          <cell r="J361" t="str">
            <v>SIN CONVENIO</v>
          </cell>
        </row>
        <row r="362">
          <cell r="B362">
            <v>910</v>
          </cell>
          <cell r="C362" t="str">
            <v>MAIPU CAMINO MELIPILLA</v>
          </cell>
          <cell r="D362" t="str">
            <v>RM - Santiago</v>
          </cell>
          <cell r="F362" t="str">
            <v>SMAPA</v>
          </cell>
          <cell r="G362" t="str">
            <v>Abierto</v>
          </cell>
          <cell r="H362" t="str">
            <v>Camino Melipilla 16850</v>
          </cell>
          <cell r="I362" t="str">
            <v>Maipú</v>
          </cell>
          <cell r="J362" t="str">
            <v>SIN CONVENIO</v>
          </cell>
        </row>
        <row r="363">
          <cell r="B363">
            <v>911</v>
          </cell>
          <cell r="C363" t="str">
            <v>MAIPU 4 PONIENTE</v>
          </cell>
          <cell r="D363" t="str">
            <v>RM - Santiago</v>
          </cell>
          <cell r="F363" t="str">
            <v>SMAPA</v>
          </cell>
          <cell r="G363" t="str">
            <v>Abierto</v>
          </cell>
          <cell r="H363" t="str">
            <v>4 Poniente 1197</v>
          </cell>
          <cell r="I363" t="str">
            <v>Maipú</v>
          </cell>
          <cell r="J363" t="str">
            <v>SIN CONVENIO</v>
          </cell>
        </row>
        <row r="364">
          <cell r="B364">
            <v>912</v>
          </cell>
          <cell r="C364" t="str">
            <v>ROJAS MAGALLANES</v>
          </cell>
          <cell r="D364" t="str">
            <v>RM - Santiago</v>
          </cell>
          <cell r="F364" t="str">
            <v>AGUAS ANDINAS S.A.</v>
          </cell>
          <cell r="G364" t="str">
            <v>Abierto</v>
          </cell>
          <cell r="H364" t="str">
            <v>Rojas Magallanes 3638</v>
          </cell>
          <cell r="I364" t="str">
            <v>La Florida</v>
          </cell>
          <cell r="J364" t="str">
            <v>SIN CONVENIO</v>
          </cell>
        </row>
        <row r="365">
          <cell r="B365">
            <v>913</v>
          </cell>
          <cell r="C365" t="str">
            <v>CHILLAN IV</v>
          </cell>
          <cell r="D365" t="str">
            <v>XVI - Ñuble</v>
          </cell>
          <cell r="F365" t="str">
            <v>ESSBIO S.A.</v>
          </cell>
          <cell r="G365" t="str">
            <v>Abierto</v>
          </cell>
          <cell r="H365" t="str">
            <v>5 de Abril 864</v>
          </cell>
          <cell r="I365" t="str">
            <v>Chillán</v>
          </cell>
          <cell r="J365" t="str">
            <v>SIN CONVENIO</v>
          </cell>
        </row>
        <row r="366">
          <cell r="B366">
            <v>914</v>
          </cell>
          <cell r="C366" t="str">
            <v>SAN PEDRO DE LA PAZ</v>
          </cell>
          <cell r="D366" t="str">
            <v>VIII - Biobío</v>
          </cell>
          <cell r="F366" t="str">
            <v>ESSBIO S.A.</v>
          </cell>
          <cell r="G366" t="str">
            <v>Abierto</v>
          </cell>
          <cell r="H366" t="str">
            <v>Camino El Venado 1380</v>
          </cell>
          <cell r="I366" t="str">
            <v>San Pedro De La Paz</v>
          </cell>
          <cell r="J366" t="str">
            <v>SIN CONVENIO</v>
          </cell>
        </row>
        <row r="367">
          <cell r="B367">
            <v>915</v>
          </cell>
          <cell r="C367" t="str">
            <v>ROTONDA</v>
          </cell>
          <cell r="D367" t="str">
            <v>X - Los Lagos</v>
          </cell>
          <cell r="F367" t="str">
            <v>SURALIS</v>
          </cell>
          <cell r="G367" t="str">
            <v>Abierto</v>
          </cell>
          <cell r="H367" t="str">
            <v>Av. Parque Industrial 450</v>
          </cell>
          <cell r="I367" t="str">
            <v>Puerto Montt</v>
          </cell>
          <cell r="J367" t="str">
            <v>SIN CONVENIO</v>
          </cell>
        </row>
        <row r="368">
          <cell r="B368">
            <v>916</v>
          </cell>
          <cell r="C368" t="str">
            <v>PALOMA</v>
          </cell>
          <cell r="D368" t="str">
            <v>X - Los Lagos</v>
          </cell>
          <cell r="F368" t="str">
            <v>SURALIS</v>
          </cell>
          <cell r="G368" t="str">
            <v>Abierto</v>
          </cell>
          <cell r="H368" t="str">
            <v>Volcán Puntiagudo  100</v>
          </cell>
          <cell r="I368" t="str">
            <v>Puerto Montt</v>
          </cell>
          <cell r="J368" t="str">
            <v>SIN CONVENIO</v>
          </cell>
        </row>
        <row r="369">
          <cell r="B369">
            <v>917</v>
          </cell>
          <cell r="C369" t="str">
            <v>LOS TRAPENSES</v>
          </cell>
          <cell r="D369" t="str">
            <v>RM - Santiago</v>
          </cell>
          <cell r="F369" t="str">
            <v>AGUAS ANDINAS S.A.</v>
          </cell>
          <cell r="G369" t="str">
            <v>Abierto</v>
          </cell>
          <cell r="H369" t="str">
            <v>Avenida Alcalde Delano 10497</v>
          </cell>
          <cell r="I369" t="str">
            <v>Lo Barnechea</v>
          </cell>
          <cell r="J369" t="str">
            <v>SIN CONVENIO</v>
          </cell>
        </row>
        <row r="370">
          <cell r="B370">
            <v>918</v>
          </cell>
          <cell r="C370" t="str">
            <v>CERRO NAVIA</v>
          </cell>
          <cell r="D370" t="str">
            <v>RM - Santiago</v>
          </cell>
          <cell r="F370" t="str">
            <v>AGUAS ANDINAS S.A.</v>
          </cell>
          <cell r="G370" t="str">
            <v>Proyecto</v>
          </cell>
          <cell r="H370" t="str">
            <v>Jose Joaquin Perez 8045</v>
          </cell>
          <cell r="I370" t="str">
            <v>Cerro Navia</v>
          </cell>
          <cell r="J370" t="str">
            <v>SIN CONVENIO</v>
          </cell>
        </row>
        <row r="371">
          <cell r="B371">
            <v>919</v>
          </cell>
          <cell r="C371" t="str">
            <v>CONCHA Y TORO II</v>
          </cell>
          <cell r="D371" t="str">
            <v>RM - Santiago</v>
          </cell>
          <cell r="F371" t="str">
            <v>AGUAS ANDINAS S.A.</v>
          </cell>
          <cell r="G371" t="str">
            <v>Proyecto</v>
          </cell>
          <cell r="H371" t="str">
            <v>Av. Concha y Toro 1208/1184</v>
          </cell>
          <cell r="I371" t="str">
            <v>Puente Alto</v>
          </cell>
          <cell r="J371" t="str">
            <v>SIN CONVENIO</v>
          </cell>
        </row>
        <row r="372">
          <cell r="B372">
            <v>920</v>
          </cell>
          <cell r="C372" t="str">
            <v>BARRIO INGLES</v>
          </cell>
          <cell r="D372" t="str">
            <v>IX - Araucanía</v>
          </cell>
          <cell r="F372" t="str">
            <v>AGUAS ARAUCANIA S A</v>
          </cell>
          <cell r="G372" t="str">
            <v>Abierto</v>
          </cell>
          <cell r="H372" t="str">
            <v>Las Encinas 2690</v>
          </cell>
          <cell r="I372" t="str">
            <v>Temuco</v>
          </cell>
          <cell r="J372" t="str">
            <v>SIN CONVENIO</v>
          </cell>
        </row>
        <row r="373">
          <cell r="B373">
            <v>921</v>
          </cell>
          <cell r="C373" t="str">
            <v>MATTA QUILICURA</v>
          </cell>
          <cell r="D373" t="str">
            <v>RM - Santiago</v>
          </cell>
          <cell r="F373" t="str">
            <v>AGUAS ANDINAS S.A.</v>
          </cell>
          <cell r="G373" t="str">
            <v>Proyecto</v>
          </cell>
          <cell r="H373" t="str">
            <v>Manuel Antonio Matta 1050</v>
          </cell>
          <cell r="I373" t="str">
            <v>Quilicura</v>
          </cell>
          <cell r="J373" t="str">
            <v>SIN CONVENIO</v>
          </cell>
        </row>
        <row r="374">
          <cell r="B374">
            <v>923</v>
          </cell>
          <cell r="C374" t="str">
            <v>SANTA MARIA ARICA</v>
          </cell>
          <cell r="D374" t="str">
            <v>XV - Arica y Parinacota</v>
          </cell>
          <cell r="F374" t="str">
            <v>AGUAS DEL ALTIPLANO S.A.</v>
          </cell>
          <cell r="G374" t="str">
            <v>Abierto</v>
          </cell>
          <cell r="H374" t="str">
            <v>AV.STA. MARIA  2465</v>
          </cell>
          <cell r="I374" t="str">
            <v>Arica</v>
          </cell>
          <cell r="J374" t="str">
            <v>SIN CONVENIO</v>
          </cell>
        </row>
        <row r="375">
          <cell r="B375">
            <v>924</v>
          </cell>
          <cell r="C375" t="str">
            <v>PEÑALOLEN</v>
          </cell>
          <cell r="D375" t="str">
            <v>RM - Santiago</v>
          </cell>
          <cell r="F375" t="str">
            <v>AGUAS ANDINAS S.A.</v>
          </cell>
          <cell r="G375" t="str">
            <v>Cerrado</v>
          </cell>
          <cell r="H375" t="str">
            <v>Tobalaba 11855</v>
          </cell>
          <cell r="I375" t="str">
            <v>Peñalolén</v>
          </cell>
          <cell r="J375" t="str">
            <v>SIN CONVENIO</v>
          </cell>
        </row>
        <row r="376">
          <cell r="B376">
            <v>925</v>
          </cell>
          <cell r="C376" t="str">
            <v>PUERTO MONTT II</v>
          </cell>
          <cell r="D376" t="str">
            <v>X - Los Lagos</v>
          </cell>
          <cell r="F376" t="str">
            <v>SURALIS</v>
          </cell>
          <cell r="G376" t="str">
            <v>Abierto</v>
          </cell>
          <cell r="H376" t="str">
            <v>Gabriela Mistral 900</v>
          </cell>
          <cell r="I376" t="str">
            <v>Puerto Montt</v>
          </cell>
          <cell r="J376" t="str">
            <v>SIN CONVENIO</v>
          </cell>
        </row>
        <row r="377">
          <cell r="B377">
            <v>926</v>
          </cell>
          <cell r="C377" t="str">
            <v>VITACURA VESPUCIO</v>
          </cell>
          <cell r="D377" t="str">
            <v>RM - Santiago</v>
          </cell>
          <cell r="F377" t="str">
            <v>AGUAS ANDINAS S.A.</v>
          </cell>
          <cell r="G377" t="str">
            <v>Abierto</v>
          </cell>
          <cell r="H377" t="str">
            <v>AV VITACURA 4607</v>
          </cell>
          <cell r="I377" t="str">
            <v>Vitacura</v>
          </cell>
          <cell r="J377" t="str">
            <v>SIN CONVENIO</v>
          </cell>
        </row>
        <row r="378">
          <cell r="B378">
            <v>927</v>
          </cell>
          <cell r="C378" t="str">
            <v>PIEDRA ROJA</v>
          </cell>
          <cell r="D378" t="str">
            <v>RM - Santiago</v>
          </cell>
          <cell r="F378" t="str">
            <v>AGUAS ANDINAS S.A.</v>
          </cell>
          <cell r="G378" t="str">
            <v>Proyecto</v>
          </cell>
          <cell r="H378" t="str">
            <v>Av. Chicureo S/N</v>
          </cell>
          <cell r="I378" t="str">
            <v>Colina</v>
          </cell>
          <cell r="J378" t="str">
            <v>SIN CONVENIO</v>
          </cell>
        </row>
        <row r="379">
          <cell r="B379">
            <v>928</v>
          </cell>
          <cell r="C379" t="str">
            <v>PADRE LAS CASAS</v>
          </cell>
          <cell r="D379" t="str">
            <v>IX - Araucanía</v>
          </cell>
          <cell r="F379" t="str">
            <v>AGUAS ARAUCANIA S A</v>
          </cell>
          <cell r="G379" t="str">
            <v>Abierto</v>
          </cell>
          <cell r="H379" t="str">
            <v>Manquehue 1244</v>
          </cell>
          <cell r="I379" t="str">
            <v>Padre Las Casas</v>
          </cell>
          <cell r="J379" t="str">
            <v>SIN CONVENIO</v>
          </cell>
        </row>
        <row r="380">
          <cell r="B380">
            <v>929</v>
          </cell>
          <cell r="C380" t="str">
            <v>PURISIMA</v>
          </cell>
          <cell r="D380" t="str">
            <v>RM - Santiago</v>
          </cell>
          <cell r="F380" t="str">
            <v>AGUAS ANDINAS S.A.</v>
          </cell>
          <cell r="G380" t="str">
            <v>Proyecto</v>
          </cell>
          <cell r="H380" t="str">
            <v>Antonia López de Bello 118</v>
          </cell>
          <cell r="I380" t="str">
            <v>Recoleta</v>
          </cell>
          <cell r="J380" t="str">
            <v>SIN CONVENIO</v>
          </cell>
        </row>
        <row r="381">
          <cell r="B381">
            <v>930</v>
          </cell>
          <cell r="C381" t="str">
            <v>DOCTOR SALINAS</v>
          </cell>
          <cell r="D381" t="str">
            <v>VI - O'Higgins</v>
          </cell>
          <cell r="F381" t="str">
            <v>ESSBIO S.A.</v>
          </cell>
          <cell r="G381" t="str">
            <v>Proyecto</v>
          </cell>
          <cell r="H381" t="str">
            <v>Doctor Salinas 1101</v>
          </cell>
          <cell r="I381" t="str">
            <v>Rancagua</v>
          </cell>
          <cell r="J381" t="str">
            <v>SIN CONVENIO</v>
          </cell>
        </row>
        <row r="382">
          <cell r="B382">
            <v>931</v>
          </cell>
          <cell r="C382" t="str">
            <v>CAMINO NOS</v>
          </cell>
          <cell r="D382" t="str">
            <v>RM - Santiago</v>
          </cell>
          <cell r="F382" t="str">
            <v>AGUAS ANDINAS S.A.</v>
          </cell>
          <cell r="G382" t="str">
            <v>Abierto</v>
          </cell>
          <cell r="H382" t="str">
            <v>Los Morros 565</v>
          </cell>
          <cell r="I382" t="str">
            <v>San Bernardo</v>
          </cell>
          <cell r="J382" t="str">
            <v>SIN CONVENIO</v>
          </cell>
        </row>
        <row r="383">
          <cell r="B383">
            <v>932</v>
          </cell>
          <cell r="C383" t="str">
            <v>BALMACEDA II</v>
          </cell>
          <cell r="D383" t="str">
            <v>IV - Coquimbo</v>
          </cell>
          <cell r="F383" t="str">
            <v>AGUAS DEL VALLE S A</v>
          </cell>
          <cell r="G383" t="str">
            <v>Proyecto</v>
          </cell>
          <cell r="H383" t="str">
            <v>Av. Balmaceda 3070</v>
          </cell>
          <cell r="I383" t="str">
            <v>La Serena</v>
          </cell>
          <cell r="J383" t="str">
            <v>SIN CONVENIO</v>
          </cell>
        </row>
        <row r="384">
          <cell r="B384">
            <v>933</v>
          </cell>
          <cell r="C384" t="str">
            <v>PUERTO VARAS</v>
          </cell>
          <cell r="D384" t="str">
            <v>X - Los Lagos</v>
          </cell>
          <cell r="F384" t="str">
            <v>SURALIS</v>
          </cell>
          <cell r="G384" t="str">
            <v>Proyecto</v>
          </cell>
          <cell r="H384" t="str">
            <v>San Francisco 666</v>
          </cell>
          <cell r="I384" t="str">
            <v>Puerto Varas</v>
          </cell>
          <cell r="J384" t="str">
            <v>SIN CONVENIO</v>
          </cell>
        </row>
        <row r="385">
          <cell r="B385">
            <v>935</v>
          </cell>
          <cell r="C385" t="str">
            <v>SAN FELIPE ENCON</v>
          </cell>
          <cell r="D385" t="str">
            <v>V - Valparaiso</v>
          </cell>
          <cell r="F385" t="str">
            <v>ESVAL S.A.</v>
          </cell>
          <cell r="G385" t="str">
            <v>Abierto</v>
          </cell>
          <cell r="H385" t="str">
            <v>Encón 500</v>
          </cell>
          <cell r="I385" t="str">
            <v>San Felipe</v>
          </cell>
          <cell r="J385" t="str">
            <v>SIN CONVENIO</v>
          </cell>
        </row>
        <row r="386">
          <cell r="B386">
            <v>939</v>
          </cell>
          <cell r="C386" t="str">
            <v>MARGA MARGA</v>
          </cell>
          <cell r="D386" t="str">
            <v>V - Valparaiso</v>
          </cell>
          <cell r="F386" t="str">
            <v>ESVAL S.A.</v>
          </cell>
          <cell r="G386" t="str">
            <v>Abierto</v>
          </cell>
          <cell r="H386" t="str">
            <v>Del Alhelí 2011</v>
          </cell>
          <cell r="I386" t="str">
            <v>Quilpué</v>
          </cell>
          <cell r="J386" t="str">
            <v>SIN CONVENIO</v>
          </cell>
        </row>
        <row r="387">
          <cell r="B387">
            <v>943</v>
          </cell>
          <cell r="C387" t="str">
            <v>LOS ANGELES LATORRE</v>
          </cell>
          <cell r="D387" t="str">
            <v>VIII - Biobío</v>
          </cell>
          <cell r="F387" t="str">
            <v>ESSBIO S.A.</v>
          </cell>
          <cell r="G387" t="str">
            <v>Proyecto</v>
          </cell>
          <cell r="H387" t="str">
            <v>AV. Oriente N° 1245</v>
          </cell>
          <cell r="I387" t="str">
            <v/>
          </cell>
          <cell r="J387" t="str">
            <v>SIN CONVENIO</v>
          </cell>
        </row>
        <row r="388">
          <cell r="B388">
            <v>953</v>
          </cell>
          <cell r="C388" t="str">
            <v>CONSISTORIAL</v>
          </cell>
          <cell r="D388" t="str">
            <v>RM - Santiago</v>
          </cell>
          <cell r="F388" t="str">
            <v>AGUAS ANDINAS S.A.</v>
          </cell>
          <cell r="G388" t="str">
            <v>Abierto</v>
          </cell>
          <cell r="H388" t="str">
            <v>Avda. Consistorial 2701</v>
          </cell>
          <cell r="I388" t="str">
            <v>Peñalolén</v>
          </cell>
          <cell r="J388" t="str">
            <v>SIN CONVENIO</v>
          </cell>
        </row>
        <row r="389">
          <cell r="B389">
            <v>954</v>
          </cell>
          <cell r="C389" t="str">
            <v>REGIMIENTO ARICA</v>
          </cell>
          <cell r="D389" t="str">
            <v>IV - Coquimbo</v>
          </cell>
          <cell r="F389" t="str">
            <v>AGUAS DEL VALLE S A</v>
          </cell>
          <cell r="G389" t="str">
            <v>Abierto</v>
          </cell>
          <cell r="H389" t="str">
            <v>Regimiento Arica 6001</v>
          </cell>
          <cell r="I389" t="str">
            <v>La Serena</v>
          </cell>
          <cell r="J389" t="str">
            <v>SIN CONVENIO</v>
          </cell>
        </row>
        <row r="390">
          <cell r="B390">
            <v>955</v>
          </cell>
          <cell r="C390" t="str">
            <v>SALAMANCA II</v>
          </cell>
          <cell r="D390" t="str">
            <v>IV - Coquimbo</v>
          </cell>
          <cell r="F390" t="str">
            <v>AGUAS DEL VALLE S A</v>
          </cell>
          <cell r="G390" t="str">
            <v>Abierto</v>
          </cell>
          <cell r="H390" t="str">
            <v>Manuel Bulnes 220</v>
          </cell>
          <cell r="I390" t="str">
            <v>Salamanca</v>
          </cell>
          <cell r="J390" t="str">
            <v>SIN CONVENIO</v>
          </cell>
        </row>
        <row r="391">
          <cell r="B391">
            <v>956</v>
          </cell>
          <cell r="C391" t="str">
            <v>LOS DOMINICOS</v>
          </cell>
          <cell r="D391" t="str">
            <v>RM - Santiago</v>
          </cell>
          <cell r="F391" t="str">
            <v>AGUAS CORDILLERA S.A.</v>
          </cell>
          <cell r="G391" t="str">
            <v>Abierto</v>
          </cell>
          <cell r="H391" t="str">
            <v>Avenida Los Dominicos 8630</v>
          </cell>
          <cell r="I391" t="str">
            <v>Las Condes</v>
          </cell>
          <cell r="J391" t="str">
            <v>SIN CONVENIO</v>
          </cell>
        </row>
        <row r="392">
          <cell r="B392">
            <v>957</v>
          </cell>
          <cell r="C392" t="str">
            <v>VALPARAISO PUERTO</v>
          </cell>
          <cell r="D392" t="str">
            <v>V - Valparaiso</v>
          </cell>
          <cell r="F392" t="str">
            <v>ESVAL S.A.</v>
          </cell>
          <cell r="G392" t="str">
            <v>Abierto</v>
          </cell>
          <cell r="H392" t="str">
            <v>Avenida Errazuriz 629</v>
          </cell>
          <cell r="I392" t="str">
            <v>Valparaíso</v>
          </cell>
          <cell r="J392" t="str">
            <v>SIN CONVENIO</v>
          </cell>
        </row>
        <row r="393">
          <cell r="B393">
            <v>958</v>
          </cell>
          <cell r="C393" t="str">
            <v>PORTUGAL</v>
          </cell>
          <cell r="D393" t="str">
            <v>RM - Santiago</v>
          </cell>
          <cell r="F393" t="str">
            <v>AGUAS ANDINAS S.A.</v>
          </cell>
          <cell r="G393" t="str">
            <v>Abierto</v>
          </cell>
          <cell r="H393" t="str">
            <v>PORTUGAL 579</v>
          </cell>
          <cell r="I393" t="str">
            <v>Santiago</v>
          </cell>
          <cell r="J393" t="str">
            <v>SIN CONVENIO</v>
          </cell>
        </row>
        <row r="394">
          <cell r="B394">
            <v>959</v>
          </cell>
          <cell r="C394" t="str">
            <v>PUCON</v>
          </cell>
          <cell r="D394" t="str">
            <v>IX - Araucanía</v>
          </cell>
          <cell r="F394" t="str">
            <v>AGUAS ARAUCANIA S A</v>
          </cell>
          <cell r="G394" t="str">
            <v>Abierto</v>
          </cell>
          <cell r="H394" t="str">
            <v>Av. O´higgins 774</v>
          </cell>
          <cell r="I394" t="str">
            <v>Pucon</v>
          </cell>
          <cell r="J394" t="str">
            <v>SIN CONVENIO</v>
          </cell>
        </row>
        <row r="395">
          <cell r="B395">
            <v>960</v>
          </cell>
          <cell r="C395" t="str">
            <v>TRONCAL SAN FRANCISCO</v>
          </cell>
          <cell r="D395" t="str">
            <v>RM - Santiago</v>
          </cell>
          <cell r="F395" t="str">
            <v>AGUAS ANDINAS S.A.</v>
          </cell>
          <cell r="G395" t="str">
            <v>Abierto</v>
          </cell>
          <cell r="H395" t="str">
            <v>Las Nieves 2251 (Troncal S/Francisco)</v>
          </cell>
          <cell r="I395" t="str">
            <v>Puente Alto</v>
          </cell>
          <cell r="J395" t="str">
            <v>SIN CONVENIO</v>
          </cell>
        </row>
        <row r="396">
          <cell r="B396">
            <v>961</v>
          </cell>
          <cell r="C396" t="str">
            <v>LA CHIMBA II</v>
          </cell>
          <cell r="D396" t="str">
            <v>II - Antofagasta</v>
          </cell>
          <cell r="F396" t="str">
            <v>AGUAS DE ANTOFAGASTA S A</v>
          </cell>
          <cell r="G396" t="str">
            <v>Abierto</v>
          </cell>
          <cell r="H396" t="str">
            <v>Av. Pedro Aguirre Cerda 11385</v>
          </cell>
          <cell r="I396" t="str">
            <v>Antofagasta</v>
          </cell>
          <cell r="J396" t="str">
            <v>SIN CONVENIO</v>
          </cell>
        </row>
        <row r="397">
          <cell r="B397">
            <v>962</v>
          </cell>
          <cell r="C397" t="str">
            <v>MORANDE</v>
          </cell>
          <cell r="D397" t="str">
            <v>RM - Santiago</v>
          </cell>
          <cell r="F397" t="str">
            <v>AGUAS ANDINAS S.A.</v>
          </cell>
          <cell r="G397" t="str">
            <v>Abierto</v>
          </cell>
          <cell r="H397" t="str">
            <v>ESPACIO M (COMPAÑÍA/MORANDE)  1214</v>
          </cell>
          <cell r="I397" t="str">
            <v>Santiago</v>
          </cell>
          <cell r="J397" t="str">
            <v>SIN CONVENIO</v>
          </cell>
        </row>
        <row r="398">
          <cell r="B398">
            <v>963</v>
          </cell>
          <cell r="C398" t="str">
            <v>FLORIDA</v>
          </cell>
          <cell r="D398" t="str">
            <v>IV - Coquimbo</v>
          </cell>
          <cell r="F398" t="str">
            <v>S Y R INVERSIONES S. A.</v>
          </cell>
          <cell r="G398" t="str">
            <v>Abierto</v>
          </cell>
          <cell r="H398" t="str">
            <v>Avenida Las Parcelas ULS PC 304-A</v>
          </cell>
          <cell r="I398" t="str">
            <v>La Serena</v>
          </cell>
          <cell r="J398" t="str">
            <v>SIN CONVENIO</v>
          </cell>
        </row>
        <row r="399">
          <cell r="B399">
            <v>964</v>
          </cell>
          <cell r="C399" t="str">
            <v>SAN BERNARDO LOS MORROS</v>
          </cell>
          <cell r="D399" t="str">
            <v>RM - Santiago</v>
          </cell>
          <cell r="F399" t="str">
            <v>AGUAS ANDINAS S.A.</v>
          </cell>
          <cell r="G399" t="str">
            <v>Proyecto</v>
          </cell>
          <cell r="H399" t="str">
            <v>Padre Hurtado 9230</v>
          </cell>
          <cell r="I399" t="str">
            <v>San Bernardo</v>
          </cell>
          <cell r="J399" t="str">
            <v>SIN CONVENIO</v>
          </cell>
        </row>
        <row r="400">
          <cell r="B400">
            <v>965</v>
          </cell>
          <cell r="C400" t="str">
            <v>TALCA-1 NORTE</v>
          </cell>
          <cell r="D400" t="str">
            <v>VII - Maule</v>
          </cell>
          <cell r="F400" t="str">
            <v>NUEVOSUR S.A.</v>
          </cell>
          <cell r="G400" t="str">
            <v>Abierto</v>
          </cell>
          <cell r="H400" t="str">
            <v>CALLE 1 NORTE 1570</v>
          </cell>
          <cell r="I400" t="str">
            <v>Talca</v>
          </cell>
          <cell r="J400" t="str">
            <v>SIN CONVENIO</v>
          </cell>
        </row>
        <row r="401">
          <cell r="B401">
            <v>966</v>
          </cell>
          <cell r="C401" t="str">
            <v>CORONEL III</v>
          </cell>
          <cell r="D401" t="str">
            <v>VIII - Biobío</v>
          </cell>
          <cell r="F401" t="str">
            <v>ESSBIO S.A.</v>
          </cell>
          <cell r="G401" t="str">
            <v>Abierto</v>
          </cell>
          <cell r="H401" t="str">
            <v>Calle Lautaro 477</v>
          </cell>
          <cell r="I401" t="str">
            <v>Coronel</v>
          </cell>
          <cell r="J401" t="str">
            <v>SIN CONVENIO</v>
          </cell>
        </row>
        <row r="402">
          <cell r="B402">
            <v>967</v>
          </cell>
          <cell r="C402" t="str">
            <v>ARICA SUPER AGRO</v>
          </cell>
          <cell r="D402" t="str">
            <v>XV - Arica y Parinacota</v>
          </cell>
          <cell r="F402" t="str">
            <v>AGUAS DEL ALTIPLANO S.A.</v>
          </cell>
          <cell r="G402" t="str">
            <v>Proyecto</v>
          </cell>
          <cell r="H402" t="str">
            <v>SANTA MARIA  (SUPER AGRO) 2141</v>
          </cell>
          <cell r="I402" t="str">
            <v>Arica</v>
          </cell>
          <cell r="J402" t="str">
            <v>SIN CONVENIO</v>
          </cell>
        </row>
        <row r="403">
          <cell r="B403">
            <v>968</v>
          </cell>
          <cell r="C403" t="str">
            <v>RAMON CRUZ</v>
          </cell>
          <cell r="D403" t="str">
            <v>RM - Santiago</v>
          </cell>
          <cell r="F403" t="str">
            <v>AGUAS ANDINAS S.A.</v>
          </cell>
          <cell r="G403" t="str">
            <v>Proyecto</v>
          </cell>
          <cell r="H403" t="str">
            <v>Ramon Cruz Grecia</v>
          </cell>
          <cell r="I403" t="str">
            <v>Santiago</v>
          </cell>
          <cell r="J403" t="str">
            <v>SIN CONVENIO</v>
          </cell>
        </row>
        <row r="404">
          <cell r="B404">
            <v>969</v>
          </cell>
          <cell r="C404" t="str">
            <v>CASTRO ALTO</v>
          </cell>
          <cell r="D404" t="str">
            <v>X - Los Lagos</v>
          </cell>
          <cell r="F404" t="str">
            <v>SURALIS</v>
          </cell>
          <cell r="G404" t="str">
            <v>Proyecto</v>
          </cell>
          <cell r="H404" t="str">
            <v>Galvarino Riveros 1277</v>
          </cell>
          <cell r="I404" t="str">
            <v>Castro</v>
          </cell>
          <cell r="J404" t="str">
            <v>SIN CONVENIO</v>
          </cell>
        </row>
        <row r="405">
          <cell r="B405">
            <v>970</v>
          </cell>
          <cell r="C405" t="str">
            <v>QUEMCHI</v>
          </cell>
          <cell r="D405" t="str">
            <v>X - Los Lagos</v>
          </cell>
          <cell r="F405" t="str">
            <v>SURALIS</v>
          </cell>
          <cell r="G405" t="str">
            <v>Proyecto</v>
          </cell>
          <cell r="H405" t="str">
            <v>Quemchi</v>
          </cell>
          <cell r="I405" t="str">
            <v>Quemchi</v>
          </cell>
          <cell r="J405" t="str">
            <v>SIN CONVENIO</v>
          </cell>
        </row>
        <row r="406">
          <cell r="B406">
            <v>971</v>
          </cell>
          <cell r="C406" t="str">
            <v>CALERA DE TANGO</v>
          </cell>
          <cell r="D406" t="str">
            <v>RM - Santiago</v>
          </cell>
          <cell r="F406" t="str">
            <v>AGUAS ANDINAS S.A.</v>
          </cell>
          <cell r="G406" t="str">
            <v>Proyecto</v>
          </cell>
          <cell r="H406" t="str">
            <v>Calera de Tango 593</v>
          </cell>
          <cell r="I406" t="str">
            <v>Calera de Tango</v>
          </cell>
          <cell r="J406" t="str">
            <v>SIN CONVENIO</v>
          </cell>
        </row>
        <row r="407">
          <cell r="B407">
            <v>972</v>
          </cell>
          <cell r="C407" t="str">
            <v>DALCAHUE</v>
          </cell>
          <cell r="D407" t="str">
            <v>X - Los Lagos</v>
          </cell>
          <cell r="F407" t="str">
            <v>SURALIS</v>
          </cell>
          <cell r="G407" t="str">
            <v>Proyecto</v>
          </cell>
          <cell r="H407" t="str">
            <v>Dalcahue</v>
          </cell>
          <cell r="I407" t="str">
            <v>Dalcahue</v>
          </cell>
          <cell r="J407" t="str">
            <v>SIN CONVENIO</v>
          </cell>
        </row>
        <row r="408">
          <cell r="B408">
            <v>973</v>
          </cell>
          <cell r="C408" t="str">
            <v>CHONCHI</v>
          </cell>
          <cell r="D408" t="str">
            <v>X - Los Lagos</v>
          </cell>
          <cell r="F408" t="str">
            <v>SURALIS</v>
          </cell>
          <cell r="G408" t="str">
            <v>Proyecto</v>
          </cell>
          <cell r="H408" t="str">
            <v>Chonchi</v>
          </cell>
          <cell r="I408" t="str">
            <v>Puerto Montt</v>
          </cell>
          <cell r="J408" t="str">
            <v>SIN CONVENIO</v>
          </cell>
        </row>
        <row r="409">
          <cell r="B409">
            <v>974</v>
          </cell>
          <cell r="C409" t="str">
            <v>BRASIL VALLENAR</v>
          </cell>
          <cell r="D409" t="str">
            <v>III - Atacama</v>
          </cell>
          <cell r="F409" t="str">
            <v>NUEVA ATACAMA</v>
          </cell>
          <cell r="G409" t="str">
            <v>Proyecto</v>
          </cell>
          <cell r="H409" t="str">
            <v>Vallenar</v>
          </cell>
          <cell r="I409" t="str">
            <v>Vallenar</v>
          </cell>
          <cell r="J409" t="str">
            <v>SIN CONVENIO</v>
          </cell>
        </row>
        <row r="410">
          <cell r="B410">
            <v>975</v>
          </cell>
          <cell r="C410" t="str">
            <v>PRAGA VILLARRICA</v>
          </cell>
          <cell r="D410" t="str">
            <v>IX - Araucanía</v>
          </cell>
          <cell r="F410" t="str">
            <v>AGUAS ARAUCANIA S A</v>
          </cell>
          <cell r="G410" t="str">
            <v>Proyecto</v>
          </cell>
          <cell r="H410" t="str">
            <v>Saturnino Epulef 1613</v>
          </cell>
          <cell r="I410" t="str">
            <v>Villarrica</v>
          </cell>
          <cell r="J410" t="str">
            <v>SIN CONVENIO</v>
          </cell>
        </row>
        <row r="411">
          <cell r="B411">
            <v>976</v>
          </cell>
          <cell r="C411" t="str">
            <v>MANUEL MONTT II</v>
          </cell>
          <cell r="D411" t="str">
            <v>RM - Santiago</v>
          </cell>
          <cell r="F411" t="str">
            <v>AGUAS ANDINAS S.A.</v>
          </cell>
          <cell r="G411" t="str">
            <v>Abierto</v>
          </cell>
          <cell r="H411" t="str">
            <v>Av. Irarrázabal 1740</v>
          </cell>
          <cell r="I411" t="str">
            <v>Ñuñoa</v>
          </cell>
          <cell r="J411" t="str">
            <v>SIN CONVENIO</v>
          </cell>
        </row>
        <row r="412">
          <cell r="B412">
            <v>977</v>
          </cell>
          <cell r="C412" t="str">
            <v>QUELLON</v>
          </cell>
          <cell r="D412" t="str">
            <v>X - Los Lagos</v>
          </cell>
          <cell r="F412" t="str">
            <v>SURALIS</v>
          </cell>
          <cell r="G412" t="str">
            <v>Proyecto</v>
          </cell>
          <cell r="H412" t="str">
            <v>Quellón</v>
          </cell>
          <cell r="I412" t="str">
            <v>Quellón</v>
          </cell>
          <cell r="J412" t="str">
            <v>SIN CONVENIO</v>
          </cell>
        </row>
        <row r="413">
          <cell r="B413">
            <v>978</v>
          </cell>
          <cell r="C413" t="str">
            <v>SAN JOAQUIN</v>
          </cell>
          <cell r="D413" t="str">
            <v>RM - Santiago</v>
          </cell>
          <cell r="F413" t="str">
            <v>AGUAS ANDINAS S.A.</v>
          </cell>
          <cell r="G413" t="str">
            <v>Abierto</v>
          </cell>
          <cell r="H413" t="str">
            <v>Santa Rosa 5320</v>
          </cell>
          <cell r="I413" t="str">
            <v>San Joaquín</v>
          </cell>
          <cell r="J413" t="str">
            <v>SIN CONVENIO</v>
          </cell>
        </row>
        <row r="414">
          <cell r="B414">
            <v>979</v>
          </cell>
          <cell r="C414" t="str">
            <v>TALAGANTE OHIGGINS</v>
          </cell>
          <cell r="D414" t="str">
            <v>RM - Santiago</v>
          </cell>
          <cell r="F414" t="str">
            <v>AGUAS ANDINAS S.A.</v>
          </cell>
          <cell r="G414" t="str">
            <v>Abierto</v>
          </cell>
          <cell r="H414" t="str">
            <v>O'HIGGINS LOTE 1 2259</v>
          </cell>
          <cell r="I414" t="str">
            <v>Talagante</v>
          </cell>
          <cell r="J414" t="str">
            <v>SIN CONVENIO</v>
          </cell>
        </row>
        <row r="415">
          <cell r="B415">
            <v>980</v>
          </cell>
          <cell r="C415" t="str">
            <v>MAIPU EL ROSAL</v>
          </cell>
          <cell r="D415" t="str">
            <v>RM - Santiago</v>
          </cell>
          <cell r="F415" t="str">
            <v>SMAPA</v>
          </cell>
          <cell r="G415" t="str">
            <v>Abierto</v>
          </cell>
          <cell r="H415" t="str">
            <v>Av. El Rosal 6361</v>
          </cell>
          <cell r="I415" t="str">
            <v>Maipú</v>
          </cell>
          <cell r="J415" t="str">
            <v>SIN CONVENIO</v>
          </cell>
        </row>
        <row r="416">
          <cell r="B416">
            <v>981</v>
          </cell>
          <cell r="C416" t="str">
            <v>VALPARAISO ARGENTINA</v>
          </cell>
          <cell r="D416" t="str">
            <v>V - Valparaiso</v>
          </cell>
          <cell r="F416" t="str">
            <v>ESVAL S.A.</v>
          </cell>
          <cell r="G416" t="str">
            <v>Proyecto</v>
          </cell>
          <cell r="H416" t="str">
            <v>AV. ARGENTINA 850</v>
          </cell>
          <cell r="I416" t="str">
            <v>Valparaíso</v>
          </cell>
          <cell r="J416" t="str">
            <v>SIN CONVENIO</v>
          </cell>
        </row>
        <row r="417">
          <cell r="B417">
            <v>982</v>
          </cell>
          <cell r="C417" t="str">
            <v>TEMUCO ALEMANIA</v>
          </cell>
          <cell r="D417" t="str">
            <v>IX - Araucanía</v>
          </cell>
          <cell r="F417" t="str">
            <v>AGUAS ARAUCANIA S A</v>
          </cell>
          <cell r="G417" t="str">
            <v>Abierto</v>
          </cell>
          <cell r="H417" t="str">
            <v>Avenida Alemania 849</v>
          </cell>
          <cell r="I417" t="str">
            <v>Temuco</v>
          </cell>
          <cell r="J417" t="str">
            <v>SIN CONVENIO</v>
          </cell>
        </row>
        <row r="418">
          <cell r="B418">
            <v>983</v>
          </cell>
          <cell r="C418" t="str">
            <v>CHILLAN CAMPAÑA</v>
          </cell>
          <cell r="D418" t="str">
            <v>XVI - Ñuble</v>
          </cell>
          <cell r="F418" t="str">
            <v>ESSBIO S.A.</v>
          </cell>
          <cell r="G418" t="str">
            <v>Proyecto</v>
          </cell>
          <cell r="H418" t="str">
            <v>CAMPAÑA DE 79 # 50</v>
          </cell>
          <cell r="I418" t="str">
            <v>Chillán</v>
          </cell>
          <cell r="J418" t="str">
            <v>SIN CONVENIO</v>
          </cell>
        </row>
        <row r="419">
          <cell r="B419">
            <v>984</v>
          </cell>
          <cell r="C419" t="str">
            <v>CAUQUENES ANTONIO VARAS</v>
          </cell>
          <cell r="D419" t="str">
            <v>VII - Maule</v>
          </cell>
          <cell r="F419" t="str">
            <v>NUEVOSUR S.A.</v>
          </cell>
          <cell r="G419" t="str">
            <v>Proyecto</v>
          </cell>
          <cell r="H419" t="str">
            <v>ANTONIO VARAS 340</v>
          </cell>
          <cell r="I419" t="str">
            <v>Cauquenes</v>
          </cell>
          <cell r="J419" t="str">
            <v>SIN CONVENIO</v>
          </cell>
        </row>
        <row r="420">
          <cell r="B420">
            <v>3001</v>
          </cell>
          <cell r="C420" t="str">
            <v>M10 CURICO</v>
          </cell>
          <cell r="D420" t="str">
            <v>VII - Maule</v>
          </cell>
          <cell r="F420" t="str">
            <v>NUEVOSUR S.A.</v>
          </cell>
          <cell r="G420" t="str">
            <v>Abierto</v>
          </cell>
          <cell r="H420" t="str">
            <v>Camilo Henriquez 898</v>
          </cell>
          <cell r="I420" t="str">
            <v>Curicó</v>
          </cell>
          <cell r="J420" t="str">
            <v>SIN CONVENIO</v>
          </cell>
        </row>
        <row r="421">
          <cell r="B421">
            <v>3002</v>
          </cell>
          <cell r="C421" t="str">
            <v>M10 TEMUCO I</v>
          </cell>
          <cell r="D421" t="str">
            <v>IX - Araucanía</v>
          </cell>
          <cell r="F421" t="str">
            <v>AGUAS ARAUCANIA S A</v>
          </cell>
          <cell r="G421" t="str">
            <v>Cerrado</v>
          </cell>
          <cell r="H421" t="str">
            <v>Francisco Bilbao 1554</v>
          </cell>
          <cell r="I421" t="str">
            <v>Temuco</v>
          </cell>
          <cell r="J421" t="str">
            <v>SIN CONVENIO</v>
          </cell>
        </row>
        <row r="422">
          <cell r="B422">
            <v>3003</v>
          </cell>
          <cell r="C422" t="str">
            <v>M10 PUERTO MONTT</v>
          </cell>
          <cell r="D422" t="str">
            <v>X - Los Lagos</v>
          </cell>
          <cell r="F422" t="str">
            <v>SURALIS</v>
          </cell>
          <cell r="G422" t="str">
            <v>Abierto</v>
          </cell>
          <cell r="H422" t="str">
            <v>Pdte. Ibanez 316</v>
          </cell>
          <cell r="I422" t="str">
            <v>Puerto Montt</v>
          </cell>
          <cell r="J422" t="str">
            <v>SIN CONVENIO</v>
          </cell>
        </row>
        <row r="423">
          <cell r="B423">
            <v>3004</v>
          </cell>
          <cell r="C423" t="str">
            <v>M10 RANCAGUA I</v>
          </cell>
          <cell r="D423" t="str">
            <v>VI - O'Higgins</v>
          </cell>
          <cell r="F423" t="str">
            <v>ESSBIO S.A.</v>
          </cell>
          <cell r="G423" t="str">
            <v>Cerrado</v>
          </cell>
          <cell r="H423" t="str">
            <v>Bombero Ruiz Diaz 210</v>
          </cell>
          <cell r="I423" t="str">
            <v>Rancagua</v>
          </cell>
          <cell r="J423" t="str">
            <v>SIN CONVENIO</v>
          </cell>
        </row>
        <row r="424">
          <cell r="B424">
            <v>3005</v>
          </cell>
          <cell r="C424" t="str">
            <v>M10 VIÑA DEL MAR</v>
          </cell>
          <cell r="D424" t="str">
            <v>V - Valparaiso</v>
          </cell>
          <cell r="F424" t="str">
            <v>ESVAL S.A.</v>
          </cell>
          <cell r="G424" t="str">
            <v>Cerrado</v>
          </cell>
          <cell r="H424" t="str">
            <v>Arlegui 1201</v>
          </cell>
          <cell r="I424" t="str">
            <v>Viña Del Mar</v>
          </cell>
          <cell r="J424" t="str">
            <v>SIN CONVENIO</v>
          </cell>
        </row>
        <row r="425">
          <cell r="B425">
            <v>3006</v>
          </cell>
          <cell r="C425" t="str">
            <v>M10 OSORNO</v>
          </cell>
          <cell r="D425" t="str">
            <v>X - Los Lagos</v>
          </cell>
          <cell r="F425" t="str">
            <v>SURALIS</v>
          </cell>
          <cell r="G425" t="str">
            <v>Cerrado</v>
          </cell>
          <cell r="H425" t="str">
            <v>Eleuterio Ramirez 560</v>
          </cell>
          <cell r="I425" t="str">
            <v>Osorno</v>
          </cell>
          <cell r="J425" t="str">
            <v>SIN CONVENIO</v>
          </cell>
        </row>
        <row r="426">
          <cell r="B426">
            <v>3007</v>
          </cell>
          <cell r="C426" t="str">
            <v>M10 EL BELLOTO</v>
          </cell>
          <cell r="D426" t="str">
            <v>V - Valparaiso</v>
          </cell>
          <cell r="F426" t="str">
            <v>ESVAL S.A.</v>
          </cell>
          <cell r="G426" t="str">
            <v>Abierto</v>
          </cell>
          <cell r="H426" t="str">
            <v>Baden Powell 36</v>
          </cell>
          <cell r="I426" t="str">
            <v>Quilpué</v>
          </cell>
          <cell r="J426" t="str">
            <v>SIN CONVENIO</v>
          </cell>
        </row>
        <row r="427">
          <cell r="B427">
            <v>3008</v>
          </cell>
          <cell r="C427" t="str">
            <v>M10 VALPARAISO</v>
          </cell>
          <cell r="D427" t="str">
            <v>V - Valparaiso</v>
          </cell>
          <cell r="F427" t="str">
            <v>ESVAL S.A.</v>
          </cell>
          <cell r="G427" t="str">
            <v>Abierto</v>
          </cell>
          <cell r="H427" t="str">
            <v>Pedro Montt 2585</v>
          </cell>
          <cell r="I427" t="str">
            <v>Valparaíso</v>
          </cell>
          <cell r="J427" t="str">
            <v>SIN CONVENIO</v>
          </cell>
        </row>
        <row r="428">
          <cell r="B428">
            <v>3009</v>
          </cell>
          <cell r="C428" t="str">
            <v>M10 MAIPU</v>
          </cell>
          <cell r="D428" t="str">
            <v>RM - Santiago</v>
          </cell>
          <cell r="F428" t="str">
            <v>SMAPA</v>
          </cell>
          <cell r="G428" t="str">
            <v>Cerrado</v>
          </cell>
          <cell r="H428" t="str">
            <v>5 De Abril 338</v>
          </cell>
          <cell r="I428" t="str">
            <v>Maipú</v>
          </cell>
          <cell r="J428" t="str">
            <v>SIN CONVENIO</v>
          </cell>
        </row>
        <row r="429">
          <cell r="B429">
            <v>3010</v>
          </cell>
          <cell r="C429" t="str">
            <v>M10 PAJARITOS</v>
          </cell>
          <cell r="D429" t="str">
            <v>RM - Santiago</v>
          </cell>
          <cell r="F429" t="str">
            <v>SMAPA</v>
          </cell>
          <cell r="G429" t="str">
            <v>Abierto</v>
          </cell>
          <cell r="H429" t="str">
            <v>Av. Gladys Marin 6480</v>
          </cell>
          <cell r="I429" t="str">
            <v>Estacion Central</v>
          </cell>
          <cell r="J429" t="str">
            <v>SIN CONVENIO</v>
          </cell>
        </row>
        <row r="430">
          <cell r="B430">
            <v>3011</v>
          </cell>
          <cell r="C430" t="str">
            <v>M10 SAN PABLO I</v>
          </cell>
          <cell r="D430" t="str">
            <v>RM - Santiago</v>
          </cell>
          <cell r="F430" t="str">
            <v>AGUAS ANDINAS S.A.</v>
          </cell>
          <cell r="G430" t="str">
            <v>Proyecto</v>
          </cell>
          <cell r="H430" t="str">
            <v>San Pablo 8860</v>
          </cell>
          <cell r="I430" t="str">
            <v>Santiago</v>
          </cell>
          <cell r="J430" t="str">
            <v>SIN CONVENIO</v>
          </cell>
        </row>
        <row r="431">
          <cell r="B431">
            <v>3012</v>
          </cell>
          <cell r="C431" t="str">
            <v>M10 TALCA</v>
          </cell>
          <cell r="D431" t="str">
            <v>VII - Maule</v>
          </cell>
          <cell r="F431" t="str">
            <v>NUEVOSUR S.A.</v>
          </cell>
          <cell r="G431" t="str">
            <v>Cerrado</v>
          </cell>
          <cell r="H431" t="str">
            <v>3 1/2 Norte 1749</v>
          </cell>
          <cell r="I431" t="str">
            <v>Talca</v>
          </cell>
          <cell r="J431" t="str">
            <v>SIN CONVENIO</v>
          </cell>
        </row>
        <row r="432">
          <cell r="B432">
            <v>3013</v>
          </cell>
          <cell r="C432" t="str">
            <v>M10 SAN BERNARDO I</v>
          </cell>
          <cell r="D432" t="str">
            <v>RM - Santiago</v>
          </cell>
          <cell r="F432" t="str">
            <v>AGUAS ANDINAS S.A.</v>
          </cell>
          <cell r="G432" t="str">
            <v>Abierto</v>
          </cell>
          <cell r="H432" t="str">
            <v>Av. Portales 2448</v>
          </cell>
          <cell r="I432" t="str">
            <v>San Bernardo</v>
          </cell>
          <cell r="J432" t="str">
            <v>SIN CONVENIO</v>
          </cell>
        </row>
        <row r="433">
          <cell r="B433">
            <v>3014</v>
          </cell>
          <cell r="C433" t="str">
            <v>M10 SAN FERNANDO</v>
          </cell>
          <cell r="D433" t="str">
            <v>VI - O'Higgins</v>
          </cell>
          <cell r="E433">
            <v>1298</v>
          </cell>
          <cell r="F433" t="str">
            <v>ESSBIO S.A.</v>
          </cell>
          <cell r="G433" t="str">
            <v>Abierto</v>
          </cell>
          <cell r="H433" t="str">
            <v>Chillan 745</v>
          </cell>
          <cell r="I433" t="str">
            <v>San Fernando</v>
          </cell>
          <cell r="J433" t="str">
            <v>TERMINADO</v>
          </cell>
        </row>
        <row r="434">
          <cell r="B434">
            <v>3015</v>
          </cell>
          <cell r="C434" t="str">
            <v>M10 LA CISTERNA</v>
          </cell>
          <cell r="D434" t="str">
            <v>RM - Santiago</v>
          </cell>
          <cell r="F434" t="str">
            <v>AGUAS ANDINAS S.A.</v>
          </cell>
          <cell r="G434" t="str">
            <v>Abierto</v>
          </cell>
          <cell r="H434" t="str">
            <v>Gran Avenida 9150</v>
          </cell>
          <cell r="I434" t="str">
            <v>La Cisterna</v>
          </cell>
          <cell r="J434" t="str">
            <v>SIN CONVENIO</v>
          </cell>
        </row>
        <row r="435">
          <cell r="B435">
            <v>3016</v>
          </cell>
          <cell r="C435" t="str">
            <v>M10 CONSTITUCION</v>
          </cell>
          <cell r="D435" t="str">
            <v>VII - Maule</v>
          </cell>
          <cell r="F435" t="str">
            <v>NUEVOSUR S.A.</v>
          </cell>
          <cell r="G435" t="str">
            <v>Cerrado</v>
          </cell>
          <cell r="H435" t="str">
            <v>Freire 340</v>
          </cell>
          <cell r="I435" t="str">
            <v>Constitución</v>
          </cell>
          <cell r="J435" t="str">
            <v>SIN CONVENIO</v>
          </cell>
        </row>
        <row r="436">
          <cell r="B436">
            <v>3017</v>
          </cell>
          <cell r="C436" t="str">
            <v>M10 OVALLE I</v>
          </cell>
          <cell r="D436" t="str">
            <v>IV - Coquimbo</v>
          </cell>
          <cell r="F436" t="str">
            <v>AGUAS DEL VALLE S A</v>
          </cell>
          <cell r="G436" t="str">
            <v>Abierto</v>
          </cell>
          <cell r="H436" t="str">
            <v>Av. Benavente 427</v>
          </cell>
          <cell r="I436" t="str">
            <v>Ovalle</v>
          </cell>
          <cell r="J436" t="str">
            <v>SIN CONVENIO</v>
          </cell>
        </row>
        <row r="437">
          <cell r="B437">
            <v>3018</v>
          </cell>
          <cell r="C437" t="str">
            <v>M10 BUIN</v>
          </cell>
          <cell r="D437" t="str">
            <v>RM - Santiago</v>
          </cell>
          <cell r="F437" t="str">
            <v>AGUAS ANDINAS S.A.</v>
          </cell>
          <cell r="G437" t="str">
            <v>Abierto</v>
          </cell>
          <cell r="H437" t="str">
            <v>Av. M. Rodriguez 312</v>
          </cell>
          <cell r="I437" t="str">
            <v>Buin</v>
          </cell>
          <cell r="J437" t="str">
            <v>SIN CONVENIO</v>
          </cell>
        </row>
        <row r="438">
          <cell r="B438">
            <v>3019</v>
          </cell>
          <cell r="C438" t="str">
            <v>M10 ANGOL</v>
          </cell>
          <cell r="D438" t="str">
            <v>IX - Araucanía</v>
          </cell>
          <cell r="F438" t="str">
            <v>AGUAS ARAUCANIA S A</v>
          </cell>
          <cell r="G438" t="str">
            <v>Abierto</v>
          </cell>
          <cell r="H438" t="str">
            <v>Av. O"Higgins 1815</v>
          </cell>
          <cell r="I438" t="str">
            <v>Angol</v>
          </cell>
          <cell r="J438" t="str">
            <v>SIN CONVENIO</v>
          </cell>
        </row>
        <row r="439">
          <cell r="B439">
            <v>3020</v>
          </cell>
          <cell r="C439" t="str">
            <v>M10 LOS ANGELES</v>
          </cell>
          <cell r="D439" t="str">
            <v>VIII - Biobío</v>
          </cell>
          <cell r="F439" t="str">
            <v>ESSBIO S.A.</v>
          </cell>
          <cell r="G439" t="str">
            <v>Abierto</v>
          </cell>
          <cell r="H439" t="str">
            <v>Sor Vicenta 2141</v>
          </cell>
          <cell r="I439" t="str">
            <v>Los Angeles</v>
          </cell>
          <cell r="J439" t="str">
            <v>SIN CONVENIO</v>
          </cell>
        </row>
        <row r="440">
          <cell r="B440">
            <v>3021</v>
          </cell>
          <cell r="C440" t="str">
            <v>M10 RANCAGUA II</v>
          </cell>
          <cell r="D440" t="str">
            <v>VI - O'Higgins</v>
          </cell>
          <cell r="F440" t="str">
            <v>ESSBIO S.A.</v>
          </cell>
          <cell r="G440" t="str">
            <v>Abierto</v>
          </cell>
          <cell r="H440" t="str">
            <v>Av. Brasil 1016</v>
          </cell>
          <cell r="I440" t="str">
            <v>Rancagua</v>
          </cell>
          <cell r="J440" t="str">
            <v>SIN CONVENIO</v>
          </cell>
        </row>
        <row r="441">
          <cell r="B441">
            <v>3022</v>
          </cell>
          <cell r="C441" t="str">
            <v>M10 TEMUCO II</v>
          </cell>
          <cell r="D441" t="str">
            <v>IX - Araucanía</v>
          </cell>
          <cell r="E441">
            <v>3721</v>
          </cell>
          <cell r="F441" t="str">
            <v>AGUAS ARAUCANIA S A</v>
          </cell>
          <cell r="G441" t="str">
            <v>Abierto</v>
          </cell>
          <cell r="H441" t="str">
            <v>Pedro De Valdivia 2285</v>
          </cell>
          <cell r="I441" t="str">
            <v>Temuco</v>
          </cell>
          <cell r="J441" t="str">
            <v>CONVENIO</v>
          </cell>
        </row>
        <row r="442">
          <cell r="B442">
            <v>3023</v>
          </cell>
          <cell r="C442" t="str">
            <v>M10 LOS ANDES</v>
          </cell>
          <cell r="D442" t="str">
            <v>V - Valparaiso</v>
          </cell>
          <cell r="F442" t="str">
            <v>ESVAL S.A.</v>
          </cell>
          <cell r="G442" t="str">
            <v>Cerrado</v>
          </cell>
          <cell r="H442" t="str">
            <v>Santa Teresa 254</v>
          </cell>
          <cell r="I442" t="str">
            <v>Los Andes</v>
          </cell>
          <cell r="J442" t="str">
            <v>SIN CONVENIO</v>
          </cell>
        </row>
        <row r="443">
          <cell r="B443">
            <v>3024</v>
          </cell>
          <cell r="C443" t="str">
            <v>M10 PEÑAFLOR</v>
          </cell>
          <cell r="D443" t="str">
            <v>RM - Santiago</v>
          </cell>
          <cell r="F443" t="str">
            <v>AGUAS ANDINAS S.A.</v>
          </cell>
          <cell r="G443" t="str">
            <v>Abierto</v>
          </cell>
          <cell r="H443" t="str">
            <v>21 De Mayo 4287</v>
          </cell>
          <cell r="I443" t="str">
            <v>Peñaflor</v>
          </cell>
          <cell r="J443" t="str">
            <v>SIN CONVENIO</v>
          </cell>
        </row>
        <row r="444">
          <cell r="B444">
            <v>3025</v>
          </cell>
          <cell r="C444" t="str">
            <v>M10 DIS LAS PALMAS</v>
          </cell>
          <cell r="D444" t="str">
            <v>VII - Maule</v>
          </cell>
          <cell r="F444" t="str">
            <v>NUEVOSUR S.A.</v>
          </cell>
          <cell r="G444" t="str">
            <v>Cerrado</v>
          </cell>
          <cell r="H444" t="str">
            <v>Ruta Rauquen Km 185</v>
          </cell>
          <cell r="I444" t="str">
            <v>Curicó</v>
          </cell>
          <cell r="J444" t="str">
            <v>SIN CONVENIO</v>
          </cell>
        </row>
        <row r="445">
          <cell r="B445">
            <v>3026</v>
          </cell>
          <cell r="C445" t="str">
            <v>M10 CHILLÁN ARTURO PRAT</v>
          </cell>
          <cell r="D445" t="str">
            <v>XVI - Ñuble</v>
          </cell>
          <cell r="F445" t="str">
            <v>ESSBIO S.A.</v>
          </cell>
          <cell r="G445" t="str">
            <v>Abierto</v>
          </cell>
          <cell r="H445" t="str">
            <v>A. Prat 879 Local 76</v>
          </cell>
          <cell r="I445" t="str">
            <v>Chillán</v>
          </cell>
          <cell r="J445" t="str">
            <v>SIN CONVENIO</v>
          </cell>
        </row>
        <row r="446">
          <cell r="B446">
            <v>3027</v>
          </cell>
          <cell r="C446" t="str">
            <v>M10 CHILLÁN I RIQUELME</v>
          </cell>
          <cell r="D446" t="str">
            <v>XVI - Ñuble</v>
          </cell>
          <cell r="F446" t="str">
            <v>ESSBIO S.A.</v>
          </cell>
          <cell r="G446" t="str">
            <v>Abierto</v>
          </cell>
          <cell r="H446" t="str">
            <v>Isabel Riquelme 959</v>
          </cell>
          <cell r="I446" t="str">
            <v>Chillán</v>
          </cell>
          <cell r="J446" t="str">
            <v>SIN CONVENIO</v>
          </cell>
        </row>
        <row r="447">
          <cell r="B447">
            <v>3028</v>
          </cell>
          <cell r="C447" t="str">
            <v>M10 LO PRADO</v>
          </cell>
          <cell r="D447" t="str">
            <v>RM - Santiago</v>
          </cell>
          <cell r="F447" t="str">
            <v>AGUAS ANDINAS S.A.</v>
          </cell>
          <cell r="G447" t="str">
            <v>Abierto</v>
          </cell>
          <cell r="H447" t="str">
            <v>San Pablo 6702</v>
          </cell>
          <cell r="I447" t="str">
            <v>Lo Prado</v>
          </cell>
          <cell r="J447" t="str">
            <v>SIN CONVENIO</v>
          </cell>
        </row>
        <row r="448">
          <cell r="B448">
            <v>3029</v>
          </cell>
          <cell r="C448" t="str">
            <v>M10 LA FLORIDA</v>
          </cell>
          <cell r="D448" t="str">
            <v>RM - Santiago</v>
          </cell>
          <cell r="F448" t="str">
            <v>AGUAS ANDINAS S.A.</v>
          </cell>
          <cell r="G448" t="str">
            <v>Abierto</v>
          </cell>
          <cell r="H448" t="str">
            <v>San Jose De La Estrella 1392</v>
          </cell>
          <cell r="I448" t="str">
            <v>La Florida</v>
          </cell>
          <cell r="J448" t="str">
            <v>SIN CONVENIO</v>
          </cell>
        </row>
        <row r="449">
          <cell r="B449">
            <v>3030</v>
          </cell>
          <cell r="C449" t="str">
            <v>M10 EYZAGUIRRE</v>
          </cell>
          <cell r="D449" t="str">
            <v>RM - Santiago</v>
          </cell>
          <cell r="F449" t="str">
            <v>AGUAS ANDINAS S.A.</v>
          </cell>
          <cell r="G449" t="str">
            <v>Cerrado</v>
          </cell>
          <cell r="H449" t="str">
            <v>Eyzaguirre 3208</v>
          </cell>
          <cell r="I449" t="str">
            <v>Puente Alto</v>
          </cell>
          <cell r="J449" t="str">
            <v>SIN CONVENIO</v>
          </cell>
        </row>
        <row r="450">
          <cell r="B450">
            <v>3031</v>
          </cell>
          <cell r="C450" t="str">
            <v>M10 COLINA</v>
          </cell>
          <cell r="D450" t="str">
            <v>RM - Santiago</v>
          </cell>
          <cell r="F450" t="str">
            <v>AGUAS ANDINAS S.A.</v>
          </cell>
          <cell r="G450" t="str">
            <v>Abierto</v>
          </cell>
          <cell r="H450" t="str">
            <v>Carretera Gral. San Martin 381</v>
          </cell>
          <cell r="I450" t="str">
            <v>Colina</v>
          </cell>
          <cell r="J450" t="str">
            <v>SIN CONVENIO</v>
          </cell>
        </row>
        <row r="451">
          <cell r="B451">
            <v>3032</v>
          </cell>
          <cell r="C451" t="str">
            <v>M10 SAN PABLO II</v>
          </cell>
          <cell r="D451" t="str">
            <v>RM - Santiago</v>
          </cell>
          <cell r="F451" t="str">
            <v>AGUAS ANDINAS S.A.</v>
          </cell>
          <cell r="G451" t="str">
            <v>Abierto</v>
          </cell>
          <cell r="H451" t="str">
            <v>Av. San Pablo 8537</v>
          </cell>
          <cell r="I451" t="str">
            <v>Pudahuel</v>
          </cell>
          <cell r="J451" t="str">
            <v>SIN CONVENIO</v>
          </cell>
        </row>
        <row r="452">
          <cell r="B452">
            <v>3033</v>
          </cell>
          <cell r="C452" t="str">
            <v>M10 SAN JOAQUIN</v>
          </cell>
          <cell r="D452" t="str">
            <v>RM - Santiago</v>
          </cell>
          <cell r="F452" t="str">
            <v>AGUAS ANDINAS S.A.</v>
          </cell>
          <cell r="G452" t="str">
            <v>Abierto</v>
          </cell>
          <cell r="H452" t="str">
            <v>Llico 456</v>
          </cell>
          <cell r="I452" t="str">
            <v>San Joaquín</v>
          </cell>
          <cell r="J452" t="str">
            <v>SIN CONVENIO</v>
          </cell>
        </row>
        <row r="453">
          <cell r="B453">
            <v>3034</v>
          </cell>
          <cell r="C453" t="str">
            <v>M10 RENGO</v>
          </cell>
          <cell r="D453" t="str">
            <v>VI - O'Higgins</v>
          </cell>
          <cell r="F453" t="str">
            <v>ESSBIO S.A.</v>
          </cell>
          <cell r="G453" t="str">
            <v>Abierto</v>
          </cell>
          <cell r="H453" t="str">
            <v>Arturo Prat 607</v>
          </cell>
          <cell r="I453" t="str">
            <v>Rengo</v>
          </cell>
          <cell r="J453" t="str">
            <v>SIN CONVENIO</v>
          </cell>
        </row>
        <row r="454">
          <cell r="B454">
            <v>3035</v>
          </cell>
          <cell r="C454" t="str">
            <v>M10 JM CARO</v>
          </cell>
          <cell r="D454" t="str">
            <v>RM - Santiago</v>
          </cell>
          <cell r="F454" t="str">
            <v>AGUAS ANDINAS S.A.</v>
          </cell>
          <cell r="G454" t="str">
            <v>Cerrado</v>
          </cell>
          <cell r="H454" t="str">
            <v>Buenaventura Con Avda Central</v>
          </cell>
          <cell r="I454" t="str">
            <v>Lo Espejo</v>
          </cell>
          <cell r="J454" t="str">
            <v>SIN CONVENIO</v>
          </cell>
        </row>
        <row r="455">
          <cell r="B455">
            <v>3036</v>
          </cell>
          <cell r="C455" t="str">
            <v>M10 HUALPEN</v>
          </cell>
          <cell r="D455" t="str">
            <v>VIII - Biobío</v>
          </cell>
          <cell r="F455" t="str">
            <v>ESSBIO S.A.</v>
          </cell>
          <cell r="G455" t="str">
            <v>Abierto</v>
          </cell>
          <cell r="H455" t="str">
            <v>Colon 7948 Hualpen</v>
          </cell>
          <cell r="I455" t="str">
            <v>Hualpén</v>
          </cell>
          <cell r="J455" t="str">
            <v>SIN CONVENIO</v>
          </cell>
        </row>
        <row r="456">
          <cell r="B456">
            <v>3037</v>
          </cell>
          <cell r="C456" t="str">
            <v>M10 LA UNION</v>
          </cell>
          <cell r="D456" t="str">
            <v>XIV - Los Ríos</v>
          </cell>
          <cell r="F456" t="str">
            <v>SURALIS</v>
          </cell>
          <cell r="G456" t="str">
            <v>Abierto</v>
          </cell>
          <cell r="H456" t="str">
            <v>Esmeralda 751</v>
          </cell>
          <cell r="I456" t="str">
            <v>La Unión</v>
          </cell>
          <cell r="J456" t="str">
            <v>SIN CONVENIO</v>
          </cell>
        </row>
        <row r="457">
          <cell r="B457">
            <v>3038</v>
          </cell>
          <cell r="C457" t="str">
            <v>M10 MAIPU II</v>
          </cell>
          <cell r="D457" t="str">
            <v>RM - Santiago</v>
          </cell>
          <cell r="F457" t="str">
            <v>SMAPA</v>
          </cell>
          <cell r="G457" t="str">
            <v>Abierto</v>
          </cell>
          <cell r="H457" t="str">
            <v>2 Norte 1373</v>
          </cell>
          <cell r="I457" t="str">
            <v>Maipú</v>
          </cell>
          <cell r="J457" t="str">
            <v>SIN CONVENIO</v>
          </cell>
        </row>
        <row r="458">
          <cell r="B458">
            <v>3039</v>
          </cell>
          <cell r="C458" t="str">
            <v>M10 RECOLETA</v>
          </cell>
          <cell r="D458" t="str">
            <v>RM - Santiago</v>
          </cell>
          <cell r="F458" t="str">
            <v>AGUAS ANDINAS S.A.</v>
          </cell>
          <cell r="G458" t="str">
            <v>Abierto</v>
          </cell>
          <cell r="H458" t="str">
            <v>El Salto 2506</v>
          </cell>
          <cell r="I458" t="str">
            <v>Recoleta</v>
          </cell>
          <cell r="J458" t="str">
            <v>SIN CONVENIO</v>
          </cell>
        </row>
        <row r="459">
          <cell r="B459">
            <v>3040</v>
          </cell>
          <cell r="C459" t="str">
            <v>M10 TEMUCO III</v>
          </cell>
          <cell r="D459" t="str">
            <v>IX - Araucanía</v>
          </cell>
          <cell r="F459" t="str">
            <v>AGUAS ARAUCANIA S A</v>
          </cell>
          <cell r="G459" t="str">
            <v>Abierto</v>
          </cell>
          <cell r="H459" t="str">
            <v>Av. Pinto N 172</v>
          </cell>
          <cell r="I459" t="str">
            <v>Temuco</v>
          </cell>
          <cell r="J459" t="str">
            <v>SIN CONVENIO</v>
          </cell>
        </row>
        <row r="460">
          <cell r="B460">
            <v>3041</v>
          </cell>
          <cell r="C460" t="str">
            <v>M10 SAN FELIPE</v>
          </cell>
          <cell r="D460" t="str">
            <v>V - Valparaiso</v>
          </cell>
          <cell r="F460" t="str">
            <v>ESVAL S.A.</v>
          </cell>
          <cell r="G460" t="str">
            <v>Abierto</v>
          </cell>
          <cell r="H460" t="str">
            <v>Santo Domingo 111</v>
          </cell>
          <cell r="I460" t="str">
            <v>San Felipe</v>
          </cell>
          <cell r="J460" t="str">
            <v>SIN CONVENIO</v>
          </cell>
        </row>
        <row r="461">
          <cell r="B461">
            <v>3042</v>
          </cell>
          <cell r="C461" t="str">
            <v>M10 LA CALERA</v>
          </cell>
          <cell r="D461" t="str">
            <v>V - Valparaiso</v>
          </cell>
          <cell r="F461" t="str">
            <v>ESVAL S.A.</v>
          </cell>
          <cell r="G461" t="str">
            <v>Abierto</v>
          </cell>
          <cell r="H461" t="str">
            <v>Carrera 949</v>
          </cell>
          <cell r="I461" t="str">
            <v>La Calera</v>
          </cell>
          <cell r="J461" t="str">
            <v>SIN CONVENIO</v>
          </cell>
        </row>
        <row r="462">
          <cell r="B462">
            <v>3043</v>
          </cell>
          <cell r="C462" t="str">
            <v>M10 SAN BERNARDO II</v>
          </cell>
          <cell r="D462" t="str">
            <v>RM - Santiago</v>
          </cell>
          <cell r="F462" t="str">
            <v>AGUAS ANDINAS S.A.</v>
          </cell>
          <cell r="G462" t="str">
            <v>Abierto</v>
          </cell>
          <cell r="H462" t="str">
            <v>Bulnes 550</v>
          </cell>
          <cell r="I462" t="str">
            <v>San Bernardo</v>
          </cell>
          <cell r="J462" t="str">
            <v>SIN CONVENIO</v>
          </cell>
        </row>
        <row r="463">
          <cell r="B463">
            <v>3044</v>
          </cell>
          <cell r="C463" t="str">
            <v>M10 SAN VICENTE</v>
          </cell>
          <cell r="D463" t="str">
            <v>VI - O'Higgins</v>
          </cell>
          <cell r="F463" t="str">
            <v>ESSBIO S.A.</v>
          </cell>
          <cell r="G463" t="str">
            <v>Abierto</v>
          </cell>
          <cell r="H463" t="str">
            <v>Av. Espana Esq Genaro Lisboa S/N</v>
          </cell>
          <cell r="I463" t="str">
            <v>San Vicente</v>
          </cell>
          <cell r="J463" t="str">
            <v>SIN CONVENIO</v>
          </cell>
        </row>
        <row r="464">
          <cell r="B464">
            <v>3045</v>
          </cell>
          <cell r="C464" t="str">
            <v>M10 OVALLE II</v>
          </cell>
          <cell r="D464" t="str">
            <v>IV - Coquimbo</v>
          </cell>
          <cell r="F464" t="str">
            <v>AGUAS DEL VALLE S A</v>
          </cell>
          <cell r="G464" t="str">
            <v>Abierto</v>
          </cell>
          <cell r="H464" t="str">
            <v>Victoria 435</v>
          </cell>
          <cell r="I464" t="str">
            <v>Ovalle</v>
          </cell>
          <cell r="J464" t="str">
            <v>SIN CONVENIO</v>
          </cell>
        </row>
        <row r="465">
          <cell r="B465">
            <v>3046</v>
          </cell>
          <cell r="C465" t="str">
            <v>M10 VICUÑA MACKENNA</v>
          </cell>
          <cell r="D465" t="str">
            <v>RM - Santiago</v>
          </cell>
          <cell r="F465" t="str">
            <v>AGUAS ANDINAS S.A.</v>
          </cell>
          <cell r="G465" t="str">
            <v>Abierto</v>
          </cell>
          <cell r="H465" t="str">
            <v>Av. Serafín Zamora 127</v>
          </cell>
          <cell r="I465" t="str">
            <v>La Florida</v>
          </cell>
          <cell r="J465" t="str">
            <v>SIN CONVENIO</v>
          </cell>
        </row>
        <row r="466">
          <cell r="B466">
            <v>3197</v>
          </cell>
          <cell r="C466" t="str">
            <v>ALVI PICARTE VALDIVIA</v>
          </cell>
          <cell r="D466" t="str">
            <v>XIV - Los Ríos</v>
          </cell>
          <cell r="E466">
            <v>1961</v>
          </cell>
          <cell r="F466" t="str">
            <v>AGUAS DECIMA S A</v>
          </cell>
          <cell r="G466" t="str">
            <v>Abierto</v>
          </cell>
          <cell r="H466" t="str">
            <v>Av. Ramon Picarte 2593</v>
          </cell>
          <cell r="I466" t="str">
            <v>Valdivia</v>
          </cell>
          <cell r="J466" t="str">
            <v>CONVENIO</v>
          </cell>
        </row>
        <row r="467">
          <cell r="B467">
            <v>3048</v>
          </cell>
          <cell r="C467" t="str">
            <v>M10 SAN ANTONIO</v>
          </cell>
          <cell r="D467" t="str">
            <v>V - Valparaiso</v>
          </cell>
          <cell r="F467" t="str">
            <v>ESVAL S.A.</v>
          </cell>
          <cell r="G467" t="str">
            <v>Abierto</v>
          </cell>
          <cell r="H467" t="str">
            <v>Pedro Montt 148</v>
          </cell>
          <cell r="I467" t="str">
            <v>San Antonio</v>
          </cell>
          <cell r="J467" t="str">
            <v>SIN CONVENIO</v>
          </cell>
        </row>
        <row r="468">
          <cell r="B468">
            <v>3049</v>
          </cell>
          <cell r="C468" t="str">
            <v>M10 VILLA ALEMANA</v>
          </cell>
          <cell r="D468" t="str">
            <v>V - Valparaiso</v>
          </cell>
          <cell r="F468" t="str">
            <v>ESVAL S.A.</v>
          </cell>
          <cell r="G468" t="str">
            <v>Abierto</v>
          </cell>
          <cell r="H468" t="str">
            <v>Av. Valparaiso 517</v>
          </cell>
          <cell r="I468" t="str">
            <v>Villa Alemana</v>
          </cell>
          <cell r="J468" t="str">
            <v>SIN CONVENIO</v>
          </cell>
        </row>
        <row r="469">
          <cell r="B469">
            <v>3050</v>
          </cell>
          <cell r="C469" t="str">
            <v>TIENDA DUMMY MAYORISTA</v>
          </cell>
          <cell r="D469" t="str">
            <v>XII - Magallanes</v>
          </cell>
          <cell r="F469" t="str">
            <v>AGUAS MAGALLANES S.A.</v>
          </cell>
          <cell r="G469" t="str">
            <v>Proyecto</v>
          </cell>
          <cell r="H469" t="str">
            <v>DUMMY</v>
          </cell>
          <cell r="I469" t="str">
            <v>Punta Arenas</v>
          </cell>
          <cell r="J469" t="str">
            <v>SIN CONVENIO</v>
          </cell>
        </row>
        <row r="470">
          <cell r="B470">
            <v>3051</v>
          </cell>
          <cell r="C470" t="str">
            <v>M10 PAJARITOS II</v>
          </cell>
          <cell r="D470" t="str">
            <v>RM - Santiago</v>
          </cell>
          <cell r="F470" t="str">
            <v>SMAPA</v>
          </cell>
          <cell r="G470" t="str">
            <v>Abierto</v>
          </cell>
          <cell r="H470" t="str">
            <v>Gladys Marin 6664</v>
          </cell>
          <cell r="I470" t="str">
            <v>Estacion Central</v>
          </cell>
          <cell r="J470" t="str">
            <v>SIN CONVENIO</v>
          </cell>
        </row>
        <row r="471">
          <cell r="B471">
            <v>3053</v>
          </cell>
          <cell r="C471" t="str">
            <v>M10 CERRILLOS</v>
          </cell>
          <cell r="D471" t="str">
            <v>RM - Santiago</v>
          </cell>
          <cell r="F471" t="str">
            <v>SMAPA</v>
          </cell>
          <cell r="G471" t="str">
            <v>Abierto</v>
          </cell>
          <cell r="H471" t="str">
            <v>Americo Vespucio 1601</v>
          </cell>
          <cell r="I471" t="str">
            <v>Cerrillos</v>
          </cell>
          <cell r="J471" t="str">
            <v>SIN CONVENIO</v>
          </cell>
        </row>
        <row r="472">
          <cell r="B472">
            <v>3054</v>
          </cell>
          <cell r="C472" t="str">
            <v>M10 CAMILO HENRIQUEZ</v>
          </cell>
          <cell r="D472" t="str">
            <v>RM - Santiago</v>
          </cell>
          <cell r="F472" t="str">
            <v>AGUAS ANDINAS S.A.</v>
          </cell>
          <cell r="G472" t="str">
            <v>Abierto</v>
          </cell>
          <cell r="H472" t="str">
            <v>Camilo Henriquez 5239</v>
          </cell>
          <cell r="I472" t="str">
            <v>Puente Alto</v>
          </cell>
          <cell r="J472" t="str">
            <v>SIN CONVENIO</v>
          </cell>
        </row>
        <row r="473">
          <cell r="B473">
            <v>3055</v>
          </cell>
          <cell r="C473" t="str">
            <v>M10 ROJAS MAGALLANES</v>
          </cell>
          <cell r="D473" t="str">
            <v>RM - Santiago</v>
          </cell>
          <cell r="F473" t="str">
            <v>AGUAS ANDINAS S.A.</v>
          </cell>
          <cell r="G473" t="str">
            <v>Abierto</v>
          </cell>
          <cell r="H473" t="str">
            <v>Rojas Magallanes 1856</v>
          </cell>
          <cell r="I473" t="str">
            <v>La Florida</v>
          </cell>
          <cell r="J473" t="str">
            <v>SIN CONVENIO</v>
          </cell>
        </row>
        <row r="474">
          <cell r="B474">
            <v>3056</v>
          </cell>
          <cell r="C474" t="str">
            <v>M10 STA ROSA</v>
          </cell>
          <cell r="D474" t="str">
            <v>RM - Santiago</v>
          </cell>
          <cell r="F474" t="str">
            <v>AGUAS ANDINAS S.A.</v>
          </cell>
          <cell r="G474" t="str">
            <v>Abierto</v>
          </cell>
          <cell r="H474" t="str">
            <v>Av. Santa Rosa 7592</v>
          </cell>
          <cell r="I474" t="str">
            <v>La Granja</v>
          </cell>
          <cell r="J474" t="str">
            <v>SIN CONVENIO</v>
          </cell>
        </row>
        <row r="475">
          <cell r="B475">
            <v>3057</v>
          </cell>
          <cell r="C475" t="str">
            <v>M10 MARATHON</v>
          </cell>
          <cell r="D475" t="str">
            <v>RM - Santiago</v>
          </cell>
          <cell r="F475" t="str">
            <v>AGUAS ANDINAS S.A.</v>
          </cell>
          <cell r="G475" t="str">
            <v>Abierto</v>
          </cell>
          <cell r="H475" t="str">
            <v>Av. Marathon 3073</v>
          </cell>
          <cell r="I475" t="str">
            <v>Macul</v>
          </cell>
          <cell r="J475" t="str">
            <v>SIN CONVENIO</v>
          </cell>
        </row>
        <row r="476">
          <cell r="B476">
            <v>3058</v>
          </cell>
          <cell r="C476" t="str">
            <v>M10 SAN LUIS</v>
          </cell>
          <cell r="D476" t="str">
            <v>RM - Santiago</v>
          </cell>
          <cell r="F476" t="str">
            <v>AGUAS ANDINAS S.A.</v>
          </cell>
          <cell r="G476" t="str">
            <v>Abierto</v>
          </cell>
          <cell r="H476" t="str">
            <v>Av. San Luis De Macul 5171</v>
          </cell>
          <cell r="I476" t="str">
            <v>Macul</v>
          </cell>
          <cell r="J476" t="str">
            <v>SIN CONVENIO</v>
          </cell>
        </row>
        <row r="477">
          <cell r="B477">
            <v>3060</v>
          </cell>
          <cell r="C477" t="str">
            <v>M10 C. MELIPILLA</v>
          </cell>
          <cell r="D477" t="str">
            <v>RM - Santiago</v>
          </cell>
          <cell r="F477" t="str">
            <v>AGUAS ANDINAS S.A.</v>
          </cell>
          <cell r="G477" t="str">
            <v>Cerrado</v>
          </cell>
          <cell r="H477" t="str">
            <v xml:space="preserve">Camino Melipilla 17100 </v>
          </cell>
          <cell r="I477" t="str">
            <v>Maipú</v>
          </cell>
          <cell r="J477" t="str">
            <v>SIN CONVENIO</v>
          </cell>
        </row>
        <row r="478">
          <cell r="B478">
            <v>3063</v>
          </cell>
          <cell r="C478" t="str">
            <v>M10 SAN MARTIN</v>
          </cell>
          <cell r="D478" t="str">
            <v>RM - Santiago</v>
          </cell>
          <cell r="F478" t="str">
            <v>AGUAS ANDINAS S.A.</v>
          </cell>
          <cell r="G478" t="str">
            <v>Abierto</v>
          </cell>
          <cell r="H478" t="str">
            <v>Av. San Martin 460</v>
          </cell>
          <cell r="I478" t="str">
            <v>San Bernardo</v>
          </cell>
          <cell r="J478" t="str">
            <v>SIN CONVENIO</v>
          </cell>
        </row>
        <row r="479">
          <cell r="B479">
            <v>3064</v>
          </cell>
          <cell r="C479" t="str">
            <v>M10 SAN DIEGO</v>
          </cell>
          <cell r="D479" t="str">
            <v>RM - Santiago</v>
          </cell>
          <cell r="F479" t="str">
            <v>AGUAS ANDINAS S.A.</v>
          </cell>
          <cell r="G479" t="str">
            <v>Abierto</v>
          </cell>
          <cell r="H479" t="str">
            <v>San Diego 2115</v>
          </cell>
          <cell r="I479" t="str">
            <v>Santiago</v>
          </cell>
          <cell r="J479" t="str">
            <v>SIN CONVENIO</v>
          </cell>
        </row>
        <row r="480">
          <cell r="B480">
            <v>3065</v>
          </cell>
          <cell r="C480" t="str">
            <v>M10 ARICA</v>
          </cell>
          <cell r="D480" t="str">
            <v>XV - Arica y Parinacota</v>
          </cell>
          <cell r="F480" t="str">
            <v>AGUAS DEL ALTIPLANO S.A.</v>
          </cell>
          <cell r="G480" t="str">
            <v>Proyecto</v>
          </cell>
          <cell r="H480" t="str">
            <v>Av Santa Maria 2141</v>
          </cell>
          <cell r="I480" t="str">
            <v>Arica</v>
          </cell>
          <cell r="J480" t="str">
            <v>SIN CONVENIO</v>
          </cell>
        </row>
        <row r="481">
          <cell r="B481">
            <v>3066</v>
          </cell>
          <cell r="C481" t="str">
            <v>M10 PUNTA ARENAS</v>
          </cell>
          <cell r="D481" t="str">
            <v>XII - Magallanes</v>
          </cell>
          <cell r="F481" t="str">
            <v>AGUAS MAGALLANES S.A.</v>
          </cell>
          <cell r="G481" t="str">
            <v>Cerrado</v>
          </cell>
          <cell r="H481" t="str">
            <v>Av. Frei 0770</v>
          </cell>
          <cell r="I481" t="str">
            <v>Punta Arenas</v>
          </cell>
          <cell r="J481" t="str">
            <v>SIN CONVENIO</v>
          </cell>
        </row>
        <row r="482">
          <cell r="B482">
            <v>3067</v>
          </cell>
          <cell r="C482" t="str">
            <v>M10 EL BOSQUE</v>
          </cell>
          <cell r="D482" t="str">
            <v>RM - Santiago</v>
          </cell>
          <cell r="F482" t="str">
            <v>AGUAS ANDINAS S.A.</v>
          </cell>
          <cell r="G482" t="str">
            <v>Cerrado</v>
          </cell>
          <cell r="H482" t="str">
            <v>Gran Avenida Nº10580</v>
          </cell>
          <cell r="I482" t="str">
            <v>El Bosque</v>
          </cell>
          <cell r="J482" t="str">
            <v>SIN CONVENIO</v>
          </cell>
        </row>
        <row r="483">
          <cell r="B483">
            <v>3069</v>
          </cell>
          <cell r="C483" t="str">
            <v>M10 SANTA CRUZ</v>
          </cell>
          <cell r="D483" t="str">
            <v>VI - O'Higgins</v>
          </cell>
          <cell r="F483" t="str">
            <v>ESSBIO S.A.</v>
          </cell>
          <cell r="G483" t="str">
            <v>Abierto</v>
          </cell>
          <cell r="H483" t="str">
            <v>Sanfurgo N° 66</v>
          </cell>
          <cell r="I483" t="str">
            <v>Santa Cruz</v>
          </cell>
          <cell r="J483" t="str">
            <v>SIN CONVENIO</v>
          </cell>
        </row>
        <row r="484">
          <cell r="B484">
            <v>3071</v>
          </cell>
          <cell r="C484" t="str">
            <v>ALVI PUENTE ALTO</v>
          </cell>
          <cell r="D484" t="str">
            <v>RM - Santiago</v>
          </cell>
          <cell r="F484" t="str">
            <v>AGUAS ANDINAS S.A.</v>
          </cell>
          <cell r="G484" t="str">
            <v>Abierto</v>
          </cell>
          <cell r="H484" t="str">
            <v>Eyzaguirre 2909</v>
          </cell>
          <cell r="I484" t="str">
            <v>Puente Alto</v>
          </cell>
          <cell r="J484" t="str">
            <v>SIN CONVENIO</v>
          </cell>
        </row>
        <row r="485">
          <cell r="B485">
            <v>3072</v>
          </cell>
          <cell r="C485" t="str">
            <v>ALVI SAN PABLO</v>
          </cell>
          <cell r="D485" t="str">
            <v>RM - Santiago</v>
          </cell>
          <cell r="F485" t="str">
            <v>AGUAS ANDINAS S.A.</v>
          </cell>
          <cell r="G485" t="str">
            <v>Abierto</v>
          </cell>
          <cell r="H485" t="str">
            <v>Av. San Pablo 8685</v>
          </cell>
          <cell r="I485" t="str">
            <v>Pudahuel</v>
          </cell>
          <cell r="J485" t="str">
            <v>SIN CONVENIO</v>
          </cell>
        </row>
        <row r="486">
          <cell r="B486">
            <v>3073</v>
          </cell>
          <cell r="C486" t="str">
            <v>ALVI RENCA</v>
          </cell>
          <cell r="D486" t="str">
            <v>RM - Santiago</v>
          </cell>
          <cell r="F486" t="str">
            <v>AGUAS ANDINAS S.A.</v>
          </cell>
          <cell r="G486" t="str">
            <v>Abierto</v>
          </cell>
          <cell r="H486" t="str">
            <v>Domingo Santa Maria N° 3897</v>
          </cell>
          <cell r="I486" t="str">
            <v>Renca</v>
          </cell>
          <cell r="J486" t="str">
            <v>SIN CONVENIO</v>
          </cell>
        </row>
        <row r="487">
          <cell r="B487">
            <v>3074</v>
          </cell>
          <cell r="C487" t="str">
            <v>ALVI RECOLETA</v>
          </cell>
          <cell r="D487" t="str">
            <v>RM - Santiago</v>
          </cell>
          <cell r="F487" t="str">
            <v>AGUAS ANDINAS S.A.</v>
          </cell>
          <cell r="G487" t="str">
            <v>Abierto</v>
          </cell>
          <cell r="H487" t="str">
            <v>Recoleta 1750</v>
          </cell>
          <cell r="I487" t="str">
            <v>Recoleta</v>
          </cell>
          <cell r="J487" t="str">
            <v>SIN CONVENIO</v>
          </cell>
        </row>
        <row r="488">
          <cell r="B488">
            <v>3075</v>
          </cell>
          <cell r="C488" t="str">
            <v>ALVI LINARES</v>
          </cell>
          <cell r="D488" t="str">
            <v>VII - Maule</v>
          </cell>
          <cell r="F488" t="str">
            <v>NUEVOSUR S.A.</v>
          </cell>
          <cell r="G488" t="str">
            <v>Abierto</v>
          </cell>
          <cell r="H488" t="str">
            <v>Januario Espinoza 903</v>
          </cell>
          <cell r="I488" t="str">
            <v>Linares</v>
          </cell>
          <cell r="J488" t="str">
            <v>SIN CONVENIO</v>
          </cell>
        </row>
        <row r="489">
          <cell r="B489">
            <v>3076</v>
          </cell>
          <cell r="C489" t="str">
            <v>ALVI DEPARTAMENTAL</v>
          </cell>
          <cell r="D489" t="str">
            <v>RM - Santiago</v>
          </cell>
          <cell r="F489" t="str">
            <v>AGUAS ANDINAS S.A.</v>
          </cell>
          <cell r="G489" t="str">
            <v>Abierto</v>
          </cell>
          <cell r="H489" t="str">
            <v>Santa Rosa 5780</v>
          </cell>
          <cell r="I489" t="str">
            <v>San Joaquín</v>
          </cell>
          <cell r="J489" t="str">
            <v>SIN CONVENIO</v>
          </cell>
        </row>
        <row r="490">
          <cell r="B490">
            <v>3077</v>
          </cell>
          <cell r="C490" t="str">
            <v>ALVI LA PINTANA</v>
          </cell>
          <cell r="D490" t="str">
            <v>RM - Santiago</v>
          </cell>
          <cell r="F490" t="str">
            <v>AGUAS ANDINAS S.A.</v>
          </cell>
          <cell r="G490" t="str">
            <v>Abierto</v>
          </cell>
          <cell r="H490" t="str">
            <v>Santa Rosa 13218</v>
          </cell>
          <cell r="I490" t="str">
            <v>La Pintana</v>
          </cell>
          <cell r="J490" t="str">
            <v>SIN CONVENIO</v>
          </cell>
        </row>
        <row r="491">
          <cell r="B491">
            <v>3078</v>
          </cell>
          <cell r="C491" t="str">
            <v>ALVI VESPUCIO</v>
          </cell>
          <cell r="D491" t="str">
            <v>RM - Santiago</v>
          </cell>
          <cell r="F491" t="str">
            <v>AGUAS ANDINAS S.A.</v>
          </cell>
          <cell r="G491" t="str">
            <v>Abierto</v>
          </cell>
          <cell r="H491" t="str">
            <v>Santa Rosa 9267</v>
          </cell>
          <cell r="I491" t="str">
            <v>San Ramón</v>
          </cell>
          <cell r="J491" t="str">
            <v>SIN CONVENIO</v>
          </cell>
        </row>
        <row r="492">
          <cell r="B492">
            <v>3079</v>
          </cell>
          <cell r="C492" t="str">
            <v>ALVI JJ PEREZ</v>
          </cell>
          <cell r="D492" t="str">
            <v>RM - Santiago</v>
          </cell>
          <cell r="F492" t="str">
            <v>AGUAS ANDINAS S.A.</v>
          </cell>
          <cell r="G492" t="str">
            <v>Abierto</v>
          </cell>
          <cell r="H492" t="str">
            <v>Av. J.J. Perez, N° 6658</v>
          </cell>
          <cell r="I492" t="str">
            <v>Cerro Navia</v>
          </cell>
          <cell r="J492" t="str">
            <v>SIN CONVENIO</v>
          </cell>
        </row>
        <row r="493">
          <cell r="B493">
            <v>3080</v>
          </cell>
          <cell r="C493" t="str">
            <v>ALVI INDEPENDENCIA</v>
          </cell>
          <cell r="D493" t="str">
            <v>RM - Santiago</v>
          </cell>
          <cell r="F493" t="str">
            <v>AGUAS ANDINAS S.A.</v>
          </cell>
          <cell r="G493" t="str">
            <v>Abierto</v>
          </cell>
          <cell r="H493" t="str">
            <v>Independencia 4154</v>
          </cell>
          <cell r="I493" t="str">
            <v>Independencia</v>
          </cell>
          <cell r="J493" t="str">
            <v>SIN CONVENIO</v>
          </cell>
        </row>
        <row r="494">
          <cell r="B494">
            <v>3081</v>
          </cell>
          <cell r="C494" t="str">
            <v>ALVI EL BOSQUE</v>
          </cell>
          <cell r="D494" t="str">
            <v>RM - Santiago</v>
          </cell>
          <cell r="F494" t="str">
            <v>AGUAS ANDINAS S.A.</v>
          </cell>
          <cell r="G494" t="str">
            <v>Abierto</v>
          </cell>
          <cell r="H494" t="str">
            <v>Gran Avenida 13059</v>
          </cell>
          <cell r="I494" t="str">
            <v>El Bosque</v>
          </cell>
          <cell r="J494" t="str">
            <v>SIN CONVENIO</v>
          </cell>
        </row>
        <row r="495">
          <cell r="B495">
            <v>3082</v>
          </cell>
          <cell r="C495" t="str">
            <v>ALVI CONCHA Y TORO</v>
          </cell>
          <cell r="D495" t="str">
            <v>RM - Santiago</v>
          </cell>
          <cell r="F495" t="str">
            <v>AGUAS ANDINAS S.A.</v>
          </cell>
          <cell r="G495" t="str">
            <v>Abierto</v>
          </cell>
          <cell r="H495" t="str">
            <v>Av. Concha Y Toro 3088</v>
          </cell>
          <cell r="I495" t="str">
            <v>Puente Alto</v>
          </cell>
          <cell r="J495" t="str">
            <v>SIN CONVENIO</v>
          </cell>
        </row>
        <row r="496">
          <cell r="B496">
            <v>3083</v>
          </cell>
          <cell r="C496" t="str">
            <v>ALVI MAIPU</v>
          </cell>
          <cell r="D496" t="str">
            <v>RM - Santiago</v>
          </cell>
          <cell r="F496" t="str">
            <v>SMAPA</v>
          </cell>
          <cell r="G496" t="str">
            <v>Abierto</v>
          </cell>
          <cell r="H496" t="str">
            <v>Av. Pajaritos 1637 Y 1613</v>
          </cell>
          <cell r="I496" t="str">
            <v>Maipú</v>
          </cell>
          <cell r="J496" t="str">
            <v>SIN CONVENIO</v>
          </cell>
        </row>
        <row r="497">
          <cell r="B497">
            <v>3084</v>
          </cell>
          <cell r="C497" t="str">
            <v>ALVI PEÑALOLEN</v>
          </cell>
          <cell r="D497" t="str">
            <v>RM - Santiago</v>
          </cell>
          <cell r="F497" t="str">
            <v>AGUAS ANDINAS S.A.</v>
          </cell>
          <cell r="G497" t="str">
            <v>Cerrado</v>
          </cell>
          <cell r="H497" t="str">
            <v>Av. Grecia 7310</v>
          </cell>
          <cell r="I497" t="str">
            <v>Peñalolén</v>
          </cell>
          <cell r="J497" t="str">
            <v>SIN CONVENIO</v>
          </cell>
        </row>
        <row r="498">
          <cell r="B498">
            <v>3085</v>
          </cell>
          <cell r="C498" t="str">
            <v>ALVI BELLOTO</v>
          </cell>
          <cell r="D498" t="str">
            <v>V - Valparaiso</v>
          </cell>
          <cell r="F498" t="str">
            <v>ESVAL S.A.</v>
          </cell>
          <cell r="G498" t="str">
            <v>Abierto</v>
          </cell>
          <cell r="H498" t="str">
            <v>Av. Freire 1515, Camino Troncal</v>
          </cell>
          <cell r="I498" t="str">
            <v>Quilpué</v>
          </cell>
          <cell r="J498" t="str">
            <v>SIN CONVENIO</v>
          </cell>
        </row>
        <row r="499">
          <cell r="B499">
            <v>3086</v>
          </cell>
          <cell r="C499" t="str">
            <v>ALVI TEMUCO</v>
          </cell>
          <cell r="D499" t="str">
            <v>IX - Araucanía</v>
          </cell>
          <cell r="F499" t="str">
            <v>AGUAS ARAUCANIA S A</v>
          </cell>
          <cell r="G499" t="str">
            <v>Abierto</v>
          </cell>
          <cell r="H499" t="str">
            <v>Av. Balmaceda 1531</v>
          </cell>
          <cell r="I499" t="str">
            <v>Temuco</v>
          </cell>
          <cell r="J499" t="str">
            <v>SIN CONVENIO</v>
          </cell>
        </row>
        <row r="500">
          <cell r="B500">
            <v>3087</v>
          </cell>
          <cell r="C500" t="str">
            <v>ALVI TALCA TERMINAL</v>
          </cell>
          <cell r="D500" t="str">
            <v>VII - Maule</v>
          </cell>
          <cell r="F500" t="str">
            <v>NUEVOSUR S.A.</v>
          </cell>
          <cell r="G500" t="str">
            <v>Abierto</v>
          </cell>
          <cell r="H500" t="str">
            <v>1 Sur 1990 (Con 13 Oriente)</v>
          </cell>
          <cell r="I500" t="str">
            <v>Talca</v>
          </cell>
          <cell r="J500" t="str">
            <v>SIN CONVENIO</v>
          </cell>
        </row>
        <row r="501">
          <cell r="B501">
            <v>3088</v>
          </cell>
          <cell r="C501" t="str">
            <v>ALVI PUERTO MONTT</v>
          </cell>
          <cell r="D501" t="str">
            <v>X - Los Lagos</v>
          </cell>
          <cell r="F501" t="str">
            <v>SURALIS</v>
          </cell>
          <cell r="G501" t="str">
            <v>Abierto</v>
          </cell>
          <cell r="H501" t="str">
            <v>Av. Presidente Ibañez 507</v>
          </cell>
          <cell r="I501" t="str">
            <v>Puerto Montt</v>
          </cell>
          <cell r="J501" t="str">
            <v>SIN CONVENIO</v>
          </cell>
        </row>
        <row r="502">
          <cell r="B502">
            <v>3089</v>
          </cell>
          <cell r="C502" t="str">
            <v>ALVI CONCEPCION</v>
          </cell>
          <cell r="D502" t="str">
            <v>VIII - Biobío</v>
          </cell>
          <cell r="F502" t="str">
            <v>ESSBIO S.A.</v>
          </cell>
          <cell r="G502" t="str">
            <v>Abierto</v>
          </cell>
          <cell r="H502" t="str">
            <v>Av. Los Carrera 555 (Esq. Caupolican)</v>
          </cell>
          <cell r="I502" t="str">
            <v>Concepción</v>
          </cell>
          <cell r="J502" t="str">
            <v>SIN CONVENIO</v>
          </cell>
        </row>
        <row r="503">
          <cell r="B503">
            <v>3090</v>
          </cell>
          <cell r="C503" t="str">
            <v>ALVI QUILICURA</v>
          </cell>
          <cell r="D503" t="str">
            <v>RM - Santiago</v>
          </cell>
          <cell r="F503" t="str">
            <v>AGUAS ANDINAS S.A.</v>
          </cell>
          <cell r="G503" t="str">
            <v>Abierto</v>
          </cell>
          <cell r="H503" t="str">
            <v>Av. San Martin 030</v>
          </cell>
          <cell r="I503" t="str">
            <v>Quilicura</v>
          </cell>
          <cell r="J503" t="str">
            <v>SIN CONVENIO</v>
          </cell>
        </row>
        <row r="504">
          <cell r="B504">
            <v>3091</v>
          </cell>
          <cell r="C504" t="str">
            <v>ALVI CHILLAN</v>
          </cell>
          <cell r="D504" t="str">
            <v>XVI - Ñuble</v>
          </cell>
          <cell r="F504" t="str">
            <v>ESSBIO S.A.</v>
          </cell>
          <cell r="G504" t="str">
            <v>Abierto</v>
          </cell>
          <cell r="H504" t="str">
            <v>Isabel Riquelme 1001 (Cocharcas 852)</v>
          </cell>
          <cell r="I504" t="str">
            <v>Chillán</v>
          </cell>
          <cell r="J504" t="str">
            <v>SIN CONVENIO</v>
          </cell>
        </row>
        <row r="505">
          <cell r="B505">
            <v>3092</v>
          </cell>
          <cell r="C505" t="str">
            <v>ALVI PAJARITOS</v>
          </cell>
          <cell r="D505" t="str">
            <v>RM - Santiago</v>
          </cell>
          <cell r="F505" t="str">
            <v>SMAPA</v>
          </cell>
          <cell r="G505" t="str">
            <v>Abierto</v>
          </cell>
          <cell r="H505" t="str">
            <v>Pajaritos 5100</v>
          </cell>
          <cell r="I505" t="str">
            <v>Maipú</v>
          </cell>
          <cell r="J505" t="str">
            <v>SIN CONVENIO</v>
          </cell>
        </row>
        <row r="506">
          <cell r="B506">
            <v>3093</v>
          </cell>
          <cell r="C506" t="str">
            <v>ALVI COQUIMBO</v>
          </cell>
          <cell r="D506" t="str">
            <v>IV - Coquimbo</v>
          </cell>
          <cell r="F506" t="str">
            <v>AGUAS DEL VALLE S A</v>
          </cell>
          <cell r="G506" t="str">
            <v>Abierto</v>
          </cell>
          <cell r="H506" t="str">
            <v>Juan Antonio Rìos 1165</v>
          </cell>
          <cell r="I506" t="str">
            <v>Coquimbo</v>
          </cell>
          <cell r="J506" t="str">
            <v>SIN CONVENIO</v>
          </cell>
        </row>
        <row r="507">
          <cell r="B507">
            <v>3094</v>
          </cell>
          <cell r="C507" t="str">
            <v>ALVI RANCAGUA</v>
          </cell>
          <cell r="D507" t="str">
            <v>VI - O'Higgins</v>
          </cell>
          <cell r="F507" t="str">
            <v>ESSBIO S.A.</v>
          </cell>
          <cell r="G507" t="str">
            <v>Abierto</v>
          </cell>
          <cell r="H507" t="str">
            <v>Bombero Ruidiaz 040</v>
          </cell>
          <cell r="I507" t="str">
            <v>Rancagua</v>
          </cell>
          <cell r="J507" t="str">
            <v>SIN CONVENIO</v>
          </cell>
        </row>
        <row r="508">
          <cell r="B508">
            <v>3095</v>
          </cell>
          <cell r="C508" t="str">
            <v>ALVI TALCA MERCADO</v>
          </cell>
          <cell r="D508" t="str">
            <v>VII - Maule</v>
          </cell>
          <cell r="F508" t="str">
            <v>NUEVOSUR S.A.</v>
          </cell>
          <cell r="G508" t="str">
            <v>Cerrado</v>
          </cell>
          <cell r="H508" t="str">
            <v>Av. 11 Oriente 1550</v>
          </cell>
          <cell r="I508" t="str">
            <v>Talca</v>
          </cell>
          <cell r="J508" t="str">
            <v>SIN CONVENIO</v>
          </cell>
        </row>
        <row r="509">
          <cell r="B509">
            <v>3096</v>
          </cell>
          <cell r="C509" t="str">
            <v>ALVI LOS ANGELES</v>
          </cell>
          <cell r="D509" t="str">
            <v>VIII - Biobío</v>
          </cell>
          <cell r="F509" t="str">
            <v>ESSBIO S.A.</v>
          </cell>
          <cell r="G509" t="str">
            <v>Abierto</v>
          </cell>
          <cell r="H509" t="str">
            <v>Villagran 471</v>
          </cell>
          <cell r="I509" t="str">
            <v>Los Angeles</v>
          </cell>
          <cell r="J509" t="str">
            <v>SIN CONVENIO</v>
          </cell>
        </row>
        <row r="510">
          <cell r="B510">
            <v>3097</v>
          </cell>
          <cell r="C510" t="str">
            <v>ALVI LO PRADO</v>
          </cell>
          <cell r="D510" t="str">
            <v>RM - Santiago</v>
          </cell>
          <cell r="F510" t="str">
            <v>AGUAS ANDINAS S.A.</v>
          </cell>
          <cell r="G510" t="str">
            <v>Abierto</v>
          </cell>
          <cell r="H510" t="str">
            <v>Av. San Pablo 5660</v>
          </cell>
          <cell r="I510" t="str">
            <v>Lo Prado</v>
          </cell>
          <cell r="J510" t="str">
            <v>SIN CONVENIO</v>
          </cell>
        </row>
        <row r="511">
          <cell r="B511">
            <v>3098</v>
          </cell>
          <cell r="C511" t="str">
            <v>ALVI LAS CONDES</v>
          </cell>
          <cell r="D511" t="str">
            <v>RM - Santiago</v>
          </cell>
          <cell r="F511" t="str">
            <v>AGUAS CORDILLERA S.A.</v>
          </cell>
          <cell r="G511" t="str">
            <v>Abierto</v>
          </cell>
          <cell r="H511" t="str">
            <v>Av. Las Condes 11097</v>
          </cell>
          <cell r="I511" t="str">
            <v>Las Condes</v>
          </cell>
          <cell r="J511" t="str">
            <v>SIN CONVENIO</v>
          </cell>
        </row>
        <row r="512">
          <cell r="B512">
            <v>3099</v>
          </cell>
          <cell r="C512" t="str">
            <v>ALVI VALPARAISO</v>
          </cell>
          <cell r="D512" t="str">
            <v>V - Valparaiso</v>
          </cell>
          <cell r="F512" t="str">
            <v>ESVAL S.A.</v>
          </cell>
          <cell r="G512" t="str">
            <v>Abierto</v>
          </cell>
          <cell r="H512" t="str">
            <v>Yungay 2626</v>
          </cell>
          <cell r="I512" t="str">
            <v>Valparaíso</v>
          </cell>
          <cell r="J512" t="str">
            <v>SIN CONVENIO</v>
          </cell>
        </row>
        <row r="513">
          <cell r="B513">
            <v>3100</v>
          </cell>
          <cell r="C513" t="str">
            <v>ALVI SANTA CRUZ</v>
          </cell>
          <cell r="D513" t="str">
            <v>VI - O'Higgins</v>
          </cell>
          <cell r="F513" t="str">
            <v>ESSBIO S.A.</v>
          </cell>
          <cell r="G513" t="str">
            <v>Cerrado</v>
          </cell>
          <cell r="H513" t="str">
            <v>Ramon Sanfurgo 190</v>
          </cell>
          <cell r="I513" t="str">
            <v>Santa Cruz</v>
          </cell>
          <cell r="J513" t="str">
            <v>SIN CONVENIO</v>
          </cell>
        </row>
        <row r="514">
          <cell r="B514">
            <v>3135</v>
          </cell>
          <cell r="C514" t="str">
            <v>M10 LO BARNECHEA</v>
          </cell>
          <cell r="D514" t="str">
            <v>RM - Santiago</v>
          </cell>
          <cell r="F514" t="str">
            <v>AGUAS ANDINAS S.A.</v>
          </cell>
          <cell r="G514" t="str">
            <v>Cerrado</v>
          </cell>
          <cell r="H514" t="str">
            <v>Lo Barnechea 1393</v>
          </cell>
          <cell r="I514" t="str">
            <v>Lo Barnechea</v>
          </cell>
          <cell r="J514" t="str">
            <v>SIN CONVENIO</v>
          </cell>
        </row>
        <row r="515">
          <cell r="B515">
            <v>3143</v>
          </cell>
          <cell r="C515" t="str">
            <v>M10 TEMUCO IV</v>
          </cell>
          <cell r="D515" t="str">
            <v>IX - Araucanía</v>
          </cell>
          <cell r="E515">
            <v>4422</v>
          </cell>
          <cell r="F515" t="str">
            <v>AGUAS ARAUCANIA S A</v>
          </cell>
          <cell r="G515" t="str">
            <v>Abierto</v>
          </cell>
          <cell r="H515" t="str">
            <v>Francisco Salazar 01650</v>
          </cell>
          <cell r="I515" t="str">
            <v>Temuco</v>
          </cell>
          <cell r="J515" t="str">
            <v>CONVENIO</v>
          </cell>
        </row>
        <row r="516">
          <cell r="B516">
            <v>3159</v>
          </cell>
          <cell r="C516" t="str">
            <v>ALVI RANCAGUA II</v>
          </cell>
          <cell r="D516" t="str">
            <v>VI - O'Higgins</v>
          </cell>
          <cell r="F516" t="str">
            <v>ESSBIO S.A.</v>
          </cell>
          <cell r="G516" t="str">
            <v>Cerrado</v>
          </cell>
          <cell r="H516" t="str">
            <v>Calle Jose Victorino Lastarria 712</v>
          </cell>
          <cell r="I516" t="str">
            <v>Rancagua</v>
          </cell>
          <cell r="J516" t="str">
            <v>SIN CONVENIO</v>
          </cell>
        </row>
        <row r="517">
          <cell r="B517">
            <v>3160</v>
          </cell>
          <cell r="C517" t="str">
            <v>M10 MAIPU III</v>
          </cell>
          <cell r="D517" t="str">
            <v>RM - Santiago</v>
          </cell>
          <cell r="F517" t="str">
            <v>SMAPA</v>
          </cell>
          <cell r="G517" t="str">
            <v>Abierto</v>
          </cell>
          <cell r="H517" t="str">
            <v>Camino A Melipilla  N° 18300</v>
          </cell>
          <cell r="I517" t="str">
            <v>Maipú</v>
          </cell>
          <cell r="J517" t="str">
            <v>SIN CONVENIO</v>
          </cell>
        </row>
        <row r="518">
          <cell r="B518">
            <v>3161</v>
          </cell>
          <cell r="C518" t="str">
            <v>M10 PEÑALOLEN</v>
          </cell>
          <cell r="D518" t="str">
            <v>RM - Santiago</v>
          </cell>
          <cell r="F518" t="str">
            <v>AGUAS ANDINAS S.A.</v>
          </cell>
          <cell r="G518" t="str">
            <v>Cerrado</v>
          </cell>
          <cell r="H518" t="str">
            <v>Av. Tobalaba 11835</v>
          </cell>
          <cell r="I518" t="str">
            <v>Peñalolén</v>
          </cell>
          <cell r="J518" t="str">
            <v>SIN CONVENIO</v>
          </cell>
        </row>
        <row r="519">
          <cell r="B519">
            <v>3162</v>
          </cell>
          <cell r="C519" t="str">
            <v>M10 PUENTE ALTO ll</v>
          </cell>
          <cell r="D519" t="str">
            <v>RM - Santiago</v>
          </cell>
          <cell r="F519" t="str">
            <v>AGUAS ANDINAS S.A.</v>
          </cell>
          <cell r="G519" t="str">
            <v>Abierto</v>
          </cell>
          <cell r="H519" t="str">
            <v>Av. Concha Y Toro Nº 4115 </v>
          </cell>
          <cell r="I519" t="str">
            <v>Puente Alto</v>
          </cell>
          <cell r="J519" t="str">
            <v>SIN CONVENIO</v>
          </cell>
        </row>
        <row r="520">
          <cell r="B520">
            <v>3163</v>
          </cell>
          <cell r="C520" t="str">
            <v>M10 CAÑETE</v>
          </cell>
          <cell r="D520" t="str">
            <v>VIII - Biobío</v>
          </cell>
          <cell r="F520" t="str">
            <v>ESSBIO S.A.</v>
          </cell>
          <cell r="G520" t="str">
            <v>Abierto</v>
          </cell>
          <cell r="H520" t="str">
            <v>Saavedra 955</v>
          </cell>
          <cell r="I520" t="str">
            <v>Cañete</v>
          </cell>
          <cell r="J520" t="str">
            <v>SIN CONVENIO</v>
          </cell>
        </row>
        <row r="521">
          <cell r="B521">
            <v>3164</v>
          </cell>
          <cell r="C521" t="str">
            <v>M10 CONCEPCION</v>
          </cell>
          <cell r="D521" t="str">
            <v>VIII - Biobío</v>
          </cell>
          <cell r="F521" t="str">
            <v>ESSBIO S.A.</v>
          </cell>
          <cell r="G521" t="str">
            <v>Abierto</v>
          </cell>
          <cell r="H521" t="str">
            <v>Los Carreras N° 637</v>
          </cell>
          <cell r="I521" t="str">
            <v>Concepción</v>
          </cell>
          <cell r="J521" t="str">
            <v>SIN CONVENIO</v>
          </cell>
        </row>
        <row r="522">
          <cell r="B522">
            <v>3165</v>
          </cell>
          <cell r="C522" t="str">
            <v>M10 CONCEPCION II</v>
          </cell>
          <cell r="D522" t="str">
            <v>VIII - Biobío</v>
          </cell>
          <cell r="F522" t="str">
            <v>ESSBIO S.A.</v>
          </cell>
          <cell r="G522" t="str">
            <v>Cerrado</v>
          </cell>
          <cell r="H522" t="str">
            <v>Prat  71</v>
          </cell>
          <cell r="I522" t="str">
            <v>Concepción</v>
          </cell>
          <cell r="J522" t="str">
            <v>SIN CONVENIO</v>
          </cell>
        </row>
        <row r="523">
          <cell r="B523">
            <v>3166</v>
          </cell>
          <cell r="C523" t="str">
            <v>M10 HUALPEN II</v>
          </cell>
          <cell r="D523" t="str">
            <v>VIII - Biobío</v>
          </cell>
          <cell r="F523" t="str">
            <v>ESSBIO S.A.</v>
          </cell>
          <cell r="G523" t="str">
            <v>Abierto</v>
          </cell>
          <cell r="H523" t="str">
            <v>Nueva Imperial 113</v>
          </cell>
          <cell r="I523" t="str">
            <v>Hualpén</v>
          </cell>
          <cell r="J523" t="str">
            <v>SIN CONVENIO</v>
          </cell>
        </row>
        <row r="524">
          <cell r="B524">
            <v>3167</v>
          </cell>
          <cell r="C524" t="str">
            <v>M10 TOME</v>
          </cell>
          <cell r="D524" t="str">
            <v>VIII - Biobío</v>
          </cell>
          <cell r="F524" t="str">
            <v>ESSBIO S.A.</v>
          </cell>
          <cell r="G524" t="str">
            <v>Abierto</v>
          </cell>
          <cell r="H524" t="str">
            <v>Ignacio Serrano 908</v>
          </cell>
          <cell r="I524" t="str">
            <v>Tomé</v>
          </cell>
          <cell r="J524" t="str">
            <v>SIN CONVENIO</v>
          </cell>
        </row>
        <row r="525">
          <cell r="B525">
            <v>3168</v>
          </cell>
          <cell r="C525" t="str">
            <v>M10 TEMUCO V</v>
          </cell>
          <cell r="D525" t="str">
            <v>IX - Araucanía</v>
          </cell>
          <cell r="F525" t="str">
            <v>AGUAS ARAUCANIA S A</v>
          </cell>
          <cell r="G525" t="str">
            <v>Abierto</v>
          </cell>
          <cell r="H525" t="str">
            <v>Miraflores 1230</v>
          </cell>
          <cell r="I525" t="str">
            <v>Temuco</v>
          </cell>
          <cell r="J525" t="str">
            <v>SIN CONVENIO</v>
          </cell>
        </row>
        <row r="526">
          <cell r="B526">
            <v>3169</v>
          </cell>
          <cell r="C526" t="str">
            <v>M10 LINARES</v>
          </cell>
          <cell r="D526" t="str">
            <v>VII - Maule</v>
          </cell>
          <cell r="F526" t="str">
            <v>NUEVOSUR S.A.</v>
          </cell>
          <cell r="G526" t="str">
            <v>Abierto</v>
          </cell>
          <cell r="H526" t="str">
            <v>Av. Brasil 646-648</v>
          </cell>
          <cell r="I526" t="str">
            <v>Linares</v>
          </cell>
          <cell r="J526" t="str">
            <v>SIN CONVENIO</v>
          </cell>
        </row>
        <row r="527">
          <cell r="B527">
            <v>3170</v>
          </cell>
          <cell r="C527" t="str">
            <v>M10 21 DE MAYO</v>
          </cell>
          <cell r="D527" t="str">
            <v>RM - Santiago</v>
          </cell>
          <cell r="F527" t="str">
            <v>AGUAS ANDINAS S.A.</v>
          </cell>
          <cell r="G527" t="str">
            <v>Abierto</v>
          </cell>
          <cell r="H527" t="str">
            <v>21 De Mayo 819</v>
          </cell>
          <cell r="I527" t="str">
            <v>Puente Alto</v>
          </cell>
          <cell r="J527" t="str">
            <v>SIN CONVENIO</v>
          </cell>
        </row>
        <row r="528">
          <cell r="B528">
            <v>3171</v>
          </cell>
          <cell r="C528" t="str">
            <v>ALVI PUERTO MONTT II</v>
          </cell>
          <cell r="D528" t="str">
            <v>X - Los Lagos</v>
          </cell>
          <cell r="F528" t="str">
            <v>SURALIS</v>
          </cell>
          <cell r="G528" t="str">
            <v>Cerrado</v>
          </cell>
          <cell r="H528" t="str">
            <v>Presidente Ibañez 316</v>
          </cell>
          <cell r="I528" t="str">
            <v>Puerto Montt</v>
          </cell>
          <cell r="J528" t="str">
            <v>SIN CONVENIO</v>
          </cell>
        </row>
        <row r="529">
          <cell r="B529">
            <v>3172</v>
          </cell>
          <cell r="C529" t="str">
            <v>ALVI OSORNO</v>
          </cell>
          <cell r="D529" t="str">
            <v>X - Los Lagos</v>
          </cell>
          <cell r="F529" t="str">
            <v>SURALIS</v>
          </cell>
          <cell r="G529" t="str">
            <v>Abierto</v>
          </cell>
          <cell r="H529" t="str">
            <v>Chillan 637</v>
          </cell>
          <cell r="I529" t="str">
            <v>Osorno</v>
          </cell>
          <cell r="J529" t="str">
            <v>SIN CONVENIO</v>
          </cell>
        </row>
        <row r="530">
          <cell r="B530">
            <v>3173</v>
          </cell>
          <cell r="C530" t="str">
            <v>M10 PUDAHUEL</v>
          </cell>
          <cell r="D530" t="str">
            <v>RM - Santiago</v>
          </cell>
          <cell r="F530" t="str">
            <v>AGUAS ANDINAS S.A.</v>
          </cell>
          <cell r="G530" t="str">
            <v>Proyecto</v>
          </cell>
          <cell r="H530" t="str">
            <v/>
          </cell>
          <cell r="I530" t="str">
            <v>Pudahuel</v>
          </cell>
          <cell r="J530" t="str">
            <v>SIN CONVENIO</v>
          </cell>
        </row>
        <row r="531">
          <cell r="B531">
            <v>3174</v>
          </cell>
          <cell r="C531" t="str">
            <v>M10 DOCTOR SALINA</v>
          </cell>
          <cell r="D531" t="str">
            <v>VI - O'Higgins</v>
          </cell>
          <cell r="F531" t="str">
            <v>ESSBIO S.A.</v>
          </cell>
          <cell r="G531" t="str">
            <v>Proyecto</v>
          </cell>
          <cell r="H531" t="str">
            <v>DOCTOR SALINAS  1101</v>
          </cell>
          <cell r="I531" t="str">
            <v>Rancagua</v>
          </cell>
          <cell r="J531" t="str">
            <v>SIN CONVENIO</v>
          </cell>
        </row>
        <row r="532">
          <cell r="B532">
            <v>3176</v>
          </cell>
          <cell r="C532" t="str">
            <v>M10 CERRO NAVIA</v>
          </cell>
          <cell r="D532" t="str">
            <v>RM - Santiago</v>
          </cell>
          <cell r="F532" t="str">
            <v>AGUAS ANDINAS S.A.</v>
          </cell>
          <cell r="G532" t="str">
            <v>Proyecto</v>
          </cell>
          <cell r="H532" t="str">
            <v>JOSE JOAQUIN PEREZ 8045</v>
          </cell>
          <cell r="I532" t="str">
            <v>Cerro Navia</v>
          </cell>
          <cell r="J532" t="str">
            <v>SIN CONVENIO</v>
          </cell>
        </row>
        <row r="533">
          <cell r="B533">
            <v>3177</v>
          </cell>
          <cell r="C533" t="str">
            <v>M10 TEMUCO VI</v>
          </cell>
          <cell r="D533" t="str">
            <v>IX - Araucanía</v>
          </cell>
          <cell r="F533" t="str">
            <v>AGUAS ARAUCANIA S A</v>
          </cell>
          <cell r="G533" t="str">
            <v>Proyecto</v>
          </cell>
          <cell r="H533" t="str">
            <v>TEMUCO HUERFANOS</v>
          </cell>
          <cell r="I533" t="str">
            <v>Padre Las Casas</v>
          </cell>
          <cell r="J533" t="str">
            <v>SIN CONVENIO</v>
          </cell>
        </row>
        <row r="534">
          <cell r="B534">
            <v>3178</v>
          </cell>
          <cell r="C534" t="str">
            <v>M10 QUILICURA</v>
          </cell>
          <cell r="D534" t="str">
            <v>RM - Santiago</v>
          </cell>
          <cell r="F534" t="str">
            <v>AGUAS ANDINAS S.A.</v>
          </cell>
          <cell r="G534" t="str">
            <v>Proyecto</v>
          </cell>
          <cell r="H534" t="str">
            <v>AVDA MANUEL ANTONIO MATTA  876</v>
          </cell>
          <cell r="I534" t="str">
            <v>Quilicura</v>
          </cell>
          <cell r="J534" t="str">
            <v>SIN CONVENIO</v>
          </cell>
        </row>
        <row r="535">
          <cell r="B535">
            <v>3179</v>
          </cell>
          <cell r="C535" t="str">
            <v>M10 PUENTE ALTO</v>
          </cell>
          <cell r="D535" t="str">
            <v>RM - Santiago</v>
          </cell>
          <cell r="F535" t="str">
            <v>AGUAS ANDINAS S.A.</v>
          </cell>
          <cell r="G535" t="str">
            <v>Proyecto</v>
          </cell>
          <cell r="H535" t="str">
            <v>Av Concha y Toro 1184</v>
          </cell>
          <cell r="I535" t="str">
            <v>Puente Alto</v>
          </cell>
          <cell r="J535" t="str">
            <v>SIN CONVENIO</v>
          </cell>
        </row>
        <row r="536">
          <cell r="B536">
            <v>3180</v>
          </cell>
          <cell r="C536" t="str">
            <v>ALVI TALAGANTE 21 DE MAYO</v>
          </cell>
          <cell r="D536" t="str">
            <v>RM - Santiago</v>
          </cell>
          <cell r="F536" t="str">
            <v>AGUAS ANDINAS S.A.</v>
          </cell>
          <cell r="G536" t="str">
            <v>Abierto</v>
          </cell>
          <cell r="H536" t="str">
            <v>21 de Mayo 1081</v>
          </cell>
          <cell r="I536" t="str">
            <v>Talagante</v>
          </cell>
          <cell r="J536" t="str">
            <v>SIN CONVENIO</v>
          </cell>
        </row>
        <row r="537">
          <cell r="B537">
            <v>3181</v>
          </cell>
          <cell r="C537" t="str">
            <v>ALVI TTE. CRUZ</v>
          </cell>
          <cell r="D537" t="str">
            <v>RM - Santiago</v>
          </cell>
          <cell r="F537" t="str">
            <v>AGUAS ANDINAS S.A.</v>
          </cell>
          <cell r="G537" t="str">
            <v>Abierto</v>
          </cell>
          <cell r="H537" t="str">
            <v>Teniente Cruz 570</v>
          </cell>
          <cell r="I537" t="str">
            <v>Pudahuel</v>
          </cell>
          <cell r="J537" t="str">
            <v>SIN CONVENIO</v>
          </cell>
        </row>
        <row r="538">
          <cell r="B538">
            <v>3182</v>
          </cell>
          <cell r="C538" t="str">
            <v>ALVI QUILLOTA 21 DE MAYO</v>
          </cell>
          <cell r="D538" t="str">
            <v>V - Valparaiso</v>
          </cell>
          <cell r="F538" t="str">
            <v>ESVAL S.A.</v>
          </cell>
          <cell r="G538" t="str">
            <v>Proyecto</v>
          </cell>
          <cell r="H538" t="str">
            <v>AVDA 21 DE MAYO 131-135</v>
          </cell>
          <cell r="I538" t="str">
            <v>Quillota</v>
          </cell>
          <cell r="J538" t="str">
            <v>SIN CONVENIO</v>
          </cell>
        </row>
        <row r="539">
          <cell r="B539">
            <v>3183</v>
          </cell>
          <cell r="C539" t="str">
            <v>ALVI SAN BERNARDO</v>
          </cell>
          <cell r="D539" t="str">
            <v>RM - Santiago</v>
          </cell>
          <cell r="F539" t="str">
            <v>AGUAS ANDINAS S.A.</v>
          </cell>
          <cell r="G539" t="str">
            <v>Cerrado</v>
          </cell>
          <cell r="H539" t="str">
            <v>Padre Hurtado N 14829 - 14589</v>
          </cell>
          <cell r="I539" t="str">
            <v>San Bernardo</v>
          </cell>
          <cell r="J539" t="str">
            <v>SIN CONVENIO</v>
          </cell>
        </row>
        <row r="540">
          <cell r="B540">
            <v>3184</v>
          </cell>
          <cell r="C540" t="str">
            <v>ALVI ALTO HOSPICIO</v>
          </cell>
          <cell r="D540" t="str">
            <v>I - Tarapacá</v>
          </cell>
          <cell r="F540" t="str">
            <v>AGUAS DEL ALTIPLANO S.A.</v>
          </cell>
          <cell r="G540" t="str">
            <v>Cerrado</v>
          </cell>
          <cell r="H540" t="str">
            <v>Ramon Perez 3195</v>
          </cell>
          <cell r="I540" t="str">
            <v>Alto Hospicio</v>
          </cell>
          <cell r="J540" t="str">
            <v>SIN CONVENIO</v>
          </cell>
        </row>
        <row r="541">
          <cell r="B541">
            <v>3187</v>
          </cell>
          <cell r="C541" t="str">
            <v>ALVI TALCA ALAMEDA</v>
          </cell>
          <cell r="D541" t="str">
            <v>VII - Maule</v>
          </cell>
          <cell r="F541" t="str">
            <v>NUEVOSUR S.A.</v>
          </cell>
          <cell r="G541" t="str">
            <v>Abierto</v>
          </cell>
          <cell r="H541" t="str">
            <v>3 1/2 Norte 1749</v>
          </cell>
          <cell r="I541" t="str">
            <v>Talca</v>
          </cell>
          <cell r="J541" t="str">
            <v>SIN CONVENIO</v>
          </cell>
        </row>
        <row r="542">
          <cell r="B542">
            <v>3198</v>
          </cell>
          <cell r="C542" t="str">
            <v>ALVI LAS PALMAS</v>
          </cell>
          <cell r="D542" t="str">
            <v>VII - Maule</v>
          </cell>
          <cell r="F542" t="str">
            <v>NUEVOSUR S.A.</v>
          </cell>
          <cell r="G542" t="str">
            <v>Cerrado</v>
          </cell>
          <cell r="H542" t="str">
            <v>Ruta Rauquen Km 185</v>
          </cell>
          <cell r="I542" t="str">
            <v>Curicó</v>
          </cell>
          <cell r="J542" t="str">
            <v>SIN CONVENIO</v>
          </cell>
        </row>
        <row r="543">
          <cell r="B543">
            <v>3199</v>
          </cell>
          <cell r="C543" t="str">
            <v>ALVI CAJAS</v>
          </cell>
          <cell r="D543" t="str">
            <v>RM - Santiago</v>
          </cell>
          <cell r="F543" t="str">
            <v>SMAPA</v>
          </cell>
          <cell r="G543" t="str">
            <v>Cerrado</v>
          </cell>
          <cell r="H543" t="str">
            <v/>
          </cell>
          <cell r="I543" t="str">
            <v/>
          </cell>
          <cell r="J543" t="str">
            <v>SIN CONVENIO</v>
          </cell>
        </row>
        <row r="544">
          <cell r="B544">
            <v>3501</v>
          </cell>
          <cell r="C544" t="str">
            <v>S10 LA TRAVESÍA</v>
          </cell>
          <cell r="D544" t="str">
            <v>RM - Santiago</v>
          </cell>
          <cell r="F544" t="str">
            <v>AGUAS ANDINAS S.A.</v>
          </cell>
          <cell r="G544" t="str">
            <v>Abierto</v>
          </cell>
          <cell r="H544" t="str">
            <v>Diagonal Teniente Cruz 530</v>
          </cell>
          <cell r="I544" t="str">
            <v>Pudahuel</v>
          </cell>
          <cell r="J544" t="str">
            <v>SIN CONVENIO</v>
          </cell>
        </row>
        <row r="545">
          <cell r="B545">
            <v>3502</v>
          </cell>
          <cell r="C545" t="str">
            <v>S10 GABRIELA</v>
          </cell>
          <cell r="D545" t="str">
            <v>RM - Santiago</v>
          </cell>
          <cell r="F545" t="str">
            <v>AGUAS ANDINAS S.A.</v>
          </cell>
          <cell r="G545" t="str">
            <v>Abierto</v>
          </cell>
          <cell r="H545" t="str">
            <v>Av. Gabriela Oriente 0651</v>
          </cell>
          <cell r="I545" t="str">
            <v>Puente Alto</v>
          </cell>
          <cell r="J545" t="str">
            <v>SIN CONVENIO</v>
          </cell>
        </row>
        <row r="546">
          <cell r="B546">
            <v>3503</v>
          </cell>
          <cell r="C546" t="str">
            <v>S10 PORTALES</v>
          </cell>
          <cell r="D546" t="str">
            <v>RM - Santiago</v>
          </cell>
          <cell r="F546" t="str">
            <v>AGUAS ANDINAS S.A.</v>
          </cell>
          <cell r="G546" t="str">
            <v>Abierto</v>
          </cell>
          <cell r="H546" t="str">
            <v>Av. Portales Oriente 1701</v>
          </cell>
          <cell r="I546" t="str">
            <v>San Bernardo</v>
          </cell>
          <cell r="J546" t="str">
            <v>SIN CONVENIO</v>
          </cell>
        </row>
        <row r="547">
          <cell r="B547">
            <v>3504</v>
          </cell>
          <cell r="C547" t="str">
            <v>S10 RANCAGUA III</v>
          </cell>
          <cell r="D547" t="str">
            <v>VI - O'Higgins</v>
          </cell>
          <cell r="F547" t="str">
            <v>ESSBIO S.A.</v>
          </cell>
          <cell r="G547" t="str">
            <v>Abierto</v>
          </cell>
          <cell r="H547" t="str">
            <v>Av. Brasil 1064</v>
          </cell>
          <cell r="I547" t="str">
            <v>Rancagua</v>
          </cell>
          <cell r="J547" t="str">
            <v>SIN CONVENIO</v>
          </cell>
        </row>
        <row r="548">
          <cell r="B548">
            <v>3508</v>
          </cell>
          <cell r="C548" t="str">
            <v>S10 GRAN AVENIDA</v>
          </cell>
          <cell r="D548" t="str">
            <v>RM - Santiago</v>
          </cell>
          <cell r="F548" t="str">
            <v>AGUAS ANDINAS S.A.</v>
          </cell>
          <cell r="G548" t="str">
            <v>Abierto</v>
          </cell>
          <cell r="H548" t="str">
            <v>Gran Avenida 6060</v>
          </cell>
          <cell r="I548" t="str">
            <v>San Miguel</v>
          </cell>
          <cell r="J548" t="str">
            <v>SIN CONVENIO</v>
          </cell>
        </row>
        <row r="549">
          <cell r="B549">
            <v>3999</v>
          </cell>
          <cell r="C549" t="str">
            <v>M10 DIS CAJAS</v>
          </cell>
          <cell r="D549" t="str">
            <v>RM - Santiago</v>
          </cell>
          <cell r="F549" t="str">
            <v>AGUAS ANDINAS S.A.</v>
          </cell>
          <cell r="G549" t="str">
            <v>Cerrado</v>
          </cell>
          <cell r="H549" t="str">
            <v/>
          </cell>
          <cell r="I549" t="str">
            <v/>
          </cell>
          <cell r="J549" t="str">
            <v>SIN CONVENIO</v>
          </cell>
        </row>
        <row r="550">
          <cell r="B550">
            <v>8040</v>
          </cell>
          <cell r="C550" t="str">
            <v>ECOS CAPACITACIÓN</v>
          </cell>
          <cell r="D550" t="str">
            <v>RM - Santiago</v>
          </cell>
          <cell r="F550" t="str">
            <v>AGUAS ANDINAS S.A.</v>
          </cell>
          <cell r="G550" t="str">
            <v>Abierto</v>
          </cell>
          <cell r="J550" t="str">
            <v>SIN CONVENIO</v>
          </cell>
        </row>
        <row r="551">
          <cell r="B551">
            <v>9003</v>
          </cell>
          <cell r="C551" t="str">
            <v>CENTROS PRODUCCION CONCEPCION</v>
          </cell>
          <cell r="D551" t="str">
            <v>VIII - Biobío</v>
          </cell>
          <cell r="F551" t="str">
            <v>ESSBIO S.A.</v>
          </cell>
          <cell r="G551" t="str">
            <v>Cerrado</v>
          </cell>
          <cell r="H551" t="str">
            <v>COLÓN 7948</v>
          </cell>
          <cell r="I551" t="str">
            <v>Hualpén</v>
          </cell>
          <cell r="J551" t="str">
            <v>SIN CONVENIO</v>
          </cell>
        </row>
        <row r="552">
          <cell r="B552">
            <v>9004</v>
          </cell>
          <cell r="C552" t="str">
            <v>CENTRO PRODUCTIVO IQUIQUE</v>
          </cell>
          <cell r="D552" t="str">
            <v>I - Tarapacá</v>
          </cell>
          <cell r="F552" t="str">
            <v>AGUAS DEL ALTIPLANO S.A.</v>
          </cell>
          <cell r="G552" t="str">
            <v>Abierto</v>
          </cell>
          <cell r="H552" t="str">
            <v>Fco.Bilbao 3545</v>
          </cell>
          <cell r="I552" t="str">
            <v>Iquique</v>
          </cell>
          <cell r="J552" t="str">
            <v>SIN CONVENIO</v>
          </cell>
        </row>
        <row r="553">
          <cell r="B553">
            <v>9006</v>
          </cell>
          <cell r="C553" t="str">
            <v>CENTROS PRODUCCION TEMUCO</v>
          </cell>
          <cell r="D553" t="str">
            <v>IX - Araucanía</v>
          </cell>
          <cell r="F553" t="str">
            <v>AGUAS ARAUCANIA S A</v>
          </cell>
          <cell r="G553" t="str">
            <v>Cerrado</v>
          </cell>
          <cell r="H553" t="str">
            <v>FRANCISCO SALAZAR 01650</v>
          </cell>
          <cell r="I553" t="str">
            <v>Temuco</v>
          </cell>
          <cell r="J553" t="str">
            <v>SIN CONVENIO</v>
          </cell>
        </row>
        <row r="554">
          <cell r="B554">
            <v>9010</v>
          </cell>
          <cell r="C554" t="str">
            <v>CENTROS PRODUCCION VIC.MACKENNA</v>
          </cell>
          <cell r="D554" t="str">
            <v>RM - Santiago</v>
          </cell>
          <cell r="F554" t="str">
            <v>AGUAS ANDINAS S.A.</v>
          </cell>
          <cell r="G554" t="str">
            <v>Cerrado</v>
          </cell>
          <cell r="H554" t="str">
            <v>VICUÑA MACKENNA 6320</v>
          </cell>
          <cell r="I554" t="str">
            <v>La Florida</v>
          </cell>
          <cell r="J554" t="str">
            <v>SIN CONVENIO</v>
          </cell>
        </row>
        <row r="555">
          <cell r="B555">
            <v>9016</v>
          </cell>
          <cell r="C555" t="str">
            <v>CENTROS PRODUCCION CARACOL</v>
          </cell>
          <cell r="D555" t="str">
            <v>VIII - Biobío</v>
          </cell>
          <cell r="F555" t="str">
            <v>ESSBIO S.A.</v>
          </cell>
          <cell r="G555" t="str">
            <v>Cerrado</v>
          </cell>
          <cell r="H555" t="str">
            <v>IGNACIO SERRANO 980</v>
          </cell>
          <cell r="I555" t="str">
            <v>Tomé</v>
          </cell>
          <cell r="J555" t="str">
            <v>SIN CONVENIO</v>
          </cell>
        </row>
        <row r="556">
          <cell r="B556">
            <v>9017</v>
          </cell>
          <cell r="C556" t="str">
            <v>CENTROS PRODUCCION CHILLAN VIEJO</v>
          </cell>
          <cell r="D556" t="str">
            <v>VIII - Biobío</v>
          </cell>
          <cell r="F556" t="str">
            <v>ESSBIO S.A.</v>
          </cell>
          <cell r="G556" t="str">
            <v>Cerrado</v>
          </cell>
          <cell r="H556" t="str">
            <v>AV. O’HIGGINS 2305</v>
          </cell>
          <cell r="I556" t="str">
            <v>Chillán Viejo</v>
          </cell>
          <cell r="J556" t="str">
            <v>SIN CONVENIO</v>
          </cell>
        </row>
        <row r="557">
          <cell r="B557">
            <v>9041</v>
          </cell>
          <cell r="C557" t="str">
            <v>CD COQUIMBO ABARROTES</v>
          </cell>
          <cell r="D557" t="str">
            <v>IV - Coquimbo</v>
          </cell>
          <cell r="F557" t="str">
            <v>AGUAS DEL VALLE S A</v>
          </cell>
          <cell r="G557" t="str">
            <v>Cerrado</v>
          </cell>
          <cell r="H557" t="str">
            <v>TALCA 101 TIERRAS BLANCAS</v>
          </cell>
          <cell r="I557" t="str">
            <v>Coquimbo</v>
          </cell>
          <cell r="J557" t="str">
            <v>SIN CONVENIO</v>
          </cell>
        </row>
        <row r="558">
          <cell r="B558">
            <v>9043</v>
          </cell>
          <cell r="C558" t="str">
            <v>CD COQUIMBO FYV</v>
          </cell>
          <cell r="D558" t="str">
            <v>IV - Coquimbo</v>
          </cell>
          <cell r="F558" t="str">
            <v>RENTAS ALTO PENUELAS S.A.</v>
          </cell>
          <cell r="G558" t="str">
            <v>Cerrado</v>
          </cell>
          <cell r="H558" t="str">
            <v>RUTA D-43, BARRIO INDUSTRIAL 701, TIERRAS BLANCAS</v>
          </cell>
          <cell r="I558" t="str">
            <v>Coquimbo</v>
          </cell>
          <cell r="J558" t="str">
            <v>SIN CONVENIO</v>
          </cell>
        </row>
        <row r="559">
          <cell r="B559">
            <v>9051</v>
          </cell>
          <cell r="C559" t="str">
            <v>CD NUEVO COQUIMBO</v>
          </cell>
          <cell r="D559" t="str">
            <v>IV - Coquimbo</v>
          </cell>
          <cell r="F559" t="str">
            <v>RENTAS COQUIMBO SPA</v>
          </cell>
          <cell r="G559" t="str">
            <v>Abierto</v>
          </cell>
          <cell r="H559" t="str">
            <v>PAN DE AZUCAR S/N</v>
          </cell>
          <cell r="I559" t="str">
            <v>Coquimbo</v>
          </cell>
          <cell r="J559" t="str">
            <v>SIN CONVENIO</v>
          </cell>
        </row>
        <row r="560">
          <cell r="B560">
            <v>9058</v>
          </cell>
          <cell r="C560" t="str">
            <v>CD IMPORTADOS (LA VARA)</v>
          </cell>
          <cell r="D560" t="str">
            <v>RM - Santiago</v>
          </cell>
          <cell r="F560" t="str">
            <v>RENTAS SAN PEDRO S A</v>
          </cell>
          <cell r="G560" t="str">
            <v>Cerrado</v>
          </cell>
          <cell r="H560" t="str">
            <v>La Vara</v>
          </cell>
          <cell r="I560" t="str">
            <v>San Bernardo</v>
          </cell>
          <cell r="J560" t="str">
            <v>SIN CONVENIO</v>
          </cell>
        </row>
        <row r="561">
          <cell r="B561">
            <v>9070</v>
          </cell>
          <cell r="C561" t="str">
            <v>CD ANTOFAGASTA</v>
          </cell>
          <cell r="D561" t="str">
            <v>II - Antofagasta</v>
          </cell>
          <cell r="F561" t="str">
            <v>BODEGAS SAN FRANCISCO LTDA</v>
          </cell>
          <cell r="G561" t="str">
            <v>Cerrado</v>
          </cell>
          <cell r="H561" t="str">
            <v>RUTA 5 NORTE KM 1357, SECTOR LA NEGRA, BODEGA B3</v>
          </cell>
          <cell r="I561" t="str">
            <v>Antofagasta</v>
          </cell>
          <cell r="J561" t="str">
            <v>SIN CONVENIO</v>
          </cell>
        </row>
        <row r="562">
          <cell r="B562">
            <v>9071</v>
          </cell>
          <cell r="C562" t="str">
            <v>CD ANTOFAGASTA NUEVO</v>
          </cell>
          <cell r="D562" t="str">
            <v>II - Antofagasta</v>
          </cell>
          <cell r="F562" t="str">
            <v>MEGA CENTRO</v>
          </cell>
          <cell r="G562" t="str">
            <v>Abierto</v>
          </cell>
          <cell r="H562" t="str">
            <v>Av. Hector Gómez Cobo 286, sector La Negra</v>
          </cell>
          <cell r="I562" t="str">
            <v>Antofagasta</v>
          </cell>
          <cell r="J562" t="str">
            <v>SIN CONVENIO</v>
          </cell>
        </row>
        <row r="563">
          <cell r="B563">
            <v>9083</v>
          </cell>
          <cell r="C563" t="str">
            <v>CD CONCEPCIÓN</v>
          </cell>
          <cell r="D563" t="str">
            <v>VIII - Biobío</v>
          </cell>
          <cell r="F563" t="str">
            <v>RENTAS SAN PEDRO S A</v>
          </cell>
          <cell r="G563" t="str">
            <v>Abierto</v>
          </cell>
          <cell r="H563" t="str">
            <v>Camino coronel KM 11 N 66</v>
          </cell>
          <cell r="I563" t="str">
            <v>San Pedro De La Paz</v>
          </cell>
          <cell r="J563" t="str">
            <v>SIN CONVENIO</v>
          </cell>
        </row>
        <row r="564">
          <cell r="B564">
            <v>9109</v>
          </cell>
          <cell r="C564" t="str">
            <v>CD COYHAIQUE</v>
          </cell>
          <cell r="D564" t="str">
            <v>XI - Aysén</v>
          </cell>
          <cell r="F564" t="str">
            <v>AGUAS PATAGONIA</v>
          </cell>
          <cell r="G564" t="str">
            <v>Abierto</v>
          </cell>
          <cell r="H564" t="str">
            <v>RECTA FOITZICK KILÓMETRO 5</v>
          </cell>
          <cell r="I564" t="str">
            <v>Coyhaique</v>
          </cell>
          <cell r="J564" t="str">
            <v>SIN CONVENIO</v>
          </cell>
        </row>
        <row r="565">
          <cell r="B565">
            <v>9111</v>
          </cell>
          <cell r="C565" t="str">
            <v>CD COYHAIQUE (ANTIGUO)</v>
          </cell>
          <cell r="D565" t="str">
            <v>XI - Aysén</v>
          </cell>
          <cell r="F565" t="str">
            <v>AGUAS PATAGONIA</v>
          </cell>
          <cell r="G565" t="str">
            <v>Cerrado</v>
          </cell>
          <cell r="H565" t="str">
            <v>GASTON ADARME 930</v>
          </cell>
          <cell r="I565" t="str">
            <v>Coyhaique</v>
          </cell>
          <cell r="J565" t="str">
            <v>SIN CONVENIO</v>
          </cell>
        </row>
        <row r="566">
          <cell r="B566">
            <v>9121</v>
          </cell>
          <cell r="C566" t="str">
            <v>CD ZONA FRANCA PUNTA ARENAS</v>
          </cell>
          <cell r="D566" t="str">
            <v>XII - Magallanes</v>
          </cell>
          <cell r="F566" t="str">
            <v>CARGA RESULTADO ABU GOSH</v>
          </cell>
          <cell r="G566" t="str">
            <v>Abierto</v>
          </cell>
          <cell r="H566" t="str">
            <v>ZONA FRANCA MANZANA 18</v>
          </cell>
          <cell r="I566" t="str">
            <v>Punta Arenas</v>
          </cell>
          <cell r="J566" t="str">
            <v>SIN CONVENIO</v>
          </cell>
        </row>
        <row r="567">
          <cell r="B567">
            <v>9123</v>
          </cell>
          <cell r="C567" t="str">
            <v>CD PUNTA ARENAS</v>
          </cell>
          <cell r="D567" t="str">
            <v>XII - Magallanes</v>
          </cell>
          <cell r="F567" t="str">
            <v>SOC COMERCIAL E INVERSIONES GALICIA</v>
          </cell>
          <cell r="G567" t="str">
            <v>Abierto</v>
          </cell>
          <cell r="H567" t="str">
            <v>PRESIDENTE CARLOS IBAÑEZ DEL CAMPO S/N, KM 6,5 Norte</v>
          </cell>
          <cell r="I567" t="str">
            <v>Punta Arenas</v>
          </cell>
          <cell r="J567" t="str">
            <v>SIN CONVENIO</v>
          </cell>
        </row>
        <row r="568">
          <cell r="B568">
            <v>9139</v>
          </cell>
          <cell r="C568" t="str">
            <v>CD LO AGUIRRE</v>
          </cell>
          <cell r="D568" t="str">
            <v>RM - Santiago</v>
          </cell>
          <cell r="E568">
            <v>3552</v>
          </cell>
          <cell r="F568" t="str">
            <v>AGUAS IZARRA</v>
          </cell>
          <cell r="G568" t="str">
            <v>Abierto</v>
          </cell>
          <cell r="H568" t="str">
            <v>CAMINO LO AGUIRRE SUR 537</v>
          </cell>
          <cell r="I568" t="str">
            <v>Pudahuel</v>
          </cell>
          <cell r="J568" t="str">
            <v>SIN CONVENIO</v>
          </cell>
        </row>
        <row r="569">
          <cell r="B569">
            <v>9158</v>
          </cell>
          <cell r="C569" t="str">
            <v>IMPORT. AEROPARQUE</v>
          </cell>
          <cell r="D569" t="str">
            <v>RM - Santiago</v>
          </cell>
          <cell r="F569" t="str">
            <v>RENTAS MIRAFLORES SPA</v>
          </cell>
          <cell r="G569" t="str">
            <v>Abierto</v>
          </cell>
          <cell r="H569" t="str">
            <v>Miraflores 9700, BODEGA C4</v>
          </cell>
          <cell r="I569" t="str">
            <v>Pudahuel</v>
          </cell>
          <cell r="J569" t="str">
            <v>SIN CONVENIO</v>
          </cell>
        </row>
        <row r="570">
          <cell r="B570">
            <v>9162</v>
          </cell>
          <cell r="C570" t="str">
            <v>CD LO BLANCO</v>
          </cell>
          <cell r="D570" t="str">
            <v>RM - Santiago</v>
          </cell>
          <cell r="F570" t="str">
            <v>AGUAS ANDINAS S.A.</v>
          </cell>
          <cell r="G570" t="str">
            <v>Abierto</v>
          </cell>
          <cell r="J570" t="str">
            <v>SIN CONVENIO</v>
          </cell>
        </row>
        <row r="571">
          <cell r="B571">
            <v>9213</v>
          </cell>
          <cell r="C571" t="str">
            <v>M10 INSTITUCIONAL</v>
          </cell>
          <cell r="D571" t="str">
            <v>RM - Santiago</v>
          </cell>
          <cell r="F571" t="str">
            <v>AGUAS ANDINAS S.A.</v>
          </cell>
          <cell r="G571" t="str">
            <v>Cerrado</v>
          </cell>
          <cell r="H571" t="str">
            <v/>
          </cell>
          <cell r="I571" t="str">
            <v/>
          </cell>
          <cell r="J571" t="str">
            <v>SIN CONVENIO</v>
          </cell>
        </row>
        <row r="572">
          <cell r="B572">
            <v>9400</v>
          </cell>
          <cell r="C572" t="str">
            <v>CD PUERTO MONTT</v>
          </cell>
          <cell r="D572" t="str">
            <v>X - Los Lagos</v>
          </cell>
          <cell r="F572" t="str">
            <v>SURALIS</v>
          </cell>
          <cell r="G572" t="str">
            <v>Abierto</v>
          </cell>
          <cell r="H572" t="str">
            <v>LONGITUDINAL SUR, SECTOR: LÍMITE REGIONAL - QUELLÓN 1024</v>
          </cell>
          <cell r="I572" t="str">
            <v>Puerto Montt</v>
          </cell>
          <cell r="J572" t="str">
            <v>SIN CONVENIO</v>
          </cell>
        </row>
        <row r="573">
          <cell r="B573">
            <v>9750</v>
          </cell>
          <cell r="C573" t="str">
            <v>CD ALVI AEROPARQUE</v>
          </cell>
          <cell r="D573" t="str">
            <v>RM - Santiago</v>
          </cell>
          <cell r="F573" t="str">
            <v>RENTAS MIRAFLORES SPA</v>
          </cell>
          <cell r="G573" t="str">
            <v>Abierto</v>
          </cell>
          <cell r="H573" t="str">
            <v>Miraflores 9700</v>
          </cell>
          <cell r="I573" t="str">
            <v>Pudahuel</v>
          </cell>
          <cell r="J573" t="str">
            <v>SIN CONVENIO</v>
          </cell>
        </row>
        <row r="574">
          <cell r="B574">
            <v>9751</v>
          </cell>
          <cell r="C574" t="str">
            <v>CD ALVI FRIOS AEROPARQUE</v>
          </cell>
          <cell r="D574" t="str">
            <v>RM - Santiago</v>
          </cell>
          <cell r="F574" t="str">
            <v>AGUAS ANDINAS S.A.</v>
          </cell>
          <cell r="G574" t="str">
            <v>Abierto</v>
          </cell>
          <cell r="H574" t="str">
            <v>Miraflores 9700, BODEGA C4</v>
          </cell>
          <cell r="I574" t="str">
            <v>Pudahuel</v>
          </cell>
          <cell r="J574" t="str">
            <v>SIN CONVENIO</v>
          </cell>
        </row>
        <row r="575">
          <cell r="B575" t="str">
            <v>-</v>
          </cell>
          <cell r="C575" t="str">
            <v>CD IMPORTADOS (EX IMPORTADOS)LAGUNA SUR</v>
          </cell>
          <cell r="D575" t="str">
            <v>RM - Santiago</v>
          </cell>
          <cell r="F575" t="str">
            <v>AGUAS ANDINAS S.A.</v>
          </cell>
          <cell r="G575" t="str">
            <v>Cerrado</v>
          </cell>
          <cell r="H575" t="str">
            <v>LAGUNA SUR 9600, BODEGA C1</v>
          </cell>
          <cell r="I575" t="str">
            <v>Pudahuel</v>
          </cell>
          <cell r="J575" t="str">
            <v>SIN CONVENIO</v>
          </cell>
        </row>
        <row r="576">
          <cell r="B576" t="str">
            <v>O048803010</v>
          </cell>
          <cell r="C576" t="str">
            <v>EDIFICIO NERUDA</v>
          </cell>
          <cell r="D576" t="str">
            <v>RM - Santiago</v>
          </cell>
          <cell r="F576" t="str">
            <v>AGUAS ANDINAS S.A.</v>
          </cell>
          <cell r="G576" t="str">
            <v>Cerrado</v>
          </cell>
          <cell r="H576" t="str">
            <v>OFICINA CENTRAL</v>
          </cell>
          <cell r="I576" t="str">
            <v>Las Condes</v>
          </cell>
          <cell r="J576" t="str">
            <v>SIN CONVENIO</v>
          </cell>
        </row>
        <row r="577">
          <cell r="B577" t="str">
            <v>O048803080</v>
          </cell>
          <cell r="C577" t="str">
            <v>EDIFICIO LAS ARTES</v>
          </cell>
          <cell r="D577" t="str">
            <v>RM - Santiago</v>
          </cell>
          <cell r="F577" t="str">
            <v>AGUAS CORDILLERA S.A.</v>
          </cell>
          <cell r="G577" t="str">
            <v>Abierto</v>
          </cell>
          <cell r="H577" t="str">
            <v>Cerro El Plomo 5680. Piso 7,8,9,10 y 11</v>
          </cell>
          <cell r="I577" t="str">
            <v>Las Condes</v>
          </cell>
          <cell r="J577" t="str">
            <v>SIN CONVENIO</v>
          </cell>
        </row>
        <row r="578">
          <cell r="B578" t="str">
            <v>O048806050</v>
          </cell>
          <cell r="C578" t="str">
            <v>EDIFICIO MISTRAL</v>
          </cell>
          <cell r="D578" t="str">
            <v>RM - Santiago</v>
          </cell>
          <cell r="F578" t="str">
            <v>AGUAS CORDILLERA S.A.</v>
          </cell>
          <cell r="G578" t="str">
            <v>Cerrado</v>
          </cell>
          <cell r="H578" t="str">
            <v>ADM. DE EDIFICIOS</v>
          </cell>
          <cell r="I578" t="str">
            <v>Las Condes</v>
          </cell>
          <cell r="J578" t="str">
            <v>SIN CONVENIO</v>
          </cell>
        </row>
        <row r="579">
          <cell r="B579">
            <v>408</v>
          </cell>
          <cell r="C579" t="str">
            <v>UNIMARC SANTO DOMINGO II</v>
          </cell>
          <cell r="D579" t="str">
            <v>V - Valparaiso</v>
          </cell>
          <cell r="F579" t="str">
            <v>COOPAGUA</v>
          </cell>
          <cell r="G579" t="str">
            <v>Abierto</v>
          </cell>
          <cell r="H579" t="str">
            <v>Ruta 66, Esquina Casas de la Boca s/n</v>
          </cell>
          <cell r="I579" t="str">
            <v>Santo Domingo</v>
          </cell>
          <cell r="J579" t="str">
            <v>SIN CONVENIO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ejandro Urbina Riquelme" id="{C952D90A-1DB2-4175-AF7A-EB916361CCFD}" userId="S::aurbinar@smu.cl::d737182f-7de4-40e7-8eff-da2f4e37bae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139CF-43F5-44C0-98F1-B5204BEE6FCC}" name="Tabla2" displayName="Tabla2" ref="A1:AZ1727" totalsRowShown="0" headerRowDxfId="53" dataDxfId="52">
  <autoFilter ref="A1:AZ1727" xr:uid="{FEE6711E-636A-4534-A81D-3FF56AF3BC58}"/>
  <tableColumns count="52">
    <tableColumn id="1" xr3:uid="{3FF16EA8-1835-468F-9586-4135EE86ECDD}" name="EMPRESA" dataDxfId="51"/>
    <tableColumn id="47" xr3:uid="{BB6C7E26-0ACC-4378-854C-E09D26387BD4}" name="ZONAL" dataDxfId="50"/>
    <tableColumn id="48" xr3:uid="{595F3FF2-F08A-4888-8D34-14E1C4E2B44E}" name="OPERACIONES" dataDxfId="49"/>
    <tableColumn id="52" xr3:uid="{285F2CE2-B46F-47C2-8964-C2287EA08E03}" name="AÑO" dataDxfId="48"/>
    <tableColumn id="46" xr3:uid="{627BF74F-CE5E-482D-8056-18ACB81E5F9F}" name="COMENTARIOS" dataDxfId="47"/>
    <tableColumn id="49" xr3:uid="{29EB4F14-1ED0-43CF-9667-3E276C46AC28}" name="TIPO DE CONTROL " dataDxfId="46"/>
    <tableColumn id="50" xr3:uid="{D2291EFA-CC90-41F9-BC59-DE184DD01600}" name="ENVIO SANITARIA" dataDxfId="45"/>
    <tableColumn id="51" xr3:uid="{31C52641-BA33-4EF9-9012-E29630C5B467}" name="ENVIO LOCAL" dataDxfId="44"/>
    <tableColumn id="2" xr3:uid="{10BD219F-38C1-460D-BD52-2E309F05082A}" name="TIENDA" dataDxfId="43"/>
    <tableColumn id="3" xr3:uid="{99F112B0-4D83-4196-A5B2-94832C0DD36C}" name="NOMBRE ESTABLECIMIENTO" dataDxfId="42">
      <calculatedColumnFormula>IFERROR(VLOOKUP(I2,[1]INFO_LOCALES!$B:$C,2,FALSE),"")</calculatedColumnFormula>
    </tableColumn>
    <tableColumn id="4" xr3:uid="{78F2A6AF-8C5E-4327-86C9-226109F4B15F}" name="REGIÓN" dataDxfId="41">
      <calculatedColumnFormula>IFERROR(VLOOKUP(Tabla2[[#This Row],[TIENDA]],[1]INFO_LOCALES!$B:$D,3,FALSE),"")</calculatedColumnFormula>
    </tableColumn>
    <tableColumn id="5" xr3:uid="{11BCDF4B-7AA5-43CD-883D-0D507F0D3D00}" name="COMUNA" dataDxfId="40">
      <calculatedColumnFormula>IFERROR(VLOOKUP(I2,[1]INFO_LOCALES!$B:$I,8,FALSE),"")</calculatedColumnFormula>
    </tableColumn>
    <tableColumn id="6" xr3:uid="{1135CA69-6562-4DEF-9D86-AE7140AD5A98}" name="DIRECCIÓN LOCAL" dataDxfId="39">
      <calculatedColumnFormula>IFERROR(VLOOKUP(I2,[1]INFO_LOCALES!$B:$H,7,FALSE),"")</calculatedColumnFormula>
    </tableColumn>
    <tableColumn id="7" xr3:uid="{6E0A8BA7-7294-486E-B0C5-45370C0D135A}" name="RPM" dataDxfId="38">
      <calculatedColumnFormula>IFERROR(VLOOKUP(I2,[1]INFO_LOCALES!$B:$E,4,FALSE),"")</calculatedColumnFormula>
    </tableColumn>
    <tableColumn id="44" xr3:uid="{D62A38B2-AB68-40DA-AD42-7DDCE3E70107}" name="CONVENIO" dataDxfId="37">
      <calculatedColumnFormula>VLOOKUP(Tabla2[[#This Row],[TIENDA]],#REF!,8,0)</calculatedColumnFormula>
    </tableColumn>
    <tableColumn id="8" xr3:uid="{07AF8A2F-BE6B-4823-A5AF-B73B2B415A7E}" name="SANITARIA" dataDxfId="36">
      <calculatedColumnFormula>IFERROR(VLOOKUP(I2,[1]INFO_LOCALES!$B:$F,5,FALSE),"")</calculatedColumnFormula>
    </tableColumn>
    <tableColumn id="9" xr3:uid="{DCB73484-A5F9-407C-826A-B730BBD5ADE8}" name="LABORATORIO " dataDxfId="35"/>
    <tableColumn id="11" xr3:uid="{C25D38CE-D4C4-48F8-9A23-FF51B41BAD22}" name="TIPO DE MONITOREO" dataDxfId="34"/>
    <tableColumn id="45" xr3:uid="{3557B196-0DBB-4DFE-98B0-8E20ED94EFCD}" name="Fecha de Notificación" dataDxfId="33"/>
    <tableColumn id="10" xr3:uid="{A096CCA7-4475-4FA3-A3D7-0EDF6FC277B4}" name="MES MUESTREO" dataDxfId="32"/>
    <tableColumn id="12" xr3:uid="{1922F34A-C3E3-4D17-B0DD-38B27A888314}" name="FECHA DE MUESTREO " dataDxfId="31"/>
    <tableColumn id="13" xr3:uid="{3F6FDD34-C561-4BD1-8BE4-A40681698E86}" name="PARÁMETROS MONITOREADOS" dataDxfId="30"/>
    <tableColumn id="14" xr3:uid="{62268BE2-3D89-43CA-ACB9-1F736C877484}" name="CUMPLIMIENTO" dataDxfId="29">
      <calculatedColumnFormula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calculatedColumnFormula>
    </tableColumn>
    <tableColumn id="15" xr3:uid="{9AE49B45-74FC-4D96-A301-6EF58E9ADD75}" name="D.S. 609" dataDxfId="28">
      <calculatedColumnFormula>IF(W2="CUMPLE",1,IF(W2="CUMPLE CON TOLERANCIA",2,IF(W2="NO CUMPLE",3)))</calculatedColumnFormula>
    </tableColumn>
    <tableColumn id="16" xr3:uid="{851E235A-A59C-43B3-AC0D-60C2B68CC7F8}" name="ACEITES Y GRASAS (MG/L) (LM150)" dataDxfId="27"/>
    <tableColumn id="17" xr3:uid="{A6A7D9FC-04CE-4AFD-9C03-E9391EE4EF65}" name="PH " dataDxfId="26"/>
    <tableColumn id="18" xr3:uid="{6C724D53-A1B8-4BF2-A4F0-504DEB218AD2}" name="PODER ESPUMÓGENO (MM) (7)" dataDxfId="25"/>
    <tableColumn id="19" xr3:uid="{9B126DC0-F781-4532-81ED-44355CD02BC9}" name="TEMPERATURA    (C°)" dataDxfId="24"/>
    <tableColumn id="20" xr3:uid="{2AF3BA99-0320-490B-B6B3-8F051669EAEE}" name="DBO5 (MG/L) (300)" dataDxfId="23"/>
    <tableColumn id="21" xr3:uid="{0E75C097-7129-4876-BE15-07A47A1B934B}" name="FOSFORO (MG/L) (15)" dataDxfId="22"/>
    <tableColumn id="22" xr3:uid="{0B37EE4E-3069-4AA4-9D8F-2334D6E7CE13}" name="NITROGENO AMONIACAL (MG/L) (80)" dataDxfId="21"/>
    <tableColumn id="23" xr3:uid="{9DA81A45-96AC-44CB-B82E-38684564590C}" name="S. SEDIMENTABLES (MM/L) (20)" dataDxfId="20"/>
    <tableColumn id="24" xr3:uid="{A34C431E-94EF-4DD6-90FC-70A367CB16ED}" name="SOLIDOS SUSPENDIDOS TOTALES (MG/L) (300)" dataDxfId="19"/>
    <tableColumn id="25" xr3:uid="{DC17FB6F-4A65-4F7B-A022-2C12237FFFAC}" name="VOLUMEN DE DESCARGA DIARIA (M3/D)" dataDxfId="18">
      <calculatedColumnFormula>Tabla2[[#This Row],[VOLUMEN DE DESCARGA MENSUAL (M3/M)]]*30</calculatedColumnFormula>
    </tableColumn>
    <tableColumn id="26" xr3:uid="{D1BD97D0-28C5-46C4-8E02-C90CFFA20F3E}" name="VOLUMEN DE DESCARGA MENSUAL (M3/M)" dataDxfId="17">
      <calculatedColumnFormula>AH2*30</calculatedColumnFormula>
    </tableColumn>
    <tableColumn id="27" xr3:uid="{5972B12A-D8AF-47E5-A238-B438894EC5C0}" name="ALUMINIO (MG/L)" dataDxfId="16"/>
    <tableColumn id="28" xr3:uid="{243A7D62-38EC-4263-BA37-E7212AC06B75}" name="ARSÉNICO (MG/L)" dataDxfId="15"/>
    <tableColumn id="29" xr3:uid="{79097571-DFC6-4D74-8A0B-11033C6A7C42}" name="BORO (MG/L)" dataDxfId="14"/>
    <tableColumn id="30" xr3:uid="{E827F035-7500-4EAA-995B-06E5296ACD9D}" name="CADMIO (MG/L)" dataDxfId="13"/>
    <tableColumn id="31" xr3:uid="{ACDA6732-211A-430D-A040-A2533A40849D}" name="CIANURO (MG/L)" dataDxfId="12"/>
    <tableColumn id="32" xr3:uid="{3434B51A-30B7-4DB7-9B70-9FE6841CC458}" name="ZINC (MG/L)" dataDxfId="11"/>
    <tableColumn id="33" xr3:uid="{E98B8BC2-FBC4-4B12-BDDB-FEFADAD0F709}" name="COBRE (MG/L)" dataDxfId="10"/>
    <tableColumn id="34" xr3:uid="{BC46FEA4-D2B3-437F-A37F-286EF113F227}" name="CROMO TOTAL (MG/L)" dataDxfId="9"/>
    <tableColumn id="35" xr3:uid="{34654275-1136-4F71-8356-92C342D312FF}" name="CROMO HEXAVALENTE (MG/L)" dataDxfId="8"/>
    <tableColumn id="36" xr3:uid="{D0146487-B810-4D43-B5F2-907F8D3ED082}" name="HIDROCARBUROS TOTALES (MG/L)" dataDxfId="7"/>
    <tableColumn id="37" xr3:uid="{36B7BA1D-04E5-4FBF-89B6-242D42A7BA19}" name="MANGANESO  (MG/L)" dataDxfId="6"/>
    <tableColumn id="38" xr3:uid="{B8692FF5-B534-4756-957D-8BBA618ED91C}" name="MERCURIO (MG/L)" dataDxfId="5"/>
    <tableColumn id="39" xr3:uid="{C1205AEA-D327-493E-A3FF-393BA40AE006}" name="NIQUEL (MG/L)" dataDxfId="4"/>
    <tableColumn id="40" xr3:uid="{53C569E3-165F-4D94-BCBA-E5E1608DE4D3}" name="PLOMO (MG/L)" dataDxfId="3"/>
    <tableColumn id="41" xr3:uid="{D4F65690-B8D1-48BA-8D43-941BD3899955}" name="SULFATOS (MG/L)" dataDxfId="2"/>
    <tableColumn id="42" xr3:uid="{B887298A-29A8-4182-BDEC-E97D7BE7EA92}" name="SULFUROS (MG/L)" dataDxfId="1"/>
    <tableColumn id="43" xr3:uid="{C4C311D2-3B96-44A2-806E-BE7834319891}" name="COMENTARIOS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12" dT="2025-10-09T17:47:51.63" personId="{C952D90A-1DB2-4175-AF7A-EB916361CCFD}" id="{B76D9F04-9AE2-41D3-85A2-B202C8B08C70}">
    <text xml:space="preserve">ANTES 3047 / 5714
</text>
  </threadedComment>
  <threadedComment ref="I523" dT="2025-10-09T17:47:51.63" personId="{C952D90A-1DB2-4175-AF7A-EB916361CCFD}" id="{2BC104B2-B6F0-4C06-B714-A2DEA17A49F8}">
    <text xml:space="preserve">ANTES 3047 / 5714
</text>
  </threadedComment>
  <threadedComment ref="I569" dT="2025-10-09T17:47:51.63" personId="{C952D90A-1DB2-4175-AF7A-EB916361CCFD}" id="{EC6410C1-C0B5-40CE-8D6E-590AE0834523}">
    <text xml:space="preserve">ANTES 3047 / 5714
</text>
  </threadedComment>
  <threadedComment ref="A651" dT="2025-09-24T12:24:09.74" personId="{C952D90A-1DB2-4175-AF7A-EB916361CCFD}" id="{69ED0ECB-4BA7-4985-B6C0-C15F4BB3EB9D}">
    <text>Falta el anexo, ya se solicito a Jenifer el 24-09-2025</text>
  </threadedComment>
  <threadedComment ref="I661" dT="2025-10-09T17:47:51.63" personId="{C952D90A-1DB2-4175-AF7A-EB916361CCFD}" id="{1453B54E-39C0-4F74-A5BA-185D90ED36E3}">
    <text xml:space="preserve">ANTES 3047 / 5714
</text>
  </threadedComment>
  <threadedComment ref="I717" dT="2025-10-09T17:47:51.63" personId="{C952D90A-1DB2-4175-AF7A-EB916361CCFD}" id="{588CCFA6-EF68-4103-9680-1BF553E975B6}">
    <text xml:space="preserve">ANTES 3047 / 5714
</text>
  </threadedComment>
  <threadedComment ref="V770" dT="2026-01-19T15:08:00.93" personId="{C952D90A-1DB2-4175-AF7A-EB916361CCFD}" id="{AFA0773C-CAF1-4F2A-973B-0B17085A888D}">
    <text>Debe llegar completo, y es compensatorio</text>
  </threadedComment>
  <threadedComment ref="I772" dT="2025-10-09T17:47:51.63" personId="{C952D90A-1DB2-4175-AF7A-EB916361CCFD}" id="{DF3F85B1-53C7-493C-8D6D-0C4F24CAB0BA}">
    <text xml:space="preserve">ANTES 3047 / 5714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802F-0C05-4FF5-BF9D-4F599AC981F7}">
  <sheetPr>
    <tabColor rgb="FF0070C0"/>
  </sheetPr>
  <dimension ref="A1:AZ1728"/>
  <sheetViews>
    <sheetView tabSelected="1" topLeftCell="Z1" zoomScale="85" zoomScaleNormal="85" workbookViewId="0">
      <pane ySplit="1" topLeftCell="A2" activePane="bottomLeft" state="frozen"/>
      <selection activeCell="I1" sqref="I1"/>
      <selection pane="bottomLeft" activeCell="AG3" sqref="AG3"/>
    </sheetView>
  </sheetViews>
  <sheetFormatPr baseColWidth="10" defaultRowHeight="15" x14ac:dyDescent="0.25"/>
  <cols>
    <col min="1" max="1" width="11.7109375" style="5" customWidth="1"/>
    <col min="2" max="3" width="21.140625" style="5" hidden="1" customWidth="1"/>
    <col min="4" max="4" width="11" style="5" customWidth="1"/>
    <col min="5" max="5" width="24" style="5" customWidth="1"/>
    <col min="6" max="6" width="24.140625" style="5" customWidth="1"/>
    <col min="7" max="7" width="39.5703125" style="5" customWidth="1"/>
    <col min="8" max="8" width="45.7109375" style="5" customWidth="1"/>
    <col min="9" max="9" width="7.42578125" style="5" customWidth="1"/>
    <col min="10" max="10" width="21" style="5" customWidth="1"/>
    <col min="11" max="11" width="30" style="5" customWidth="1"/>
    <col min="12" max="12" width="15.140625" style="5" customWidth="1"/>
    <col min="13" max="13" width="46" style="5" customWidth="1"/>
    <col min="14" max="14" width="10.42578125" style="5" customWidth="1"/>
    <col min="15" max="15" width="16.7109375" style="5" customWidth="1"/>
    <col min="16" max="16" width="27.5703125" style="8" customWidth="1"/>
    <col min="17" max="17" width="13.7109375" style="5" customWidth="1"/>
    <col min="18" max="18" width="19.28515625" style="5" customWidth="1"/>
    <col min="19" max="19" width="12.42578125" style="5" customWidth="1"/>
    <col min="20" max="20" width="16.85546875" style="5" customWidth="1"/>
    <col min="21" max="21" width="13.42578125" style="5" customWidth="1"/>
    <col min="22" max="22" width="13.5703125" style="5" customWidth="1"/>
    <col min="23" max="23" width="19.42578125" style="5" customWidth="1"/>
    <col min="24" max="24" width="14.28515625" style="5" bestFit="1" customWidth="1"/>
    <col min="25" max="25" width="23.7109375" style="5" bestFit="1" customWidth="1"/>
    <col min="26" max="26" width="8.5703125" style="5" bestFit="1" customWidth="1"/>
    <col min="27" max="27" width="23.85546875" style="5" customWidth="1"/>
    <col min="28" max="28" width="20.42578125" style="5" bestFit="1" customWidth="1"/>
    <col min="29" max="29" width="13.28515625" style="5" customWidth="1"/>
    <col min="30" max="30" width="14.42578125" style="5" customWidth="1"/>
    <col min="31" max="31" width="19.5703125" style="5" customWidth="1"/>
    <col min="32" max="32" width="20.140625" style="5" customWidth="1"/>
    <col min="33" max="33" width="26.140625" style="5" customWidth="1"/>
    <col min="34" max="34" width="26.5703125" style="5" customWidth="1"/>
    <col min="35" max="35" width="27.5703125" style="5" customWidth="1"/>
    <col min="36" max="36" width="16.28515625" style="5" customWidth="1"/>
    <col min="37" max="37" width="13.85546875" style="5" customWidth="1"/>
    <col min="38" max="38" width="12.7109375" style="5" customWidth="1"/>
    <col min="39" max="39" width="13.42578125" style="5" customWidth="1"/>
    <col min="40" max="40" width="13" style="5" customWidth="1"/>
    <col min="41" max="41" width="11.85546875" style="5" customWidth="1"/>
    <col min="42" max="42" width="12.7109375" style="5" customWidth="1"/>
    <col min="43" max="43" width="17.85546875" style="5" customWidth="1"/>
    <col min="44" max="44" width="19.42578125" style="5" customWidth="1"/>
    <col min="45" max="45" width="23.140625" style="5" bestFit="1" customWidth="1"/>
    <col min="46" max="46" width="15.7109375" style="5" customWidth="1"/>
    <col min="47" max="47" width="17" style="5" customWidth="1"/>
    <col min="48" max="48" width="14.42578125" style="5" customWidth="1"/>
    <col min="49" max="49" width="13.42578125" style="5" customWidth="1"/>
    <col min="50" max="50" width="13.140625" style="5" customWidth="1"/>
    <col min="51" max="51" width="15.5703125" style="5" customWidth="1"/>
    <col min="52" max="52" width="58.28515625" style="8" bestFit="1" customWidth="1"/>
    <col min="53" max="16384" width="11.42578125" style="5"/>
  </cols>
  <sheetData>
    <row r="1" spans="1:5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4" t="s">
        <v>51</v>
      </c>
    </row>
    <row r="2" spans="1:52" x14ac:dyDescent="0.25">
      <c r="A2" s="5" t="s">
        <v>52</v>
      </c>
      <c r="B2" s="5" t="s">
        <v>53</v>
      </c>
      <c r="C2" s="5" t="s">
        <v>54</v>
      </c>
      <c r="F2" s="5" t="s">
        <v>55</v>
      </c>
      <c r="G2" s="5" t="s">
        <v>56</v>
      </c>
      <c r="H2" s="5" t="s">
        <v>57</v>
      </c>
      <c r="I2" s="5">
        <v>344</v>
      </c>
      <c r="J2" s="5" t="str">
        <f>IFERROR(VLOOKUP(I2,[1]INFO_LOCALES!$B:$C,2,FALSE),"")</f>
        <v>CURICO ALAMEDA</v>
      </c>
      <c r="K2" s="5" t="str">
        <f>IFERROR(VLOOKUP(Tabla2[[#This Row],[TIENDA]],[1]INFO_LOCALES!$B:$D,3,FALSE),"")</f>
        <v>VII - Maule</v>
      </c>
      <c r="L2" s="5" t="str">
        <f>IFERROR(VLOOKUP(I2,[1]INFO_LOCALES!$B:$I,8,FALSE),"")</f>
        <v>Curicó</v>
      </c>
      <c r="M2" s="5" t="str">
        <f>IFERROR(VLOOKUP(I2,[1]INFO_LOCALES!$B:$H,7,FALSE),"")</f>
        <v>Estado 43</v>
      </c>
      <c r="N2" s="5">
        <f>IFERROR(VLOOKUP(I2,[1]INFO_LOCALES!$B:$E,4,FALSE),"")</f>
        <v>4530</v>
      </c>
      <c r="O2" s="5" t="str">
        <f>VLOOKUP(Tabla2[[#This Row],[TIENDA]],[1]INFO_LOCALES!$B:$J,9,0)</f>
        <v>SIN CONVENIO</v>
      </c>
      <c r="P2" s="5" t="str">
        <f>IFERROR(VLOOKUP(I2,[1]INFO_LOCALES!$B:$F,5,FALSE),"")</f>
        <v>NUEVOSUR S.A.</v>
      </c>
      <c r="R2" s="5" t="s">
        <v>58</v>
      </c>
      <c r="S2" s="6">
        <v>45771</v>
      </c>
      <c r="T2" s="5" t="str">
        <f>UPPER(IF(Tabla2[[#This Row],[FECHA DE MUESTREO ]]=0,"",TEXT(Tabla2[[#This Row],[FECHA DE MUESTREO ]],("MMMM"))))</f>
        <v>ABRIL</v>
      </c>
      <c r="U2" s="6">
        <v>45036</v>
      </c>
      <c r="V2" s="5" t="s">
        <v>59</v>
      </c>
      <c r="W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" s="7">
        <f t="shared" ref="X2:X65" si="0">IF(W2="CUMPLE",1,IF(W2="CUMPLE CON TOLERANCIA",2,IF(W2="NO CUMPLE",3)))</f>
        <v>3</v>
      </c>
      <c r="Y2" s="5">
        <v>5</v>
      </c>
      <c r="Z2" s="5">
        <v>7.56</v>
      </c>
      <c r="AA2" s="5">
        <v>18.3</v>
      </c>
      <c r="AB2" s="5">
        <v>11.6</v>
      </c>
      <c r="AC2" s="5">
        <v>275</v>
      </c>
      <c r="AD2" s="5">
        <v>9.6300000000000008</v>
      </c>
      <c r="AE2" s="5">
        <v>41.9</v>
      </c>
      <c r="AG2" s="5">
        <v>147.75</v>
      </c>
    </row>
    <row r="3" spans="1:52" x14ac:dyDescent="0.25">
      <c r="A3" s="5" t="s">
        <v>60</v>
      </c>
      <c r="B3" s="5" t="e">
        <v>#N/A</v>
      </c>
      <c r="C3" s="5" t="e">
        <v>#N/A</v>
      </c>
      <c r="F3" s="5" t="s">
        <v>55</v>
      </c>
      <c r="G3" s="5" t="s">
        <v>61</v>
      </c>
      <c r="H3" s="5" t="s">
        <v>57</v>
      </c>
      <c r="I3" s="5">
        <v>3143</v>
      </c>
      <c r="J3" s="5" t="str">
        <f>IFERROR(VLOOKUP(I3,[1]INFO_LOCALES!$B:$C,2,FALSE),"")</f>
        <v>M10 TEMUCO IV</v>
      </c>
      <c r="K3" s="5" t="str">
        <f>IFERROR(VLOOKUP(Tabla2[[#This Row],[TIENDA]],[1]INFO_LOCALES!$B:$D,3,FALSE),"")</f>
        <v>IX - Araucanía</v>
      </c>
      <c r="L3" s="5" t="str">
        <f>IFERROR(VLOOKUP(I3,[1]INFO_LOCALES!$B:$I,8,FALSE),"")</f>
        <v>Temuco</v>
      </c>
      <c r="M3" s="5" t="str">
        <f>IFERROR(VLOOKUP(I3,[1]INFO_LOCALES!$B:$H,7,FALSE),"")</f>
        <v>Francisco Salazar 01650</v>
      </c>
      <c r="N3" s="5">
        <f>IFERROR(VLOOKUP(I3,[1]INFO_LOCALES!$B:$E,4,FALSE),"")</f>
        <v>4422</v>
      </c>
      <c r="O3" s="5" t="str">
        <f>VLOOKUP(Tabla2[[#This Row],[TIENDA]],[1]INFO_LOCALES!$B:$J,9,0)</f>
        <v>CONVENIO</v>
      </c>
      <c r="P3" s="5" t="str">
        <f>IFERROR(VLOOKUP(I3,[1]INFO_LOCALES!$B:$F,5,FALSE),"")</f>
        <v>AGUAS ARAUCANIA S A</v>
      </c>
      <c r="Q3" s="5" t="s">
        <v>62</v>
      </c>
      <c r="R3" s="5" t="s">
        <v>58</v>
      </c>
      <c r="S3" s="6">
        <v>45301</v>
      </c>
      <c r="T3" s="5" t="s">
        <v>63</v>
      </c>
      <c r="U3" s="6">
        <v>45114</v>
      </c>
      <c r="V3" s="5" t="s">
        <v>59</v>
      </c>
      <c r="W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" s="7">
        <f t="shared" si="0"/>
        <v>1</v>
      </c>
      <c r="Y3" s="5">
        <v>16</v>
      </c>
      <c r="Z3" s="5">
        <v>7.7</v>
      </c>
      <c r="AA3" s="5">
        <v>2</v>
      </c>
      <c r="AB3" s="5">
        <v>14.15</v>
      </c>
      <c r="AC3" s="5">
        <v>33.299999999999997</v>
      </c>
      <c r="AD3" s="5">
        <v>0.6</v>
      </c>
      <c r="AE3" s="5">
        <v>21</v>
      </c>
      <c r="AF3" s="5">
        <v>0.4</v>
      </c>
      <c r="AG3" s="5">
        <v>60</v>
      </c>
      <c r="AH3" s="5">
        <v>1.44</v>
      </c>
      <c r="AI3" s="5">
        <f t="shared" ref="AI3:AI29" si="1">AH3*30</f>
        <v>43.199999999999996</v>
      </c>
    </row>
    <row r="4" spans="1:52" x14ac:dyDescent="0.25">
      <c r="A4" s="5" t="s">
        <v>52</v>
      </c>
      <c r="B4" s="5" t="s">
        <v>64</v>
      </c>
      <c r="C4" s="5" t="s">
        <v>54</v>
      </c>
      <c r="F4" s="5" t="s">
        <v>55</v>
      </c>
      <c r="G4" s="5" t="s">
        <v>65</v>
      </c>
      <c r="H4" s="5" t="s">
        <v>57</v>
      </c>
      <c r="I4" s="5">
        <v>750</v>
      </c>
      <c r="J4" s="5" t="str">
        <f>IFERROR(VLOOKUP(I4,[1]INFO_LOCALES!$B:$C,2,FALSE),"")</f>
        <v>CAÑETE</v>
      </c>
      <c r="K4" s="5" t="str">
        <f>IFERROR(VLOOKUP(Tabla2[[#This Row],[TIENDA]],[1]INFO_LOCALES!$B:$D,3,FALSE),"")</f>
        <v>VIII - Biobío</v>
      </c>
      <c r="L4" s="5" t="str">
        <f>IFERROR(VLOOKUP(I4,[1]INFO_LOCALES!$B:$I,8,FALSE),"")</f>
        <v>Cañete</v>
      </c>
      <c r="M4" s="5" t="str">
        <f>IFERROR(VLOOKUP(I4,[1]INFO_LOCALES!$B:$H,7,FALSE),"")</f>
        <v>Saavedra 525</v>
      </c>
      <c r="N4" s="5">
        <f>IFERROR(VLOOKUP(I4,[1]INFO_LOCALES!$B:$E,4,FALSE),"")</f>
        <v>0</v>
      </c>
      <c r="O4" s="5" t="str">
        <f>VLOOKUP(Tabla2[[#This Row],[TIENDA]],[1]INFO_LOCALES!$B:$J,9,0)</f>
        <v>SIN CONVENIO</v>
      </c>
      <c r="P4" s="5" t="str">
        <f>IFERROR(VLOOKUP(I4,[1]INFO_LOCALES!$B:$F,5,FALSE),"")</f>
        <v>ESSBIO S.A.</v>
      </c>
      <c r="Q4" s="5" t="s">
        <v>66</v>
      </c>
      <c r="R4" s="5" t="s">
        <v>58</v>
      </c>
      <c r="S4" s="6">
        <v>45335</v>
      </c>
      <c r="T4" s="5" t="s">
        <v>67</v>
      </c>
      <c r="U4" s="6">
        <v>45181</v>
      </c>
      <c r="V4" s="5" t="s">
        <v>59</v>
      </c>
      <c r="W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" s="7">
        <f t="shared" si="0"/>
        <v>1</v>
      </c>
      <c r="Y4" s="5">
        <v>11</v>
      </c>
      <c r="Z4" s="5">
        <v>6.88</v>
      </c>
      <c r="AA4" s="5">
        <v>2</v>
      </c>
      <c r="AB4" s="5">
        <v>10.6</v>
      </c>
      <c r="AC4" s="5">
        <v>259</v>
      </c>
      <c r="AD4" s="5">
        <v>6.14</v>
      </c>
      <c r="AE4" s="5">
        <v>13.6</v>
      </c>
      <c r="AF4" s="5">
        <v>0.5</v>
      </c>
      <c r="AG4" s="5">
        <v>37.67</v>
      </c>
      <c r="AH4" s="5">
        <v>0</v>
      </c>
      <c r="AI4" s="5">
        <f t="shared" si="1"/>
        <v>0</v>
      </c>
      <c r="AZ4" s="8" t="s">
        <v>68</v>
      </c>
    </row>
    <row r="5" spans="1:52" x14ac:dyDescent="0.25">
      <c r="A5" s="5" t="s">
        <v>52</v>
      </c>
      <c r="B5" s="5" t="s">
        <v>69</v>
      </c>
      <c r="C5" s="5" t="s">
        <v>70</v>
      </c>
      <c r="F5" s="5" t="s">
        <v>55</v>
      </c>
      <c r="G5" s="5" t="s">
        <v>65</v>
      </c>
      <c r="H5" s="5" t="s">
        <v>57</v>
      </c>
      <c r="I5" s="5">
        <v>980</v>
      </c>
      <c r="J5" s="5" t="str">
        <f>IFERROR(VLOOKUP(I5,[1]INFO_LOCALES!$B:$C,2,FALSE),"")</f>
        <v>MAIPU EL ROSAL</v>
      </c>
      <c r="K5" s="5" t="str">
        <f>IFERROR(VLOOKUP(Tabla2[[#This Row],[TIENDA]],[1]INFO_LOCALES!$B:$D,3,FALSE),"")</f>
        <v>RM - Santiago</v>
      </c>
      <c r="L5" s="5" t="str">
        <f>IFERROR(VLOOKUP(I5,[1]INFO_LOCALES!$B:$I,8,FALSE),"")</f>
        <v>Maipú</v>
      </c>
      <c r="M5" s="5" t="str">
        <f>IFERROR(VLOOKUP(I5,[1]INFO_LOCALES!$B:$H,7,FALSE),"")</f>
        <v>Av. El Rosal 6361</v>
      </c>
      <c r="N5" s="5">
        <f>IFERROR(VLOOKUP(I5,[1]INFO_LOCALES!$B:$E,4,FALSE),"")</f>
        <v>0</v>
      </c>
      <c r="O5" s="5" t="str">
        <f>VLOOKUP(Tabla2[[#This Row],[TIENDA]],[1]INFO_LOCALES!$B:$J,9,0)</f>
        <v>SIN CONVENIO</v>
      </c>
      <c r="P5" s="5" t="str">
        <f>IFERROR(VLOOKUP(I5,[1]INFO_LOCALES!$B:$F,5,FALSE),"")</f>
        <v>SMAPA</v>
      </c>
      <c r="Q5" s="5" t="s">
        <v>71</v>
      </c>
      <c r="R5" s="5" t="s">
        <v>58</v>
      </c>
      <c r="S5" s="6">
        <v>45307</v>
      </c>
      <c r="T5" s="5" t="s">
        <v>72</v>
      </c>
      <c r="U5" s="6">
        <v>45201</v>
      </c>
      <c r="V5" s="5" t="s">
        <v>59</v>
      </c>
      <c r="W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" s="7">
        <f t="shared" si="0"/>
        <v>2</v>
      </c>
      <c r="Y5" s="5">
        <v>3.16</v>
      </c>
      <c r="Z5" s="5">
        <v>7.05</v>
      </c>
      <c r="AA5" s="5">
        <v>2</v>
      </c>
      <c r="AB5" s="5">
        <v>22.5</v>
      </c>
      <c r="AC5" s="5">
        <v>322</v>
      </c>
      <c r="AD5" s="5">
        <v>5.8</v>
      </c>
      <c r="AE5" s="5">
        <v>69.2</v>
      </c>
      <c r="AF5" s="5">
        <v>0.2</v>
      </c>
      <c r="AG5" s="5">
        <v>65</v>
      </c>
      <c r="AH5" s="5">
        <v>0</v>
      </c>
      <c r="AI5" s="5">
        <f t="shared" si="1"/>
        <v>0</v>
      </c>
    </row>
    <row r="6" spans="1:52" x14ac:dyDescent="0.25">
      <c r="A6" s="5" t="s">
        <v>52</v>
      </c>
      <c r="B6" s="5" t="s">
        <v>69</v>
      </c>
      <c r="C6" s="5" t="s">
        <v>70</v>
      </c>
      <c r="F6" s="5" t="s">
        <v>55</v>
      </c>
      <c r="G6" s="5" t="s">
        <v>65</v>
      </c>
      <c r="H6" s="5" t="s">
        <v>57</v>
      </c>
      <c r="I6" s="5">
        <v>911</v>
      </c>
      <c r="J6" s="5" t="str">
        <f>IFERROR(VLOOKUP(I6,[1]INFO_LOCALES!$B:$C,2,FALSE),"")</f>
        <v>MAIPU 4 PONIENTE</v>
      </c>
      <c r="K6" s="5" t="str">
        <f>IFERROR(VLOOKUP(Tabla2[[#This Row],[TIENDA]],[1]INFO_LOCALES!$B:$D,3,FALSE),"")</f>
        <v>RM - Santiago</v>
      </c>
      <c r="L6" s="5" t="str">
        <f>IFERROR(VLOOKUP(I6,[1]INFO_LOCALES!$B:$I,8,FALSE),"")</f>
        <v>Maipú</v>
      </c>
      <c r="M6" s="5" t="str">
        <f>IFERROR(VLOOKUP(I6,[1]INFO_LOCALES!$B:$H,7,FALSE),"")</f>
        <v>4 Poniente 1197</v>
      </c>
      <c r="N6" s="5">
        <f>IFERROR(VLOOKUP(I6,[1]INFO_LOCALES!$B:$E,4,FALSE),"")</f>
        <v>0</v>
      </c>
      <c r="O6" s="5" t="str">
        <f>VLOOKUP(Tabla2[[#This Row],[TIENDA]],[1]INFO_LOCALES!$B:$J,9,0)</f>
        <v>SIN CONVENIO</v>
      </c>
      <c r="P6" s="5" t="str">
        <f>IFERROR(VLOOKUP(I6,[1]INFO_LOCALES!$B:$F,5,FALSE),"")</f>
        <v>SMAPA</v>
      </c>
      <c r="Q6" s="5" t="s">
        <v>71</v>
      </c>
      <c r="R6" s="5" t="s">
        <v>58</v>
      </c>
      <c r="S6" s="6">
        <v>45307</v>
      </c>
      <c r="T6" s="5" t="s">
        <v>72</v>
      </c>
      <c r="U6" s="6">
        <v>45209</v>
      </c>
      <c r="V6" s="5" t="s">
        <v>59</v>
      </c>
      <c r="W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" s="7">
        <f t="shared" si="0"/>
        <v>2</v>
      </c>
      <c r="Y6" s="5">
        <v>14.5</v>
      </c>
      <c r="Z6" s="5">
        <v>6.55</v>
      </c>
      <c r="AA6" s="5">
        <v>2</v>
      </c>
      <c r="AB6" s="5">
        <v>25</v>
      </c>
      <c r="AC6" s="5">
        <v>338</v>
      </c>
      <c r="AD6" s="5">
        <v>1.8</v>
      </c>
      <c r="AE6" s="5">
        <v>0.5</v>
      </c>
      <c r="AF6" s="5">
        <v>0.4</v>
      </c>
      <c r="AG6" s="5">
        <v>182</v>
      </c>
      <c r="AH6" s="5">
        <v>0</v>
      </c>
      <c r="AI6" s="5">
        <f t="shared" si="1"/>
        <v>0</v>
      </c>
    </row>
    <row r="7" spans="1:52" x14ac:dyDescent="0.25">
      <c r="A7" s="5" t="s">
        <v>52</v>
      </c>
      <c r="B7" s="5" t="s">
        <v>69</v>
      </c>
      <c r="C7" s="5" t="s">
        <v>70</v>
      </c>
      <c r="F7" s="5" t="s">
        <v>55</v>
      </c>
      <c r="G7" s="5" t="s">
        <v>65</v>
      </c>
      <c r="H7" s="5" t="s">
        <v>57</v>
      </c>
      <c r="I7" s="5">
        <v>911</v>
      </c>
      <c r="J7" s="5" t="str">
        <f>IFERROR(VLOOKUP(I7,[1]INFO_LOCALES!$B:$C,2,FALSE),"")</f>
        <v>MAIPU 4 PONIENTE</v>
      </c>
      <c r="K7" s="5" t="str">
        <f>IFERROR(VLOOKUP(Tabla2[[#This Row],[TIENDA]],[1]INFO_LOCALES!$B:$D,3,FALSE),"")</f>
        <v>RM - Santiago</v>
      </c>
      <c r="L7" s="5" t="str">
        <f>IFERROR(VLOOKUP(I7,[1]INFO_LOCALES!$B:$I,8,FALSE),"")</f>
        <v>Maipú</v>
      </c>
      <c r="M7" s="5" t="str">
        <f>IFERROR(VLOOKUP(I7,[1]INFO_LOCALES!$B:$H,7,FALSE),"")</f>
        <v>4 Poniente 1197</v>
      </c>
      <c r="N7" s="5">
        <f>IFERROR(VLOOKUP(I7,[1]INFO_LOCALES!$B:$E,4,FALSE),"")</f>
        <v>0</v>
      </c>
      <c r="O7" s="5" t="str">
        <f>VLOOKUP(Tabla2[[#This Row],[TIENDA]],[1]INFO_LOCALES!$B:$J,9,0)</f>
        <v>SIN CONVENIO</v>
      </c>
      <c r="P7" s="5" t="str">
        <f>IFERROR(VLOOKUP(I7,[1]INFO_LOCALES!$B:$F,5,FALSE),"")</f>
        <v>SMAPA</v>
      </c>
      <c r="Q7" s="5" t="s">
        <v>71</v>
      </c>
      <c r="R7" s="5" t="s">
        <v>58</v>
      </c>
      <c r="S7" s="6">
        <v>45307</v>
      </c>
      <c r="T7" s="5" t="s">
        <v>72</v>
      </c>
      <c r="U7" s="6">
        <v>45210</v>
      </c>
      <c r="V7" s="5" t="s">
        <v>59</v>
      </c>
      <c r="W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" s="7">
        <f t="shared" si="0"/>
        <v>2</v>
      </c>
      <c r="Y7" s="5">
        <v>7.76</v>
      </c>
      <c r="Z7" s="5">
        <v>7.19</v>
      </c>
      <c r="AA7" s="5">
        <v>2</v>
      </c>
      <c r="AB7" s="5">
        <v>19.899999999999999</v>
      </c>
      <c r="AC7" s="5">
        <v>344</v>
      </c>
      <c r="AD7" s="5">
        <v>15.9</v>
      </c>
      <c r="AE7" s="5">
        <v>0.89</v>
      </c>
      <c r="AF7" s="5">
        <v>0.3</v>
      </c>
      <c r="AG7" s="5">
        <v>128</v>
      </c>
      <c r="AH7" s="5">
        <v>0</v>
      </c>
      <c r="AI7" s="5">
        <f t="shared" si="1"/>
        <v>0</v>
      </c>
    </row>
    <row r="8" spans="1:52" x14ac:dyDescent="0.25">
      <c r="A8" s="5" t="s">
        <v>52</v>
      </c>
      <c r="B8" s="5" t="s">
        <v>69</v>
      </c>
      <c r="C8" s="5" t="s">
        <v>70</v>
      </c>
      <c r="F8" s="5" t="s">
        <v>55</v>
      </c>
      <c r="G8" s="5" t="s">
        <v>65</v>
      </c>
      <c r="H8" s="5" t="s">
        <v>57</v>
      </c>
      <c r="I8" s="5">
        <v>910</v>
      </c>
      <c r="J8" s="5" t="str">
        <f>IFERROR(VLOOKUP(I8,[1]INFO_LOCALES!$B:$C,2,FALSE),"")</f>
        <v>MAIPU CAMINO MELIPILLA</v>
      </c>
      <c r="K8" s="5" t="str">
        <f>IFERROR(VLOOKUP(Tabla2[[#This Row],[TIENDA]],[1]INFO_LOCALES!$B:$D,3,FALSE),"")</f>
        <v>RM - Santiago</v>
      </c>
      <c r="L8" s="5" t="str">
        <f>IFERROR(VLOOKUP(I8,[1]INFO_LOCALES!$B:$I,8,FALSE),"")</f>
        <v>Maipú</v>
      </c>
      <c r="M8" s="5" t="str">
        <f>IFERROR(VLOOKUP(I8,[1]INFO_LOCALES!$B:$H,7,FALSE),"")</f>
        <v>Camino Melipilla 16850</v>
      </c>
      <c r="N8" s="5">
        <f>IFERROR(VLOOKUP(I8,[1]INFO_LOCALES!$B:$E,4,FALSE),"")</f>
        <v>0</v>
      </c>
      <c r="O8" s="5" t="str">
        <f>VLOOKUP(Tabla2[[#This Row],[TIENDA]],[1]INFO_LOCALES!$B:$J,9,0)</f>
        <v>SIN CONVENIO</v>
      </c>
      <c r="P8" s="5" t="str">
        <f>IFERROR(VLOOKUP(I8,[1]INFO_LOCALES!$B:$F,5,FALSE),"")</f>
        <v>SMAPA</v>
      </c>
      <c r="Q8" s="5" t="s">
        <v>71</v>
      </c>
      <c r="R8" s="5" t="s">
        <v>58</v>
      </c>
      <c r="S8" s="6">
        <v>45307</v>
      </c>
      <c r="T8" s="5" t="s">
        <v>72</v>
      </c>
      <c r="U8" s="6">
        <v>45212</v>
      </c>
      <c r="V8" s="5" t="s">
        <v>59</v>
      </c>
      <c r="W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" s="7">
        <f t="shared" si="0"/>
        <v>1</v>
      </c>
      <c r="Y8" s="5">
        <v>2.82</v>
      </c>
      <c r="Z8" s="5">
        <v>7.08</v>
      </c>
      <c r="AA8" s="5">
        <v>2</v>
      </c>
      <c r="AB8" s="5">
        <v>23</v>
      </c>
      <c r="AC8" s="5">
        <v>195</v>
      </c>
      <c r="AD8" s="5">
        <v>9.4</v>
      </c>
      <c r="AE8" s="5">
        <v>46.3</v>
      </c>
      <c r="AF8" s="5">
        <v>0.1</v>
      </c>
      <c r="AG8" s="5">
        <v>30</v>
      </c>
      <c r="AH8" s="5">
        <v>0</v>
      </c>
      <c r="AI8" s="5">
        <f t="shared" si="1"/>
        <v>0</v>
      </c>
    </row>
    <row r="9" spans="1:52" x14ac:dyDescent="0.25">
      <c r="A9" s="5" t="s">
        <v>52</v>
      </c>
      <c r="B9" s="5" t="s">
        <v>69</v>
      </c>
      <c r="C9" s="5" t="s">
        <v>70</v>
      </c>
      <c r="F9" s="5" t="s">
        <v>55</v>
      </c>
      <c r="G9" s="5" t="s">
        <v>65</v>
      </c>
      <c r="H9" s="5" t="s">
        <v>57</v>
      </c>
      <c r="I9" s="5">
        <v>911</v>
      </c>
      <c r="J9" s="5" t="str">
        <f>IFERROR(VLOOKUP(I9,[1]INFO_LOCALES!$B:$C,2,FALSE),"")</f>
        <v>MAIPU 4 PONIENTE</v>
      </c>
      <c r="K9" s="5" t="str">
        <f>IFERROR(VLOOKUP(Tabla2[[#This Row],[TIENDA]],[1]INFO_LOCALES!$B:$D,3,FALSE),"")</f>
        <v>RM - Santiago</v>
      </c>
      <c r="L9" s="5" t="str">
        <f>IFERROR(VLOOKUP(I9,[1]INFO_LOCALES!$B:$I,8,FALSE),"")</f>
        <v>Maipú</v>
      </c>
      <c r="M9" s="5" t="str">
        <f>IFERROR(VLOOKUP(I9,[1]INFO_LOCALES!$B:$H,7,FALSE),"")</f>
        <v>4 Poniente 1197</v>
      </c>
      <c r="N9" s="5">
        <f>IFERROR(VLOOKUP(I9,[1]INFO_LOCALES!$B:$E,4,FALSE),"")</f>
        <v>0</v>
      </c>
      <c r="O9" s="5" t="str">
        <f>VLOOKUP(Tabla2[[#This Row],[TIENDA]],[1]INFO_LOCALES!$B:$J,9,0)</f>
        <v>SIN CONVENIO</v>
      </c>
      <c r="P9" s="5" t="str">
        <f>IFERROR(VLOOKUP(I9,[1]INFO_LOCALES!$B:$F,5,FALSE),"")</f>
        <v>SMAPA</v>
      </c>
      <c r="Q9" s="5" t="s">
        <v>71</v>
      </c>
      <c r="R9" s="5" t="s">
        <v>58</v>
      </c>
      <c r="S9" s="6">
        <v>45307</v>
      </c>
      <c r="T9" s="5" t="s">
        <v>72</v>
      </c>
      <c r="U9" s="6">
        <v>45212</v>
      </c>
      <c r="V9" s="5" t="s">
        <v>59</v>
      </c>
      <c r="W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" s="7">
        <f t="shared" si="0"/>
        <v>2</v>
      </c>
      <c r="Y9" s="5">
        <v>5.47</v>
      </c>
      <c r="Z9" s="5">
        <v>6.62</v>
      </c>
      <c r="AA9" s="5">
        <v>2</v>
      </c>
      <c r="AB9" s="5">
        <v>19.399999999999999</v>
      </c>
      <c r="AC9" s="5">
        <v>393</v>
      </c>
      <c r="AD9" s="5">
        <v>5.2</v>
      </c>
      <c r="AE9" s="5">
        <v>1.97</v>
      </c>
      <c r="AF9" s="5">
        <v>0.2</v>
      </c>
      <c r="AG9" s="5">
        <v>88</v>
      </c>
      <c r="AH9" s="5">
        <v>0</v>
      </c>
      <c r="AI9" s="5">
        <f t="shared" si="1"/>
        <v>0</v>
      </c>
    </row>
    <row r="10" spans="1:52" x14ac:dyDescent="0.25">
      <c r="A10" s="5" t="s">
        <v>52</v>
      </c>
      <c r="B10" s="5" t="s">
        <v>73</v>
      </c>
      <c r="C10" s="5" t="s">
        <v>74</v>
      </c>
      <c r="F10" s="5" t="s">
        <v>55</v>
      </c>
      <c r="G10" s="5" t="s">
        <v>56</v>
      </c>
      <c r="H10" s="5" t="s">
        <v>57</v>
      </c>
      <c r="I10" s="5">
        <v>442</v>
      </c>
      <c r="J10" s="5" t="str">
        <f>IFERROR(VLOOKUP(I10,[1]INFO_LOCALES!$B:$C,2,FALSE),"")</f>
        <v>COYHAIQUE</v>
      </c>
      <c r="K10" s="5" t="str">
        <f>IFERROR(VLOOKUP(Tabla2[[#This Row],[TIENDA]],[1]INFO_LOCALES!$B:$D,3,FALSE),"")</f>
        <v>XI - Aysén</v>
      </c>
      <c r="L10" s="5" t="str">
        <f>IFERROR(VLOOKUP(I10,[1]INFO_LOCALES!$B:$I,8,FALSE),"")</f>
        <v>Coyhaique</v>
      </c>
      <c r="M10" s="5" t="str">
        <f>IFERROR(VLOOKUP(I10,[1]INFO_LOCALES!$B:$H,7,FALSE),"")</f>
        <v>Lautaro 331</v>
      </c>
      <c r="N10" s="5">
        <f>IFERROR(VLOOKUP(I10,[1]INFO_LOCALES!$B:$E,4,FALSE),"")</f>
        <v>1320</v>
      </c>
      <c r="O10" s="5" t="str">
        <f>VLOOKUP(Tabla2[[#This Row],[TIENDA]],[1]INFO_LOCALES!$B:$J,9,0)</f>
        <v>SIN CONVENIO</v>
      </c>
      <c r="P10" s="5" t="str">
        <f>IFERROR(VLOOKUP(I10,[1]INFO_LOCALES!$B:$F,5,FALSE),"")</f>
        <v>AGUAS PATAGONIA</v>
      </c>
      <c r="Q10" s="5" t="s">
        <v>66</v>
      </c>
      <c r="R10" s="5" t="s">
        <v>58</v>
      </c>
      <c r="S10" s="6">
        <v>45301</v>
      </c>
      <c r="T10" s="5" t="s">
        <v>75</v>
      </c>
      <c r="U10" s="6">
        <v>45222</v>
      </c>
      <c r="V10" s="5" t="s">
        <v>59</v>
      </c>
      <c r="W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0" s="7">
        <f t="shared" si="0"/>
        <v>3</v>
      </c>
      <c r="Y10" s="5">
        <v>94.4</v>
      </c>
      <c r="Z10" s="5">
        <v>8.2799999999999994</v>
      </c>
      <c r="AA10" s="5">
        <v>2</v>
      </c>
      <c r="AB10" s="5">
        <v>11.16</v>
      </c>
      <c r="AC10" s="5">
        <v>1945</v>
      </c>
      <c r="AD10" s="5">
        <v>33.6</v>
      </c>
      <c r="AE10" s="5">
        <v>29</v>
      </c>
      <c r="AF10" s="5">
        <v>5.5</v>
      </c>
      <c r="AG10" s="5">
        <v>1395</v>
      </c>
      <c r="AH10" s="5">
        <v>36.200000000000003</v>
      </c>
      <c r="AI10" s="5">
        <f t="shared" si="1"/>
        <v>1086</v>
      </c>
    </row>
    <row r="11" spans="1:52" x14ac:dyDescent="0.25">
      <c r="A11" s="5" t="s">
        <v>52</v>
      </c>
      <c r="B11" s="5" t="s">
        <v>76</v>
      </c>
      <c r="C11" s="5" t="s">
        <v>77</v>
      </c>
      <c r="F11" s="5" t="s">
        <v>55</v>
      </c>
      <c r="G11" s="5" t="s">
        <v>65</v>
      </c>
      <c r="H11" s="5" t="s">
        <v>57</v>
      </c>
      <c r="I11" s="5">
        <v>87</v>
      </c>
      <c r="J11" s="5" t="str">
        <f>IFERROR(VLOOKUP(I11,[1]INFO_LOCALES!$B:$C,2,FALSE),"")</f>
        <v>JUAN MARTINEZ</v>
      </c>
      <c r="K11" s="5" t="str">
        <f>IFERROR(VLOOKUP(Tabla2[[#This Row],[TIENDA]],[1]INFO_LOCALES!$B:$D,3,FALSE),"")</f>
        <v>I - Tarapacá</v>
      </c>
      <c r="L11" s="5" t="str">
        <f>IFERROR(VLOOKUP(I11,[1]INFO_LOCALES!$B:$I,8,FALSE),"")</f>
        <v>Iquique</v>
      </c>
      <c r="M11" s="5" t="str">
        <f>IFERROR(VLOOKUP(I11,[1]INFO_LOCALES!$B:$H,7,FALSE),"")</f>
        <v>M. Rodriguez 964</v>
      </c>
      <c r="N11" s="5">
        <f>IFERROR(VLOOKUP(I11,[1]INFO_LOCALES!$B:$E,4,FALSE),"")</f>
        <v>0</v>
      </c>
      <c r="O11" s="5" t="str">
        <f>VLOOKUP(Tabla2[[#This Row],[TIENDA]],[1]INFO_LOCALES!$B:$J,9,0)</f>
        <v>CONVENIO</v>
      </c>
      <c r="P11" s="5" t="str">
        <f>IFERROR(VLOOKUP(I11,[1]INFO_LOCALES!$B:$F,5,FALSE),"")</f>
        <v>AGUAS DEL ALTIPLANO S.A.</v>
      </c>
      <c r="Q11" s="5" t="s">
        <v>78</v>
      </c>
      <c r="R11" s="5" t="s">
        <v>58</v>
      </c>
      <c r="S11" s="6">
        <v>45349</v>
      </c>
      <c r="T11" s="5" t="s">
        <v>75</v>
      </c>
      <c r="U11" s="6">
        <v>45237</v>
      </c>
      <c r="V11" s="5" t="s">
        <v>59</v>
      </c>
      <c r="W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1" s="7">
        <f t="shared" si="0"/>
        <v>2</v>
      </c>
      <c r="Y11" s="5">
        <v>6</v>
      </c>
      <c r="Z11" s="5">
        <v>6.78</v>
      </c>
      <c r="AA11" s="5">
        <v>4</v>
      </c>
      <c r="AB11" s="5">
        <v>23.64</v>
      </c>
      <c r="AC11" s="5">
        <v>278</v>
      </c>
      <c r="AD11" s="5">
        <v>25.3</v>
      </c>
      <c r="AE11" s="5">
        <v>36.89</v>
      </c>
      <c r="AF11" s="5">
        <v>0.8</v>
      </c>
      <c r="AG11" s="5">
        <v>72</v>
      </c>
      <c r="AH11" s="5">
        <v>4.5999999999999996</v>
      </c>
      <c r="AI11" s="5">
        <f t="shared" si="1"/>
        <v>138</v>
      </c>
      <c r="AZ11" s="8" t="s">
        <v>79</v>
      </c>
    </row>
    <row r="12" spans="1:52" x14ac:dyDescent="0.25">
      <c r="A12" s="5" t="s">
        <v>52</v>
      </c>
      <c r="B12" s="5" t="s">
        <v>80</v>
      </c>
      <c r="C12" s="5" t="s">
        <v>81</v>
      </c>
      <c r="F12" s="5" t="s">
        <v>55</v>
      </c>
      <c r="G12" s="5" t="s">
        <v>65</v>
      </c>
      <c r="H12" s="5" t="s">
        <v>57</v>
      </c>
      <c r="I12" s="5">
        <v>80</v>
      </c>
      <c r="J12" s="5" t="str">
        <f>IFERROR(VLOOKUP(I12,[1]INFO_LOCALES!$B:$C,2,FALSE),"")</f>
        <v>ANGOL I</v>
      </c>
      <c r="K12" s="5" t="str">
        <f>IFERROR(VLOOKUP(Tabla2[[#This Row],[TIENDA]],[1]INFO_LOCALES!$B:$D,3,FALSE),"")</f>
        <v>IX - Araucanía</v>
      </c>
      <c r="L12" s="5" t="str">
        <f>IFERROR(VLOOKUP(I12,[1]INFO_LOCALES!$B:$I,8,FALSE),"")</f>
        <v>Angol</v>
      </c>
      <c r="M12" s="5" t="str">
        <f>IFERROR(VLOOKUP(I12,[1]INFO_LOCALES!$B:$H,7,FALSE),"")</f>
        <v>Av. O'Higgins 1257</v>
      </c>
      <c r="N12" s="5">
        <f>IFERROR(VLOOKUP(I12,[1]INFO_LOCALES!$B:$E,4,FALSE),"")</f>
        <v>0</v>
      </c>
      <c r="O12" s="5" t="str">
        <f>VLOOKUP(Tabla2[[#This Row],[TIENDA]],[1]INFO_LOCALES!$B:$J,9,0)</f>
        <v>SIN CONVENIO</v>
      </c>
      <c r="P12" s="5" t="str">
        <f>IFERROR(VLOOKUP(I12,[1]INFO_LOCALES!$B:$F,5,FALSE),"")</f>
        <v>AGUAS ARAUCANIA S A</v>
      </c>
      <c r="Q12" s="5" t="s">
        <v>62</v>
      </c>
      <c r="R12" s="5" t="s">
        <v>58</v>
      </c>
      <c r="S12" s="6">
        <v>45313</v>
      </c>
      <c r="T12" s="5" t="s">
        <v>75</v>
      </c>
      <c r="U12" s="6">
        <v>45240</v>
      </c>
      <c r="V12" s="5" t="s">
        <v>59</v>
      </c>
      <c r="W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2" s="7">
        <f t="shared" si="0"/>
        <v>2</v>
      </c>
      <c r="Y12" s="5">
        <v>39</v>
      </c>
      <c r="Z12" s="5">
        <v>7.46</v>
      </c>
      <c r="AA12" s="5">
        <v>4</v>
      </c>
      <c r="AB12" s="5">
        <v>19.95</v>
      </c>
      <c r="AC12" s="5">
        <v>447</v>
      </c>
      <c r="AD12" s="5">
        <v>28.4</v>
      </c>
      <c r="AE12" s="5">
        <v>59.6</v>
      </c>
      <c r="AF12" s="5">
        <v>3.3</v>
      </c>
      <c r="AG12" s="5">
        <v>540</v>
      </c>
      <c r="AH12" s="5">
        <v>4.32</v>
      </c>
      <c r="AI12" s="5">
        <f t="shared" si="1"/>
        <v>129.60000000000002</v>
      </c>
    </row>
    <row r="13" spans="1:52" x14ac:dyDescent="0.25">
      <c r="A13" s="5" t="s">
        <v>52</v>
      </c>
      <c r="B13" s="5" t="s">
        <v>82</v>
      </c>
      <c r="C13" s="5" t="s">
        <v>77</v>
      </c>
      <c r="F13" s="5" t="s">
        <v>55</v>
      </c>
      <c r="G13" s="5" t="s">
        <v>61</v>
      </c>
      <c r="H13" s="5" t="s">
        <v>57</v>
      </c>
      <c r="I13" s="5">
        <v>7</v>
      </c>
      <c r="J13" s="5" t="str">
        <f>IFERROR(VLOOKUP(I13,[1]INFO_LOCALES!$B:$C,2,FALSE),"")</f>
        <v>VALLENAR I</v>
      </c>
      <c r="K13" s="5" t="str">
        <f>IFERROR(VLOOKUP(Tabla2[[#This Row],[TIENDA]],[1]INFO_LOCALES!$B:$D,3,FALSE),"")</f>
        <v>III - Atacama</v>
      </c>
      <c r="L13" s="5" t="str">
        <f>IFERROR(VLOOKUP(I13,[1]INFO_LOCALES!$B:$I,8,FALSE),"")</f>
        <v>Vallenar</v>
      </c>
      <c r="M13" s="5" t="str">
        <f>IFERROR(VLOOKUP(I13,[1]INFO_LOCALES!$B:$H,7,FALSE),"")</f>
        <v>Brasil 663</v>
      </c>
      <c r="N13" s="5">
        <f>IFERROR(VLOOKUP(I13,[1]INFO_LOCALES!$B:$E,4,FALSE),"")</f>
        <v>0</v>
      </c>
      <c r="O13" s="5" t="str">
        <f>VLOOKUP(Tabla2[[#This Row],[TIENDA]],[1]INFO_LOCALES!$B:$J,9,0)</f>
        <v>CONVENIO</v>
      </c>
      <c r="P13" s="5" t="str">
        <f>IFERROR(VLOOKUP(I13,[1]INFO_LOCALES!$B:$F,5,FALSE),"")</f>
        <v>NUEVA ATACAMA</v>
      </c>
      <c r="Q13" s="5" t="s">
        <v>66</v>
      </c>
      <c r="R13" s="5" t="s">
        <v>58</v>
      </c>
      <c r="S13" s="6">
        <v>45300</v>
      </c>
      <c r="T13" s="5" t="s">
        <v>75</v>
      </c>
      <c r="U13" s="6">
        <v>45244</v>
      </c>
      <c r="V13" s="5" t="s">
        <v>59</v>
      </c>
      <c r="W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3" s="7">
        <f t="shared" si="0"/>
        <v>3</v>
      </c>
      <c r="Y13" s="5">
        <v>1.1499999999999999</v>
      </c>
      <c r="Z13" s="5">
        <v>8.08</v>
      </c>
      <c r="AA13" s="5">
        <v>15.3</v>
      </c>
      <c r="AB13" s="5">
        <v>18.600000000000001</v>
      </c>
      <c r="AC13" s="5">
        <v>84</v>
      </c>
      <c r="AD13" s="5">
        <v>4.34</v>
      </c>
      <c r="AE13" s="5">
        <v>47.85</v>
      </c>
      <c r="AF13" s="5">
        <v>1.3</v>
      </c>
      <c r="AG13" s="5">
        <v>124</v>
      </c>
      <c r="AH13" s="5">
        <v>1.728</v>
      </c>
      <c r="AI13" s="5">
        <f t="shared" si="1"/>
        <v>51.839999999999996</v>
      </c>
      <c r="AY13" s="5">
        <v>0.1</v>
      </c>
    </row>
    <row r="14" spans="1:52" x14ac:dyDescent="0.25">
      <c r="A14" s="5" t="s">
        <v>52</v>
      </c>
      <c r="B14" s="5" t="s">
        <v>82</v>
      </c>
      <c r="C14" s="5" t="s">
        <v>77</v>
      </c>
      <c r="F14" s="5" t="s">
        <v>55</v>
      </c>
      <c r="G14" s="5" t="s">
        <v>61</v>
      </c>
      <c r="H14" s="5" t="s">
        <v>57</v>
      </c>
      <c r="I14" s="5">
        <v>14</v>
      </c>
      <c r="J14" s="5" t="str">
        <f>IFERROR(VLOOKUP(I14,[1]INFO_LOCALES!$B:$C,2,FALSE),"")</f>
        <v>COPIAPO</v>
      </c>
      <c r="K14" s="5" t="str">
        <f>IFERROR(VLOOKUP(Tabla2[[#This Row],[TIENDA]],[1]INFO_LOCALES!$B:$D,3,FALSE),"")</f>
        <v>III - Atacama</v>
      </c>
      <c r="L14" s="5" t="str">
        <f>IFERROR(VLOOKUP(I14,[1]INFO_LOCALES!$B:$I,8,FALSE),"")</f>
        <v>Copiapó</v>
      </c>
      <c r="M14" s="5" t="str">
        <f>IFERROR(VLOOKUP(I14,[1]INFO_LOCALES!$B:$H,7,FALSE),"")</f>
        <v>Av. Henrriquez N° 523</v>
      </c>
      <c r="N14" s="5">
        <f>IFERROR(VLOOKUP(I14,[1]INFO_LOCALES!$B:$E,4,FALSE),"")</f>
        <v>0</v>
      </c>
      <c r="O14" s="5" t="str">
        <f>VLOOKUP(Tabla2[[#This Row],[TIENDA]],[1]INFO_LOCALES!$B:$J,9,0)</f>
        <v>CONVENIO</v>
      </c>
      <c r="P14" s="5" t="str">
        <f>IFERROR(VLOOKUP(I14,[1]INFO_LOCALES!$B:$F,5,FALSE),"")</f>
        <v>NUEVA ATACAMA</v>
      </c>
      <c r="Q14" s="5" t="s">
        <v>66</v>
      </c>
      <c r="R14" s="5" t="s">
        <v>58</v>
      </c>
      <c r="S14" s="6">
        <v>45300</v>
      </c>
      <c r="T14" s="5" t="s">
        <v>75</v>
      </c>
      <c r="U14" s="6">
        <v>45250</v>
      </c>
      <c r="V14" s="5" t="s">
        <v>59</v>
      </c>
      <c r="W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4" s="7">
        <f t="shared" si="0"/>
        <v>3</v>
      </c>
      <c r="Y14" s="5">
        <v>9.2799999999999994</v>
      </c>
      <c r="Z14" s="5">
        <v>6.99</v>
      </c>
      <c r="AA14" s="5">
        <v>16.7</v>
      </c>
      <c r="AB14" s="5">
        <v>22.2</v>
      </c>
      <c r="AC14" s="5">
        <v>380</v>
      </c>
      <c r="AD14" s="5">
        <v>8.1300000000000008</v>
      </c>
      <c r="AE14" s="5">
        <v>24.85</v>
      </c>
      <c r="AF14" s="5">
        <v>0.9</v>
      </c>
      <c r="AG14" s="5">
        <v>126</v>
      </c>
      <c r="AH14" s="5">
        <v>7.4880000000000004</v>
      </c>
      <c r="AI14" s="5">
        <f t="shared" si="1"/>
        <v>224.64000000000001</v>
      </c>
      <c r="AY14" s="5">
        <v>0.3</v>
      </c>
    </row>
    <row r="15" spans="1:52" x14ac:dyDescent="0.25">
      <c r="A15" s="5" t="s">
        <v>52</v>
      </c>
      <c r="B15" s="5" t="s">
        <v>76</v>
      </c>
      <c r="C15" s="5" t="s">
        <v>77</v>
      </c>
      <c r="F15" s="5" t="s">
        <v>55</v>
      </c>
      <c r="G15" s="5" t="s">
        <v>61</v>
      </c>
      <c r="H15" s="5" t="s">
        <v>57</v>
      </c>
      <c r="I15" s="5">
        <v>600</v>
      </c>
      <c r="J15" s="5" t="str">
        <f>IFERROR(VLOOKUP(I15,[1]INFO_LOCALES!$B:$C,2,FALSE),"")</f>
        <v>ALTO HOSPICIO II</v>
      </c>
      <c r="K15" s="5" t="str">
        <f>IFERROR(VLOOKUP(Tabla2[[#This Row],[TIENDA]],[1]INFO_LOCALES!$B:$D,3,FALSE),"")</f>
        <v>I - Tarapacá</v>
      </c>
      <c r="L15" s="5" t="str">
        <f>IFERROR(VLOOKUP(I15,[1]INFO_LOCALES!$B:$I,8,FALSE),"")</f>
        <v>Alto Hospicio</v>
      </c>
      <c r="M15" s="5" t="str">
        <f>IFERROR(VLOOKUP(I15,[1]INFO_LOCALES!$B:$H,7,FALSE),"")</f>
        <v>Ruta A16 3350</v>
      </c>
      <c r="N15" s="5">
        <f>IFERROR(VLOOKUP(I15,[1]INFO_LOCALES!$B:$E,4,FALSE),"")</f>
        <v>0</v>
      </c>
      <c r="O15" s="5" t="str">
        <f>VLOOKUP(Tabla2[[#This Row],[TIENDA]],[1]INFO_LOCALES!$B:$J,9,0)</f>
        <v>SIN CONVENIO</v>
      </c>
      <c r="P15" s="5" t="str">
        <f>IFERROR(VLOOKUP(I15,[1]INFO_LOCALES!$B:$F,5,FALSE),"")</f>
        <v>AGUAS DEL ALTIPLANO S.A.</v>
      </c>
      <c r="Q15" s="5" t="s">
        <v>78</v>
      </c>
      <c r="R15" s="5" t="s">
        <v>58</v>
      </c>
      <c r="S15" s="6">
        <v>45349</v>
      </c>
      <c r="T15" s="5" t="s">
        <v>75</v>
      </c>
      <c r="U15" s="6">
        <v>45251</v>
      </c>
      <c r="V15" s="5" t="s">
        <v>59</v>
      </c>
      <c r="W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5" s="7">
        <f t="shared" si="0"/>
        <v>3</v>
      </c>
      <c r="Y15" s="5">
        <v>8</v>
      </c>
      <c r="Z15" s="5">
        <v>7.82</v>
      </c>
      <c r="AA15" s="5">
        <v>41</v>
      </c>
      <c r="AB15" s="5">
        <v>26.53</v>
      </c>
      <c r="AC15" s="5">
        <v>766</v>
      </c>
      <c r="AD15" s="5">
        <v>9.6999999999999993</v>
      </c>
      <c r="AE15" s="5">
        <v>118.56</v>
      </c>
      <c r="AF15" s="5">
        <v>0.6</v>
      </c>
      <c r="AG15" s="5">
        <v>286</v>
      </c>
      <c r="AH15" s="5">
        <v>11.1</v>
      </c>
      <c r="AI15" s="5">
        <f t="shared" si="1"/>
        <v>333</v>
      </c>
      <c r="AZ15" s="8" t="s">
        <v>83</v>
      </c>
    </row>
    <row r="16" spans="1:52" x14ac:dyDescent="0.25">
      <c r="A16" s="5" t="s">
        <v>52</v>
      </c>
      <c r="B16" s="5" t="s">
        <v>82</v>
      </c>
      <c r="C16" s="5" t="s">
        <v>77</v>
      </c>
      <c r="F16" s="5" t="s">
        <v>55</v>
      </c>
      <c r="G16" s="5" t="s">
        <v>65</v>
      </c>
      <c r="H16" s="5" t="s">
        <v>57</v>
      </c>
      <c r="I16" s="5">
        <v>472</v>
      </c>
      <c r="J16" s="5" t="str">
        <f>IFERROR(VLOOKUP(I16,[1]INFO_LOCALES!$B:$C,2,FALSE),"")</f>
        <v>CALDERA I</v>
      </c>
      <c r="K16" s="5" t="str">
        <f>IFERROR(VLOOKUP(Tabla2[[#This Row],[TIENDA]],[1]INFO_LOCALES!$B:$D,3,FALSE),"")</f>
        <v>III - Atacama</v>
      </c>
      <c r="L16" s="5" t="str">
        <f>IFERROR(VLOOKUP(I16,[1]INFO_LOCALES!$B:$I,8,FALSE),"")</f>
        <v>Caldera</v>
      </c>
      <c r="M16" s="5" t="str">
        <f>IFERROR(VLOOKUP(I16,[1]INFO_LOCALES!$B:$H,7,FALSE),"")</f>
        <v>Batallon Atacama 319</v>
      </c>
      <c r="N16" s="5">
        <f>IFERROR(VLOOKUP(I16,[1]INFO_LOCALES!$B:$E,4,FALSE),"")</f>
        <v>0</v>
      </c>
      <c r="O16" s="5" t="str">
        <f>VLOOKUP(Tabla2[[#This Row],[TIENDA]],[1]INFO_LOCALES!$B:$J,9,0)</f>
        <v>CONVENIO</v>
      </c>
      <c r="P16" s="5" t="str">
        <f>IFERROR(VLOOKUP(I16,[1]INFO_LOCALES!$B:$F,5,FALSE),"")</f>
        <v>NUEVA ATACAMA</v>
      </c>
      <c r="Q16" s="5" t="s">
        <v>66</v>
      </c>
      <c r="R16" s="5" t="s">
        <v>58</v>
      </c>
      <c r="S16" s="6">
        <v>45300</v>
      </c>
      <c r="T16" s="5" t="s">
        <v>75</v>
      </c>
      <c r="U16" s="6">
        <v>45252</v>
      </c>
      <c r="V16" s="5" t="s">
        <v>59</v>
      </c>
      <c r="W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" s="7">
        <f t="shared" si="0"/>
        <v>1</v>
      </c>
      <c r="Y16" s="5">
        <v>3.6</v>
      </c>
      <c r="Z16" s="5">
        <v>7.8</v>
      </c>
      <c r="AA16" s="5">
        <v>7</v>
      </c>
      <c r="AB16" s="5">
        <v>21.7</v>
      </c>
      <c r="AC16" s="5">
        <v>169</v>
      </c>
      <c r="AD16" s="5">
        <v>7.57</v>
      </c>
      <c r="AE16" s="5">
        <v>44.4</v>
      </c>
      <c r="AF16" s="5">
        <v>0.9</v>
      </c>
      <c r="AG16" s="5">
        <v>119</v>
      </c>
      <c r="AH16" s="5">
        <v>1.1519999999999999</v>
      </c>
      <c r="AI16" s="5">
        <f t="shared" si="1"/>
        <v>34.559999999999995</v>
      </c>
      <c r="AY16" s="5">
        <v>0.1</v>
      </c>
      <c r="AZ16" s="8" t="s">
        <v>84</v>
      </c>
    </row>
    <row r="17" spans="1:52" x14ac:dyDescent="0.25">
      <c r="A17" s="5" t="s">
        <v>52</v>
      </c>
      <c r="B17" s="5" t="s">
        <v>80</v>
      </c>
      <c r="C17" s="5" t="s">
        <v>81</v>
      </c>
      <c r="F17" s="5" t="s">
        <v>55</v>
      </c>
      <c r="G17" s="5" t="s">
        <v>65</v>
      </c>
      <c r="H17" s="5" t="s">
        <v>57</v>
      </c>
      <c r="I17" s="5">
        <v>532</v>
      </c>
      <c r="J17" s="5" t="str">
        <f>IFERROR(VLOOKUP(I17,[1]INFO_LOCALES!$B:$C,2,FALSE),"")</f>
        <v>CURACAUTIN</v>
      </c>
      <c r="K17" s="5" t="str">
        <f>IFERROR(VLOOKUP(Tabla2[[#This Row],[TIENDA]],[1]INFO_LOCALES!$B:$D,3,FALSE),"")</f>
        <v>IX - Araucanía</v>
      </c>
      <c r="L17" s="5" t="str">
        <f>IFERROR(VLOOKUP(I17,[1]INFO_LOCALES!$B:$I,8,FALSE),"")</f>
        <v>Curacautin</v>
      </c>
      <c r="M17" s="5" t="str">
        <f>IFERROR(VLOOKUP(I17,[1]INFO_LOCALES!$B:$H,7,FALSE),"")</f>
        <v>O"Higgins 515</v>
      </c>
      <c r="N17" s="5">
        <f>IFERROR(VLOOKUP(I17,[1]INFO_LOCALES!$B:$E,4,FALSE),"")</f>
        <v>0</v>
      </c>
      <c r="O17" s="5" t="str">
        <f>VLOOKUP(Tabla2[[#This Row],[TIENDA]],[1]INFO_LOCALES!$B:$J,9,0)</f>
        <v>CONVENIO</v>
      </c>
      <c r="P17" s="5" t="str">
        <f>IFERROR(VLOOKUP(I17,[1]INFO_LOCALES!$B:$F,5,FALSE),"")</f>
        <v>AGUAS ARAUCANIA S A</v>
      </c>
      <c r="Q17" s="5" t="s">
        <v>62</v>
      </c>
      <c r="R17" s="5" t="s">
        <v>58</v>
      </c>
      <c r="S17" s="6">
        <v>45316</v>
      </c>
      <c r="T17" s="5" t="s">
        <v>75</v>
      </c>
      <c r="U17" s="6">
        <v>45257</v>
      </c>
      <c r="V17" s="5" t="s">
        <v>59</v>
      </c>
      <c r="W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7" s="7">
        <f t="shared" si="0"/>
        <v>2</v>
      </c>
      <c r="Y17" s="5">
        <v>4.88</v>
      </c>
      <c r="Z17" s="5">
        <v>8.07</v>
      </c>
      <c r="AA17" s="5">
        <v>12</v>
      </c>
      <c r="AB17" s="5">
        <v>21</v>
      </c>
      <c r="AC17" s="5">
        <v>195</v>
      </c>
      <c r="AD17" s="5">
        <v>9.1999999999999993</v>
      </c>
      <c r="AE17" s="5">
        <v>50.6</v>
      </c>
      <c r="AF17" s="5">
        <v>20</v>
      </c>
      <c r="AG17" s="5">
        <v>118</v>
      </c>
      <c r="AH17" s="5">
        <v>1.01</v>
      </c>
      <c r="AI17" s="5">
        <f t="shared" si="1"/>
        <v>30.3</v>
      </c>
    </row>
    <row r="18" spans="1:52" x14ac:dyDescent="0.25">
      <c r="A18" s="5" t="s">
        <v>52</v>
      </c>
      <c r="B18" s="5" t="s">
        <v>82</v>
      </c>
      <c r="C18" s="5" t="s">
        <v>77</v>
      </c>
      <c r="F18" s="5" t="s">
        <v>55</v>
      </c>
      <c r="G18" s="5" t="s">
        <v>61</v>
      </c>
      <c r="H18" s="5" t="s">
        <v>57</v>
      </c>
      <c r="I18" s="5">
        <v>22</v>
      </c>
      <c r="J18" s="5" t="str">
        <f>IFERROR(VLOOKUP(I18,[1]INFO_LOCALES!$B:$C,2,FALSE),"")</f>
        <v>ATACAMA</v>
      </c>
      <c r="K18" s="5" t="str">
        <f>IFERROR(VLOOKUP(Tabla2[[#This Row],[TIENDA]],[1]INFO_LOCALES!$B:$D,3,FALSE),"")</f>
        <v>III - Atacama</v>
      </c>
      <c r="L18" s="5" t="str">
        <f>IFERROR(VLOOKUP(I18,[1]INFO_LOCALES!$B:$I,8,FALSE),"")</f>
        <v>Copiapó</v>
      </c>
      <c r="M18" s="5" t="str">
        <f>IFERROR(VLOOKUP(I18,[1]INFO_LOCALES!$B:$H,7,FALSE),"")</f>
        <v>Los Carreras 2242</v>
      </c>
      <c r="N18" s="5">
        <f>IFERROR(VLOOKUP(I18,[1]INFO_LOCALES!$B:$E,4,FALSE),"")</f>
        <v>2666</v>
      </c>
      <c r="O18" s="5" t="str">
        <f>VLOOKUP(Tabla2[[#This Row],[TIENDA]],[1]INFO_LOCALES!$B:$J,9,0)</f>
        <v>CONVENIO</v>
      </c>
      <c r="P18" s="5" t="str">
        <f>IFERROR(VLOOKUP(I18,[1]INFO_LOCALES!$B:$F,5,FALSE),"")</f>
        <v>NUEVA ATACAMA</v>
      </c>
      <c r="Q18" s="5" t="s">
        <v>66</v>
      </c>
      <c r="R18" s="5" t="s">
        <v>58</v>
      </c>
      <c r="S18" s="6">
        <v>45300</v>
      </c>
      <c r="T18" s="5" t="s">
        <v>75</v>
      </c>
      <c r="U18" s="6">
        <v>45258</v>
      </c>
      <c r="V18" s="5" t="s">
        <v>59</v>
      </c>
      <c r="W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8" s="7">
        <f t="shared" si="0"/>
        <v>2</v>
      </c>
      <c r="Y18" s="5">
        <v>20.78</v>
      </c>
      <c r="Z18" s="5">
        <v>6.9</v>
      </c>
      <c r="AA18" s="5">
        <v>7</v>
      </c>
      <c r="AB18" s="5">
        <v>20.9</v>
      </c>
      <c r="AC18" s="5">
        <v>510</v>
      </c>
      <c r="AD18" s="5">
        <v>18</v>
      </c>
      <c r="AE18" s="5">
        <v>47.3</v>
      </c>
      <c r="AF18" s="5">
        <v>1.8</v>
      </c>
      <c r="AG18" s="5">
        <v>101</v>
      </c>
      <c r="AH18" s="5">
        <v>64.512</v>
      </c>
      <c r="AI18" s="5">
        <f t="shared" si="1"/>
        <v>1935.3600000000001</v>
      </c>
      <c r="AY18" s="5">
        <v>1</v>
      </c>
    </row>
    <row r="19" spans="1:52" x14ac:dyDescent="0.25">
      <c r="A19" s="5" t="s">
        <v>52</v>
      </c>
      <c r="B19" s="5" t="s">
        <v>82</v>
      </c>
      <c r="C19" s="5" t="s">
        <v>77</v>
      </c>
      <c r="F19" s="5" t="s">
        <v>55</v>
      </c>
      <c r="G19" s="5" t="s">
        <v>61</v>
      </c>
      <c r="H19" s="5" t="s">
        <v>57</v>
      </c>
      <c r="I19" s="5">
        <v>32</v>
      </c>
      <c r="J19" s="5" t="str">
        <f>IFERROR(VLOOKUP(I19,[1]INFO_LOCALES!$B:$C,2,FALSE),"")</f>
        <v>CHAÑARCILLO</v>
      </c>
      <c r="K19" s="5" t="str">
        <f>IFERROR(VLOOKUP(Tabla2[[#This Row],[TIENDA]],[1]INFO_LOCALES!$B:$D,3,FALSE),"")</f>
        <v>III - Atacama</v>
      </c>
      <c r="L19" s="5" t="str">
        <f>IFERROR(VLOOKUP(I19,[1]INFO_LOCALES!$B:$I,8,FALSE),"")</f>
        <v>Copiapó</v>
      </c>
      <c r="M19" s="5" t="str">
        <f>IFERROR(VLOOKUP(I19,[1]INFO_LOCALES!$B:$H,7,FALSE),"")</f>
        <v>Chacabuco Nº 231</v>
      </c>
      <c r="N19" s="5">
        <f>IFERROR(VLOOKUP(I19,[1]INFO_LOCALES!$B:$E,4,FALSE),"")</f>
        <v>0</v>
      </c>
      <c r="O19" s="5" t="str">
        <f>VLOOKUP(Tabla2[[#This Row],[TIENDA]],[1]INFO_LOCALES!$B:$J,9,0)</f>
        <v>CONVENIO</v>
      </c>
      <c r="P19" s="5" t="str">
        <f>IFERROR(VLOOKUP(I19,[1]INFO_LOCALES!$B:$F,5,FALSE),"")</f>
        <v>NUEVA ATACAMA</v>
      </c>
      <c r="Q19" s="5" t="s">
        <v>66</v>
      </c>
      <c r="R19" s="5" t="s">
        <v>58</v>
      </c>
      <c r="S19" s="6">
        <v>45300</v>
      </c>
      <c r="T19" s="5" t="s">
        <v>75</v>
      </c>
      <c r="U19" s="6">
        <v>45259</v>
      </c>
      <c r="V19" s="5" t="s">
        <v>59</v>
      </c>
      <c r="W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9" s="7">
        <f t="shared" si="0"/>
        <v>3</v>
      </c>
      <c r="Y19" s="5">
        <v>15.53</v>
      </c>
      <c r="Z19" s="5">
        <v>6.8</v>
      </c>
      <c r="AA19" s="5">
        <v>21</v>
      </c>
      <c r="AB19" s="5">
        <v>19.899999999999999</v>
      </c>
      <c r="AC19" s="5">
        <v>177</v>
      </c>
      <c r="AD19" s="5">
        <v>8.84</v>
      </c>
      <c r="AE19" s="5">
        <v>77.5</v>
      </c>
      <c r="AF19" s="5">
        <v>0.9</v>
      </c>
      <c r="AG19" s="5">
        <v>97</v>
      </c>
      <c r="AH19" s="5">
        <v>260.00599999999997</v>
      </c>
      <c r="AI19" s="5">
        <f t="shared" si="1"/>
        <v>7800.1799999999994</v>
      </c>
      <c r="AY19" s="5">
        <v>0.1</v>
      </c>
    </row>
    <row r="20" spans="1:52" x14ac:dyDescent="0.25">
      <c r="A20" s="5" t="s">
        <v>52</v>
      </c>
      <c r="B20" s="5" t="s">
        <v>82</v>
      </c>
      <c r="C20" s="5" t="s">
        <v>77</v>
      </c>
      <c r="F20" s="5" t="s">
        <v>55</v>
      </c>
      <c r="G20" s="5" t="s">
        <v>65</v>
      </c>
      <c r="H20" s="5" t="s">
        <v>57</v>
      </c>
      <c r="I20" s="5">
        <v>7</v>
      </c>
      <c r="J20" s="5" t="str">
        <f>IFERROR(VLOOKUP(I20,[1]INFO_LOCALES!$B:$C,2,FALSE),"")</f>
        <v>VALLENAR I</v>
      </c>
      <c r="K20" s="5" t="str">
        <f>IFERROR(VLOOKUP(Tabla2[[#This Row],[TIENDA]],[1]INFO_LOCALES!$B:$D,3,FALSE),"")</f>
        <v>III - Atacama</v>
      </c>
      <c r="L20" s="5" t="str">
        <f>IFERROR(VLOOKUP(I20,[1]INFO_LOCALES!$B:$I,8,FALSE),"")</f>
        <v>Vallenar</v>
      </c>
      <c r="M20" s="5" t="str">
        <f>IFERROR(VLOOKUP(I20,[1]INFO_LOCALES!$B:$H,7,FALSE),"")</f>
        <v>Brasil 663</v>
      </c>
      <c r="N20" s="5">
        <f>IFERROR(VLOOKUP(I20,[1]INFO_LOCALES!$B:$E,4,FALSE),"")</f>
        <v>0</v>
      </c>
      <c r="O20" s="5" t="str">
        <f>VLOOKUP(Tabla2[[#This Row],[TIENDA]],[1]INFO_LOCALES!$B:$J,9,0)</f>
        <v>CONVENIO</v>
      </c>
      <c r="P20" s="5" t="str">
        <f>IFERROR(VLOOKUP(I20,[1]INFO_LOCALES!$B:$F,5,FALSE),"")</f>
        <v>NUEVA ATACAMA</v>
      </c>
      <c r="Q20" s="5" t="s">
        <v>85</v>
      </c>
      <c r="R20" s="5" t="s">
        <v>86</v>
      </c>
      <c r="S20" s="6" t="s">
        <v>87</v>
      </c>
      <c r="T20" s="5" t="s">
        <v>88</v>
      </c>
      <c r="U20" s="6">
        <v>45261</v>
      </c>
      <c r="V20" s="5" t="s">
        <v>59</v>
      </c>
      <c r="W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0" s="7">
        <f t="shared" si="0"/>
        <v>1</v>
      </c>
      <c r="Y20" s="5">
        <v>34</v>
      </c>
      <c r="Z20" s="5">
        <v>7.08</v>
      </c>
      <c r="AA20" s="5">
        <v>4</v>
      </c>
      <c r="AB20" s="5">
        <v>19.3</v>
      </c>
      <c r="AC20" s="5">
        <v>225</v>
      </c>
      <c r="AD20" s="5">
        <v>6.4</v>
      </c>
      <c r="AE20" s="5">
        <v>29.5</v>
      </c>
      <c r="AF20" s="5">
        <v>0.5</v>
      </c>
      <c r="AG20" s="5">
        <v>178</v>
      </c>
      <c r="AH20" s="5">
        <v>5.3</v>
      </c>
      <c r="AI20" s="5">
        <f t="shared" si="1"/>
        <v>159</v>
      </c>
    </row>
    <row r="21" spans="1:52" x14ac:dyDescent="0.25">
      <c r="A21" s="5" t="s">
        <v>52</v>
      </c>
      <c r="B21" s="5" t="s">
        <v>76</v>
      </c>
      <c r="C21" s="5" t="s">
        <v>77</v>
      </c>
      <c r="F21" s="5" t="s">
        <v>55</v>
      </c>
      <c r="G21" s="5" t="s">
        <v>61</v>
      </c>
      <c r="H21" s="5" t="s">
        <v>57</v>
      </c>
      <c r="I21" s="5">
        <v>87</v>
      </c>
      <c r="J21" s="5" t="str">
        <f>IFERROR(VLOOKUP(I21,[1]INFO_LOCALES!$B:$C,2,FALSE),"")</f>
        <v>JUAN MARTINEZ</v>
      </c>
      <c r="K21" s="5" t="str">
        <f>IFERROR(VLOOKUP(Tabla2[[#This Row],[TIENDA]],[1]INFO_LOCALES!$B:$D,3,FALSE),"")</f>
        <v>I - Tarapacá</v>
      </c>
      <c r="L21" s="5" t="str">
        <f>IFERROR(VLOOKUP(I21,[1]INFO_LOCALES!$B:$I,8,FALSE),"")</f>
        <v>Iquique</v>
      </c>
      <c r="M21" s="5" t="str">
        <f>IFERROR(VLOOKUP(I21,[1]INFO_LOCALES!$B:$H,7,FALSE),"")</f>
        <v>M. Rodriguez 964</v>
      </c>
      <c r="N21" s="5">
        <f>IFERROR(VLOOKUP(I21,[1]INFO_LOCALES!$B:$E,4,FALSE),"")</f>
        <v>0</v>
      </c>
      <c r="O21" s="5" t="str">
        <f>VLOOKUP(Tabla2[[#This Row],[TIENDA]],[1]INFO_LOCALES!$B:$J,9,0)</f>
        <v>CONVENIO</v>
      </c>
      <c r="P21" s="5" t="str">
        <f>IFERROR(VLOOKUP(I21,[1]INFO_LOCALES!$B:$F,5,FALSE),"")</f>
        <v>AGUAS DEL ALTIPLANO S.A.</v>
      </c>
      <c r="Q21" s="5" t="s">
        <v>78</v>
      </c>
      <c r="R21" s="5" t="s">
        <v>58</v>
      </c>
      <c r="S21" s="6">
        <v>45349</v>
      </c>
      <c r="T21" s="5" t="s">
        <v>88</v>
      </c>
      <c r="U21" s="6">
        <v>45271</v>
      </c>
      <c r="V21" s="5" t="s">
        <v>59</v>
      </c>
      <c r="W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1" s="7">
        <f t="shared" si="0"/>
        <v>3</v>
      </c>
      <c r="Y21" s="5">
        <v>9</v>
      </c>
      <c r="Z21" s="5">
        <v>7.43</v>
      </c>
      <c r="AA21" s="5">
        <v>23</v>
      </c>
      <c r="AB21" s="5">
        <v>25.44</v>
      </c>
      <c r="AC21" s="5">
        <v>332</v>
      </c>
      <c r="AD21" s="5">
        <v>8.5</v>
      </c>
      <c r="AE21" s="5">
        <v>53.74</v>
      </c>
      <c r="AF21" s="5">
        <v>10.1</v>
      </c>
      <c r="AG21" s="5">
        <v>206</v>
      </c>
      <c r="AH21" s="5">
        <v>8.9</v>
      </c>
      <c r="AI21" s="5">
        <f t="shared" si="1"/>
        <v>267</v>
      </c>
      <c r="AZ21" s="8" t="s">
        <v>89</v>
      </c>
    </row>
    <row r="22" spans="1:52" x14ac:dyDescent="0.25">
      <c r="A22" s="5" t="s">
        <v>52</v>
      </c>
      <c r="B22" s="5" t="s">
        <v>90</v>
      </c>
      <c r="C22" s="5" t="s">
        <v>81</v>
      </c>
      <c r="F22" s="5" t="s">
        <v>55</v>
      </c>
      <c r="G22" s="5" t="s">
        <v>61</v>
      </c>
      <c r="H22" s="5" t="s">
        <v>57</v>
      </c>
      <c r="I22" s="5">
        <v>778</v>
      </c>
      <c r="J22" s="5" t="str">
        <f>IFERROR(VLOOKUP(I22,[1]INFO_LOCALES!$B:$C,2,FALSE),"")</f>
        <v>ORIENTE</v>
      </c>
      <c r="K22" s="5" t="str">
        <f>IFERROR(VLOOKUP(Tabla2[[#This Row],[TIENDA]],[1]INFO_LOCALES!$B:$D,3,FALSE),"")</f>
        <v>X - Los Lagos</v>
      </c>
      <c r="L22" s="5" t="str">
        <f>IFERROR(VLOOKUP(I22,[1]INFO_LOCALES!$B:$I,8,FALSE),"")</f>
        <v>Osorno</v>
      </c>
      <c r="M22" s="5" t="str">
        <f>IFERROR(VLOOKUP(I22,[1]INFO_LOCALES!$B:$H,7,FALSE),"")</f>
        <v>Julio Buschman 2223</v>
      </c>
      <c r="N22" s="5">
        <f>IFERROR(VLOOKUP(I22,[1]INFO_LOCALES!$B:$E,4,FALSE),"")</f>
        <v>2867</v>
      </c>
      <c r="O22" s="5" t="str">
        <f>VLOOKUP(Tabla2[[#This Row],[TIENDA]],[1]INFO_LOCALES!$B:$J,9,0)</f>
        <v>CONVENIO</v>
      </c>
      <c r="P22" s="5" t="str">
        <f>IFERROR(VLOOKUP(I22,[1]INFO_LOCALES!$B:$F,5,FALSE),"")</f>
        <v>SURALIS</v>
      </c>
      <c r="Q22" s="5" t="s">
        <v>85</v>
      </c>
      <c r="R22" s="5" t="s">
        <v>58</v>
      </c>
      <c r="S22" s="6">
        <v>45323</v>
      </c>
      <c r="T22" s="5" t="s">
        <v>88</v>
      </c>
      <c r="U22" s="6">
        <v>45272</v>
      </c>
      <c r="V22" s="5" t="s">
        <v>59</v>
      </c>
      <c r="W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2" s="7">
        <f t="shared" si="0"/>
        <v>2</v>
      </c>
      <c r="Y22" s="5">
        <v>37</v>
      </c>
      <c r="Z22" s="5">
        <v>8.0399999999999991</v>
      </c>
      <c r="AA22" s="5">
        <v>2</v>
      </c>
      <c r="AB22" s="5">
        <v>9.3000000000000007</v>
      </c>
      <c r="AC22" s="5">
        <v>428</v>
      </c>
      <c r="AD22" s="5">
        <v>12.4</v>
      </c>
      <c r="AE22" s="5">
        <v>54.95</v>
      </c>
      <c r="AF22" s="5">
        <v>0.5</v>
      </c>
      <c r="AG22" s="5">
        <v>114</v>
      </c>
      <c r="AH22" s="5">
        <v>6.3</v>
      </c>
      <c r="AI22" s="5">
        <f t="shared" si="1"/>
        <v>189</v>
      </c>
      <c r="AZ22" s="8" t="s">
        <v>91</v>
      </c>
    </row>
    <row r="23" spans="1:52" x14ac:dyDescent="0.25">
      <c r="A23" s="5" t="s">
        <v>52</v>
      </c>
      <c r="B23" s="5" t="s">
        <v>90</v>
      </c>
      <c r="C23" s="5" t="s">
        <v>81</v>
      </c>
      <c r="F23" s="5" t="s">
        <v>55</v>
      </c>
      <c r="G23" s="5" t="s">
        <v>65</v>
      </c>
      <c r="H23" s="5" t="s">
        <v>57</v>
      </c>
      <c r="I23" s="5">
        <v>544</v>
      </c>
      <c r="J23" s="5" t="str">
        <f>IFERROR(VLOOKUP(I23,[1]INFO_LOCALES!$B:$C,2,FALSE),"")</f>
        <v>PURRANQUE</v>
      </c>
      <c r="K23" s="5" t="str">
        <f>IFERROR(VLOOKUP(Tabla2[[#This Row],[TIENDA]],[1]INFO_LOCALES!$B:$D,3,FALSE),"")</f>
        <v>X - Los Lagos</v>
      </c>
      <c r="L23" s="5" t="str">
        <f>IFERROR(VLOOKUP(I23,[1]INFO_LOCALES!$B:$I,8,FALSE),"")</f>
        <v>Purranque</v>
      </c>
      <c r="M23" s="5" t="str">
        <f>IFERROR(VLOOKUP(I23,[1]INFO_LOCALES!$B:$H,7,FALSE),"")</f>
        <v>Eleuterio Ramirez 549</v>
      </c>
      <c r="N23" s="5">
        <f>IFERROR(VLOOKUP(I23,[1]INFO_LOCALES!$B:$E,4,FALSE),"")</f>
        <v>0</v>
      </c>
      <c r="O23" s="5" t="str">
        <f>VLOOKUP(Tabla2[[#This Row],[TIENDA]],[1]INFO_LOCALES!$B:$J,9,0)</f>
        <v>SIN CONVENIO</v>
      </c>
      <c r="P23" s="5" t="str">
        <f>IFERROR(VLOOKUP(I23,[1]INFO_LOCALES!$B:$F,5,FALSE),"")</f>
        <v>SURALIS</v>
      </c>
      <c r="Q23" s="5" t="s">
        <v>85</v>
      </c>
      <c r="R23" s="5" t="s">
        <v>58</v>
      </c>
      <c r="S23" s="6">
        <v>45323</v>
      </c>
      <c r="T23" s="5" t="s">
        <v>88</v>
      </c>
      <c r="U23" s="6">
        <v>45280</v>
      </c>
      <c r="V23" s="5" t="s">
        <v>59</v>
      </c>
      <c r="W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3" s="7">
        <f t="shared" si="0"/>
        <v>1</v>
      </c>
      <c r="Y23" s="5">
        <v>14</v>
      </c>
      <c r="Z23" s="5">
        <v>7.7</v>
      </c>
      <c r="AA23" s="5">
        <v>2</v>
      </c>
      <c r="AB23" s="5">
        <v>15.1</v>
      </c>
      <c r="AC23" s="5">
        <v>27</v>
      </c>
      <c r="AD23" s="5">
        <v>1.6</v>
      </c>
      <c r="AE23" s="5">
        <v>1.47</v>
      </c>
      <c r="AF23" s="5">
        <v>0.5</v>
      </c>
      <c r="AG23" s="5">
        <v>15</v>
      </c>
      <c r="AH23" s="5">
        <v>16.2</v>
      </c>
      <c r="AI23" s="5">
        <f t="shared" si="1"/>
        <v>486</v>
      </c>
      <c r="AZ23" s="8" t="s">
        <v>92</v>
      </c>
    </row>
    <row r="24" spans="1:52" x14ac:dyDescent="0.25">
      <c r="A24" s="5" t="s">
        <v>52</v>
      </c>
      <c r="B24" s="5" t="s">
        <v>93</v>
      </c>
      <c r="C24" s="5" t="s">
        <v>81</v>
      </c>
      <c r="F24" s="5" t="s">
        <v>55</v>
      </c>
      <c r="G24" s="5" t="s">
        <v>61</v>
      </c>
      <c r="H24" s="5" t="s">
        <v>57</v>
      </c>
      <c r="I24" s="5">
        <v>576</v>
      </c>
      <c r="J24" s="5" t="str">
        <f>IFERROR(VLOOKUP(I24,[1]INFO_LOCALES!$B:$C,2,FALSE),"")</f>
        <v>CASTRO I</v>
      </c>
      <c r="K24" s="5" t="str">
        <f>IFERROR(VLOOKUP(Tabla2[[#This Row],[TIENDA]],[1]INFO_LOCALES!$B:$D,3,FALSE),"")</f>
        <v>X - Los Lagos</v>
      </c>
      <c r="L24" s="5" t="str">
        <f>IFERROR(VLOOKUP(I24,[1]INFO_LOCALES!$B:$I,8,FALSE),"")</f>
        <v>Castro</v>
      </c>
      <c r="M24" s="5" t="str">
        <f>IFERROR(VLOOKUP(I24,[1]INFO_LOCALES!$B:$H,7,FALSE),"")</f>
        <v>O'Higgins 711</v>
      </c>
      <c r="N24" s="5">
        <f>IFERROR(VLOOKUP(I24,[1]INFO_LOCALES!$B:$E,4,FALSE),"")</f>
        <v>3875</v>
      </c>
      <c r="O24" s="5" t="str">
        <f>VLOOKUP(Tabla2[[#This Row],[TIENDA]],[1]INFO_LOCALES!$B:$J,9,0)</f>
        <v>SIN CONVENIO</v>
      </c>
      <c r="P24" s="5" t="str">
        <f>IFERROR(VLOOKUP(I24,[1]INFO_LOCALES!$B:$F,5,FALSE),"")</f>
        <v>SURALIS</v>
      </c>
      <c r="Q24" s="5" t="s">
        <v>85</v>
      </c>
      <c r="R24" s="5" t="s">
        <v>58</v>
      </c>
      <c r="S24" s="6">
        <v>45323</v>
      </c>
      <c r="T24" s="5" t="s">
        <v>88</v>
      </c>
      <c r="U24" s="6">
        <v>45282</v>
      </c>
      <c r="V24" s="5" t="s">
        <v>59</v>
      </c>
      <c r="W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4" s="7">
        <f t="shared" si="0"/>
        <v>1</v>
      </c>
      <c r="Y24" s="5">
        <v>38</v>
      </c>
      <c r="Z24" s="5">
        <v>7.46</v>
      </c>
      <c r="AA24" s="5">
        <v>2</v>
      </c>
      <c r="AB24" s="5">
        <v>16.399999999999999</v>
      </c>
      <c r="AC24" s="5">
        <v>131</v>
      </c>
      <c r="AD24" s="5">
        <v>9</v>
      </c>
      <c r="AE24" s="5">
        <v>13.67</v>
      </c>
      <c r="AF24" s="5">
        <v>1</v>
      </c>
      <c r="AG24" s="5">
        <v>170</v>
      </c>
      <c r="AH24" s="5">
        <v>0</v>
      </c>
      <c r="AI24" s="5">
        <f t="shared" si="1"/>
        <v>0</v>
      </c>
      <c r="AZ24" s="8" t="s">
        <v>94</v>
      </c>
    </row>
    <row r="25" spans="1:52" x14ac:dyDescent="0.25">
      <c r="A25" s="5" t="s">
        <v>52</v>
      </c>
      <c r="B25" s="5" t="s">
        <v>90</v>
      </c>
      <c r="C25" s="5" t="s">
        <v>81</v>
      </c>
      <c r="F25" s="5" t="s">
        <v>55</v>
      </c>
      <c r="G25" s="5" t="s">
        <v>61</v>
      </c>
      <c r="H25" s="5" t="s">
        <v>57</v>
      </c>
      <c r="I25" s="5">
        <v>777</v>
      </c>
      <c r="J25" s="5" t="str">
        <f>IFERROR(VLOOKUP(I25,[1]INFO_LOCALES!$B:$C,2,FALSE),"")</f>
        <v>CENTRAL</v>
      </c>
      <c r="K25" s="5" t="str">
        <f>IFERROR(VLOOKUP(Tabla2[[#This Row],[TIENDA]],[1]INFO_LOCALES!$B:$D,3,FALSE),"")</f>
        <v>X - Los Lagos</v>
      </c>
      <c r="L25" s="5" t="str">
        <f>IFERROR(VLOOKUP(I25,[1]INFO_LOCALES!$B:$I,8,FALSE),"")</f>
        <v>Osorno</v>
      </c>
      <c r="M25" s="5" t="str">
        <f>IFERROR(VLOOKUP(I25,[1]INFO_LOCALES!$B:$H,7,FALSE),"")</f>
        <v>Patricio Lynch 1278</v>
      </c>
      <c r="N25" s="5">
        <f>IFERROR(VLOOKUP(I25,[1]INFO_LOCALES!$B:$E,4,FALSE),"")</f>
        <v>3684</v>
      </c>
      <c r="O25" s="5" t="str">
        <f>VLOOKUP(Tabla2[[#This Row],[TIENDA]],[1]INFO_LOCALES!$B:$J,9,0)</f>
        <v>CONVENIO</v>
      </c>
      <c r="P25" s="5" t="str">
        <f>IFERROR(VLOOKUP(I25,[1]INFO_LOCALES!$B:$F,5,FALSE),"")</f>
        <v>SURALIS</v>
      </c>
      <c r="Q25" s="5" t="s">
        <v>85</v>
      </c>
      <c r="R25" s="5" t="s">
        <v>58</v>
      </c>
      <c r="S25" s="6">
        <v>45323</v>
      </c>
      <c r="T25" s="5" t="s">
        <v>88</v>
      </c>
      <c r="U25" s="6">
        <v>45289</v>
      </c>
      <c r="V25" s="5" t="s">
        <v>59</v>
      </c>
      <c r="W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5" s="7">
        <f t="shared" si="0"/>
        <v>1</v>
      </c>
      <c r="Y25" s="5">
        <v>15</v>
      </c>
      <c r="Z25" s="5">
        <v>7.3</v>
      </c>
      <c r="AA25" s="5">
        <v>4</v>
      </c>
      <c r="AB25" s="5">
        <v>14.7</v>
      </c>
      <c r="AC25" s="5">
        <v>273</v>
      </c>
      <c r="AD25" s="5">
        <v>9</v>
      </c>
      <c r="AE25" s="5">
        <v>5.99</v>
      </c>
      <c r="AF25" s="5">
        <v>0.5</v>
      </c>
      <c r="AG25" s="5">
        <v>67</v>
      </c>
      <c r="AH25" s="5">
        <v>1.8</v>
      </c>
      <c r="AI25" s="5">
        <f t="shared" si="1"/>
        <v>54</v>
      </c>
      <c r="AZ25" s="8" t="s">
        <v>95</v>
      </c>
    </row>
    <row r="26" spans="1:52" x14ac:dyDescent="0.25">
      <c r="A26" s="5" t="s">
        <v>52</v>
      </c>
      <c r="B26" s="5" t="s">
        <v>82</v>
      </c>
      <c r="C26" s="5" t="s">
        <v>77</v>
      </c>
      <c r="F26" s="5" t="s">
        <v>55</v>
      </c>
      <c r="G26" s="5" t="s">
        <v>65</v>
      </c>
      <c r="H26" s="5" t="s">
        <v>57</v>
      </c>
      <c r="I26" s="5">
        <v>32</v>
      </c>
      <c r="J26" s="5" t="str">
        <f>IFERROR(VLOOKUP(I26,[1]INFO_LOCALES!$B:$C,2,FALSE),"")</f>
        <v>CHAÑARCILLO</v>
      </c>
      <c r="K26" s="5" t="str">
        <f>IFERROR(VLOOKUP(Tabla2[[#This Row],[TIENDA]],[1]INFO_LOCALES!$B:$D,3,FALSE),"")</f>
        <v>III - Atacama</v>
      </c>
      <c r="L26" s="5" t="str">
        <f>IFERROR(VLOOKUP(I26,[1]INFO_LOCALES!$B:$I,8,FALSE),"")</f>
        <v>Copiapó</v>
      </c>
      <c r="M26" s="5" t="str">
        <f>IFERROR(VLOOKUP(I26,[1]INFO_LOCALES!$B:$H,7,FALSE),"")</f>
        <v>Chacabuco Nº 231</v>
      </c>
      <c r="N26" s="5">
        <f>IFERROR(VLOOKUP(I26,[1]INFO_LOCALES!$B:$E,4,FALSE),"")</f>
        <v>0</v>
      </c>
      <c r="O26" s="5" t="str">
        <f>VLOOKUP(Tabla2[[#This Row],[TIENDA]],[1]INFO_LOCALES!$B:$J,9,0)</f>
        <v>CONVENIO</v>
      </c>
      <c r="P26" s="5" t="str">
        <f>IFERROR(VLOOKUP(I26,[1]INFO_LOCALES!$B:$F,5,FALSE),"")</f>
        <v>NUEVA ATACAMA</v>
      </c>
      <c r="Q26" s="5" t="s">
        <v>85</v>
      </c>
      <c r="R26" s="5" t="s">
        <v>86</v>
      </c>
      <c r="S26" s="6" t="s">
        <v>87</v>
      </c>
      <c r="T26" s="5" t="s">
        <v>96</v>
      </c>
      <c r="U26" s="6">
        <v>45294</v>
      </c>
      <c r="V26" s="5" t="s">
        <v>59</v>
      </c>
      <c r="W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6" s="7">
        <f t="shared" si="0"/>
        <v>3</v>
      </c>
      <c r="Y26" s="5">
        <v>11</v>
      </c>
      <c r="Z26" s="5">
        <v>6.5</v>
      </c>
      <c r="AA26" s="5">
        <v>8</v>
      </c>
      <c r="AB26" s="5">
        <v>21.64</v>
      </c>
      <c r="AC26" s="5">
        <v>629</v>
      </c>
      <c r="AD26" s="5">
        <v>49.8</v>
      </c>
      <c r="AE26" s="5">
        <v>70.2</v>
      </c>
      <c r="AF26" s="5">
        <v>12</v>
      </c>
      <c r="AG26" s="5">
        <v>434</v>
      </c>
      <c r="AH26" s="5">
        <v>4</v>
      </c>
      <c r="AI26" s="5">
        <f t="shared" si="1"/>
        <v>120</v>
      </c>
    </row>
    <row r="27" spans="1:52" x14ac:dyDescent="0.25">
      <c r="A27" s="5" t="s">
        <v>52</v>
      </c>
      <c r="B27" s="5" t="s">
        <v>76</v>
      </c>
      <c r="C27" s="5" t="s">
        <v>77</v>
      </c>
      <c r="F27" s="5" t="s">
        <v>55</v>
      </c>
      <c r="G27" s="5" t="s">
        <v>56</v>
      </c>
      <c r="H27" s="5" t="s">
        <v>57</v>
      </c>
      <c r="I27" s="5">
        <v>86</v>
      </c>
      <c r="J27" s="5" t="str">
        <f>IFERROR(VLOOKUP(I27,[1]INFO_LOCALES!$B:$C,2,FALSE),"")</f>
        <v>BILBAO</v>
      </c>
      <c r="K27" s="5" t="str">
        <f>IFERROR(VLOOKUP(Tabla2[[#This Row],[TIENDA]],[1]INFO_LOCALES!$B:$D,3,FALSE),"")</f>
        <v>I - Tarapacá</v>
      </c>
      <c r="L27" s="5" t="str">
        <f>IFERROR(VLOOKUP(I27,[1]INFO_LOCALES!$B:$I,8,FALSE),"")</f>
        <v>Iquique</v>
      </c>
      <c r="M27" s="5" t="str">
        <f>IFERROR(VLOOKUP(I27,[1]INFO_LOCALES!$B:$H,7,FALSE),"")</f>
        <v>Fco.Bilbao 3545</v>
      </c>
      <c r="N27" s="5">
        <f>IFERROR(VLOOKUP(I27,[1]INFO_LOCALES!$B:$E,4,FALSE),"")</f>
        <v>4049</v>
      </c>
      <c r="O27" s="5" t="str">
        <f>VLOOKUP(Tabla2[[#This Row],[TIENDA]],[1]INFO_LOCALES!$B:$J,9,0)</f>
        <v>CONVENIO</v>
      </c>
      <c r="P27" s="5" t="str">
        <f>IFERROR(VLOOKUP(I27,[1]INFO_LOCALES!$B:$F,5,FALSE),"")</f>
        <v>AGUAS DEL ALTIPLANO S.A.</v>
      </c>
      <c r="Q27" s="5" t="s">
        <v>78</v>
      </c>
      <c r="R27" s="5" t="s">
        <v>58</v>
      </c>
      <c r="S27" s="6">
        <v>45595</v>
      </c>
      <c r="T27" s="5" t="s">
        <v>96</v>
      </c>
      <c r="U27" s="6">
        <v>45294</v>
      </c>
      <c r="V27" s="5" t="s">
        <v>59</v>
      </c>
      <c r="W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7" s="7">
        <f t="shared" si="0"/>
        <v>3</v>
      </c>
      <c r="Y27" s="5">
        <v>9</v>
      </c>
      <c r="Z27" s="5">
        <v>6.82</v>
      </c>
      <c r="AA27" s="5">
        <v>2</v>
      </c>
      <c r="AB27" s="5">
        <v>25.66</v>
      </c>
      <c r="AC27" s="5">
        <v>805</v>
      </c>
      <c r="AD27" s="5">
        <v>5.3</v>
      </c>
      <c r="AE27" s="5">
        <v>6.79</v>
      </c>
      <c r="AF27" s="5">
        <v>1.3</v>
      </c>
      <c r="AG27" s="5">
        <v>110</v>
      </c>
      <c r="AH27" s="5">
        <v>24.4</v>
      </c>
      <c r="AI27" s="5">
        <f t="shared" si="1"/>
        <v>732</v>
      </c>
      <c r="AZ27" s="8" t="s">
        <v>97</v>
      </c>
    </row>
    <row r="28" spans="1:52" x14ac:dyDescent="0.25">
      <c r="A28" s="5" t="s">
        <v>52</v>
      </c>
      <c r="B28" s="5" t="s">
        <v>76</v>
      </c>
      <c r="C28" s="5" t="s">
        <v>77</v>
      </c>
      <c r="F28" s="5" t="s">
        <v>55</v>
      </c>
      <c r="G28" s="5" t="s">
        <v>56</v>
      </c>
      <c r="H28" s="5" t="s">
        <v>57</v>
      </c>
      <c r="I28" s="5">
        <v>86</v>
      </c>
      <c r="J28" s="5" t="str">
        <f>IFERROR(VLOOKUP(I28,[1]INFO_LOCALES!$B:$C,2,FALSE),"")</f>
        <v>BILBAO</v>
      </c>
      <c r="K28" s="5" t="str">
        <f>IFERROR(VLOOKUP(Tabla2[[#This Row],[TIENDA]],[1]INFO_LOCALES!$B:$D,3,FALSE),"")</f>
        <v>I - Tarapacá</v>
      </c>
      <c r="L28" s="5" t="str">
        <f>IFERROR(VLOOKUP(I28,[1]INFO_LOCALES!$B:$I,8,FALSE),"")</f>
        <v>Iquique</v>
      </c>
      <c r="M28" s="5" t="str">
        <f>IFERROR(VLOOKUP(I28,[1]INFO_LOCALES!$B:$H,7,FALSE),"")</f>
        <v>Fco.Bilbao 3545</v>
      </c>
      <c r="N28" s="5">
        <f>IFERROR(VLOOKUP(I28,[1]INFO_LOCALES!$B:$E,4,FALSE),"")</f>
        <v>4049</v>
      </c>
      <c r="O28" s="5" t="str">
        <f>VLOOKUP(Tabla2[[#This Row],[TIENDA]],[1]INFO_LOCALES!$B:$J,9,0)</f>
        <v>CONVENIO</v>
      </c>
      <c r="P28" s="5" t="str">
        <f>IFERROR(VLOOKUP(I28,[1]INFO_LOCALES!$B:$F,5,FALSE),"")</f>
        <v>AGUAS DEL ALTIPLANO S.A.</v>
      </c>
      <c r="Q28" s="5" t="s">
        <v>78</v>
      </c>
      <c r="R28" s="5" t="s">
        <v>58</v>
      </c>
      <c r="S28" s="6">
        <v>45595</v>
      </c>
      <c r="T28" s="5" t="s">
        <v>96</v>
      </c>
      <c r="U28" s="6">
        <v>45295</v>
      </c>
      <c r="V28" s="5" t="s">
        <v>59</v>
      </c>
      <c r="W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8" s="7">
        <f t="shared" si="0"/>
        <v>3</v>
      </c>
      <c r="Y28" s="5">
        <v>7</v>
      </c>
      <c r="Z28" s="5">
        <v>6.9</v>
      </c>
      <c r="AA28" s="5">
        <v>2</v>
      </c>
      <c r="AB28" s="5">
        <v>26.3</v>
      </c>
      <c r="AC28" s="5">
        <v>991</v>
      </c>
      <c r="AD28" s="5">
        <v>5.5</v>
      </c>
      <c r="AE28" s="5">
        <v>12.71</v>
      </c>
      <c r="AF28" s="5">
        <v>2</v>
      </c>
      <c r="AG28" s="5">
        <v>127</v>
      </c>
      <c r="AH28" s="5">
        <v>24.9</v>
      </c>
      <c r="AI28" s="5">
        <f t="shared" si="1"/>
        <v>747</v>
      </c>
      <c r="AZ28" s="8" t="s">
        <v>98</v>
      </c>
    </row>
    <row r="29" spans="1:52" x14ac:dyDescent="0.25">
      <c r="A29" s="5" t="s">
        <v>52</v>
      </c>
      <c r="B29" s="5" t="s">
        <v>82</v>
      </c>
      <c r="C29" s="5" t="s">
        <v>77</v>
      </c>
      <c r="F29" s="5" t="s">
        <v>55</v>
      </c>
      <c r="G29" s="5" t="s">
        <v>65</v>
      </c>
      <c r="H29" s="5" t="s">
        <v>57</v>
      </c>
      <c r="I29" s="5">
        <v>23</v>
      </c>
      <c r="J29" s="5" t="str">
        <f>IFERROR(VLOOKUP(I29,[1]INFO_LOCALES!$B:$C,2,FALSE),"")</f>
        <v>LOS CARRERAS</v>
      </c>
      <c r="K29" s="5" t="str">
        <f>IFERROR(VLOOKUP(Tabla2[[#This Row],[TIENDA]],[1]INFO_LOCALES!$B:$D,3,FALSE),"")</f>
        <v>III - Atacama</v>
      </c>
      <c r="L29" s="5" t="str">
        <f>IFERROR(VLOOKUP(I29,[1]INFO_LOCALES!$B:$I,8,FALSE),"")</f>
        <v>Copiapó</v>
      </c>
      <c r="M29" s="5" t="str">
        <f>IFERROR(VLOOKUP(I29,[1]INFO_LOCALES!$B:$H,7,FALSE),"")</f>
        <v>Los Carrera 479</v>
      </c>
      <c r="N29" s="5">
        <f>IFERROR(VLOOKUP(I29,[1]INFO_LOCALES!$B:$E,4,FALSE),"")</f>
        <v>0</v>
      </c>
      <c r="O29" s="5" t="str">
        <f>VLOOKUP(Tabla2[[#This Row],[TIENDA]],[1]INFO_LOCALES!$B:$J,9,0)</f>
        <v>SIN CONVENIO</v>
      </c>
      <c r="P29" s="5" t="str">
        <f>IFERROR(VLOOKUP(I29,[1]INFO_LOCALES!$B:$F,5,FALSE),"")</f>
        <v>NUEVA ATACAMA</v>
      </c>
      <c r="Q29" s="5" t="s">
        <v>85</v>
      </c>
      <c r="R29" s="5" t="s">
        <v>86</v>
      </c>
      <c r="S29" s="6" t="s">
        <v>87</v>
      </c>
      <c r="T29" s="5" t="s">
        <v>96</v>
      </c>
      <c r="U29" s="6">
        <v>45296</v>
      </c>
      <c r="V29" s="5" t="s">
        <v>59</v>
      </c>
      <c r="W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9" s="7">
        <f t="shared" si="0"/>
        <v>3</v>
      </c>
      <c r="Y29" s="5">
        <v>31</v>
      </c>
      <c r="Z29" s="5">
        <v>6.2</v>
      </c>
      <c r="AA29" s="5">
        <v>20</v>
      </c>
      <c r="AB29" s="5">
        <v>23.3</v>
      </c>
      <c r="AC29" s="5">
        <v>395</v>
      </c>
      <c r="AD29" s="5">
        <v>6.8</v>
      </c>
      <c r="AE29" s="5">
        <v>19.399999999999999</v>
      </c>
      <c r="AF29" s="5">
        <v>0.6</v>
      </c>
      <c r="AG29" s="5">
        <v>73</v>
      </c>
      <c r="AH29" s="5">
        <v>0</v>
      </c>
      <c r="AI29" s="5">
        <f t="shared" si="1"/>
        <v>0</v>
      </c>
    </row>
    <row r="30" spans="1:52" x14ac:dyDescent="0.25">
      <c r="A30" s="5" t="s">
        <v>52</v>
      </c>
      <c r="B30" s="5" t="s">
        <v>82</v>
      </c>
      <c r="C30" s="5" t="s">
        <v>77</v>
      </c>
      <c r="F30" s="5" t="s">
        <v>55</v>
      </c>
      <c r="G30" s="5" t="s">
        <v>65</v>
      </c>
      <c r="H30" s="5" t="s">
        <v>57</v>
      </c>
      <c r="I30" s="5">
        <v>472</v>
      </c>
      <c r="J30" s="5" t="str">
        <f>IFERROR(VLOOKUP(I30,[1]INFO_LOCALES!$B:$C,2,FALSE),"")</f>
        <v>CALDERA I</v>
      </c>
      <c r="K30" s="5" t="str">
        <f>IFERROR(VLOOKUP(Tabla2[[#This Row],[TIENDA]],[1]INFO_LOCALES!$B:$D,3,FALSE),"")</f>
        <v>III - Atacama</v>
      </c>
      <c r="L30" s="5" t="str">
        <f>IFERROR(VLOOKUP(I30,[1]INFO_LOCALES!$B:$I,8,FALSE),"")</f>
        <v>Caldera</v>
      </c>
      <c r="M30" s="5" t="str">
        <f>IFERROR(VLOOKUP(I30,[1]INFO_LOCALES!$B:$H,7,FALSE),"")</f>
        <v>Batallon Atacama 319</v>
      </c>
      <c r="N30" s="5">
        <f>IFERROR(VLOOKUP(I30,[1]INFO_LOCALES!$B:$E,4,FALSE),"")</f>
        <v>0</v>
      </c>
      <c r="O30" s="5" t="str">
        <f>VLOOKUP(Tabla2[[#This Row],[TIENDA]],[1]INFO_LOCALES!$B:$J,9,0)</f>
        <v>CONVENIO</v>
      </c>
      <c r="P30" s="5" t="str">
        <f>IFERROR(VLOOKUP(I30,[1]INFO_LOCALES!$B:$F,5,FALSE),"")</f>
        <v>NUEVA ATACAMA</v>
      </c>
      <c r="Q30" s="5" t="s">
        <v>85</v>
      </c>
      <c r="R30" s="5" t="s">
        <v>86</v>
      </c>
      <c r="S30" s="6" t="s">
        <v>87</v>
      </c>
      <c r="T30" s="5" t="s">
        <v>96</v>
      </c>
      <c r="U30" s="6">
        <v>45299</v>
      </c>
      <c r="V30" s="5" t="s">
        <v>59</v>
      </c>
      <c r="W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0" s="7">
        <f t="shared" si="0"/>
        <v>2</v>
      </c>
      <c r="Y30" s="5">
        <v>48</v>
      </c>
      <c r="Z30" s="5">
        <v>6</v>
      </c>
      <c r="AA30" s="5">
        <v>3</v>
      </c>
      <c r="AB30" s="5">
        <v>24.9</v>
      </c>
      <c r="AC30" s="5">
        <v>459</v>
      </c>
      <c r="AD30" s="5">
        <v>12.2</v>
      </c>
      <c r="AE30" s="5">
        <v>32</v>
      </c>
      <c r="AF30" s="5">
        <v>0.7</v>
      </c>
      <c r="AG30" s="5">
        <v>204</v>
      </c>
      <c r="AH30" s="5" t="s">
        <v>85</v>
      </c>
    </row>
    <row r="31" spans="1:52" x14ac:dyDescent="0.25">
      <c r="A31" s="5" t="s">
        <v>52</v>
      </c>
      <c r="B31" s="5" t="s">
        <v>76</v>
      </c>
      <c r="C31" s="5" t="s">
        <v>77</v>
      </c>
      <c r="F31" s="5" t="s">
        <v>55</v>
      </c>
      <c r="G31" s="5" t="s">
        <v>56</v>
      </c>
      <c r="H31" s="5" t="s">
        <v>57</v>
      </c>
      <c r="I31" s="5">
        <v>103</v>
      </c>
      <c r="J31" s="5" t="str">
        <f>IFERROR(VLOOKUP(I31,[1]INFO_LOCALES!$B:$C,2,FALSE),"")</f>
        <v>VIVAR</v>
      </c>
      <c r="K31" s="5" t="str">
        <f>IFERROR(VLOOKUP(Tabla2[[#This Row],[TIENDA]],[1]INFO_LOCALES!$B:$D,3,FALSE),"")</f>
        <v>I - Tarapacá</v>
      </c>
      <c r="L31" s="5" t="str">
        <f>IFERROR(VLOOKUP(I31,[1]INFO_LOCALES!$B:$I,8,FALSE),"")</f>
        <v>Iquique</v>
      </c>
      <c r="M31" s="5" t="str">
        <f>IFERROR(VLOOKUP(I31,[1]INFO_LOCALES!$B:$H,7,FALSE),"")</f>
        <v>Vivar 786</v>
      </c>
      <c r="N31" s="5">
        <f>IFERROR(VLOOKUP(I31,[1]INFO_LOCALES!$B:$E,4,FALSE),"")</f>
        <v>4420</v>
      </c>
      <c r="O31" s="5" t="str">
        <f>VLOOKUP(Tabla2[[#This Row],[TIENDA]],[1]INFO_LOCALES!$B:$J,9,0)</f>
        <v>CONVENIO</v>
      </c>
      <c r="P31" s="5" t="str">
        <f>IFERROR(VLOOKUP(I31,[1]INFO_LOCALES!$B:$F,5,FALSE),"")</f>
        <v>AGUAS DEL ALTIPLANO S.A.</v>
      </c>
      <c r="Q31" s="5" t="s">
        <v>78</v>
      </c>
      <c r="R31" s="5" t="s">
        <v>58</v>
      </c>
      <c r="S31" s="6">
        <v>45595</v>
      </c>
      <c r="T31" s="5" t="s">
        <v>96</v>
      </c>
      <c r="U31" s="6">
        <v>45299</v>
      </c>
      <c r="V31" s="5" t="s">
        <v>59</v>
      </c>
      <c r="W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1" s="7">
        <f t="shared" si="0"/>
        <v>3</v>
      </c>
      <c r="Y31" s="5">
        <v>7</v>
      </c>
      <c r="Z31" s="5">
        <v>7.27</v>
      </c>
      <c r="AA31" s="5">
        <v>13</v>
      </c>
      <c r="AB31" s="5">
        <v>24.96</v>
      </c>
      <c r="AC31" s="5">
        <v>100</v>
      </c>
      <c r="AD31" s="5">
        <v>7.7</v>
      </c>
      <c r="AE31" s="5">
        <v>34.549999999999997</v>
      </c>
      <c r="AF31" s="5">
        <v>0.6</v>
      </c>
      <c r="AG31" s="5">
        <v>722</v>
      </c>
      <c r="AH31" s="5">
        <v>7.5</v>
      </c>
      <c r="AI31" s="5">
        <f>AH31*30</f>
        <v>225</v>
      </c>
      <c r="AZ31" s="8" t="s">
        <v>99</v>
      </c>
    </row>
    <row r="32" spans="1:52" x14ac:dyDescent="0.25">
      <c r="A32" s="5" t="s">
        <v>52</v>
      </c>
      <c r="B32" s="5" t="s">
        <v>82</v>
      </c>
      <c r="C32" s="5" t="s">
        <v>77</v>
      </c>
      <c r="F32" s="5" t="s">
        <v>55</v>
      </c>
      <c r="G32" s="5" t="s">
        <v>65</v>
      </c>
      <c r="H32" s="5" t="s">
        <v>57</v>
      </c>
      <c r="I32" s="5">
        <v>16</v>
      </c>
      <c r="J32" s="5" t="str">
        <f>IFERROR(VLOOKUP(I32,[1]INFO_LOCALES!$B:$C,2,FALSE),"")</f>
        <v>VALLENAR II</v>
      </c>
      <c r="K32" s="5" t="str">
        <f>IFERROR(VLOOKUP(Tabla2[[#This Row],[TIENDA]],[1]INFO_LOCALES!$B:$D,3,FALSE),"")</f>
        <v>III - Atacama</v>
      </c>
      <c r="L32" s="5" t="str">
        <f>IFERROR(VLOOKUP(I32,[1]INFO_LOCALES!$B:$I,8,FALSE),"")</f>
        <v>Vallenar</v>
      </c>
      <c r="M32" s="5" t="str">
        <f>IFERROR(VLOOKUP(I32,[1]INFO_LOCALES!$B:$H,7,FALSE),"")</f>
        <v>Arturo Prat 2350</v>
      </c>
      <c r="N32" s="5">
        <f>IFERROR(VLOOKUP(I32,[1]INFO_LOCALES!$B:$E,4,FALSE),"")</f>
        <v>0</v>
      </c>
      <c r="O32" s="5" t="str">
        <f>VLOOKUP(Tabla2[[#This Row],[TIENDA]],[1]INFO_LOCALES!$B:$J,9,0)</f>
        <v>TERMINADO</v>
      </c>
      <c r="P32" s="5" t="str">
        <f>IFERROR(VLOOKUP(I32,[1]INFO_LOCALES!$B:$F,5,FALSE),"")</f>
        <v>NUEVA ATACAMA</v>
      </c>
      <c r="Q32" s="5" t="s">
        <v>85</v>
      </c>
      <c r="R32" s="5" t="s">
        <v>86</v>
      </c>
      <c r="S32" s="6" t="s">
        <v>87</v>
      </c>
      <c r="T32" s="5" t="s">
        <v>96</v>
      </c>
      <c r="U32" s="6">
        <v>45300</v>
      </c>
      <c r="V32" s="5" t="s">
        <v>59</v>
      </c>
      <c r="W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2" s="7">
        <f t="shared" si="0"/>
        <v>3</v>
      </c>
      <c r="Y32" s="5">
        <v>96</v>
      </c>
      <c r="AA32" s="5">
        <v>24</v>
      </c>
      <c r="AC32" s="5">
        <v>221</v>
      </c>
      <c r="AD32" s="5">
        <v>3.4</v>
      </c>
      <c r="AE32" s="5">
        <v>5</v>
      </c>
      <c r="AF32" s="5">
        <v>1.5</v>
      </c>
      <c r="AG32" s="5">
        <v>121</v>
      </c>
      <c r="AH32" s="5" t="s">
        <v>85</v>
      </c>
    </row>
    <row r="33" spans="1:52" x14ac:dyDescent="0.25">
      <c r="A33" s="5" t="s">
        <v>52</v>
      </c>
      <c r="B33" s="5" t="s">
        <v>76</v>
      </c>
      <c r="C33" s="5" t="s">
        <v>77</v>
      </c>
      <c r="F33" s="5" t="s">
        <v>55</v>
      </c>
      <c r="G33" s="5" t="s">
        <v>61</v>
      </c>
      <c r="H33" s="5" t="s">
        <v>57</v>
      </c>
      <c r="I33" s="5">
        <v>87</v>
      </c>
      <c r="J33" s="5" t="str">
        <f>IFERROR(VLOOKUP(I33,[1]INFO_LOCALES!$B:$C,2,FALSE),"")</f>
        <v>JUAN MARTINEZ</v>
      </c>
      <c r="K33" s="5" t="str">
        <f>IFERROR(VLOOKUP(Tabla2[[#This Row],[TIENDA]],[1]INFO_LOCALES!$B:$D,3,FALSE),"")</f>
        <v>I - Tarapacá</v>
      </c>
      <c r="L33" s="5" t="str">
        <f>IFERROR(VLOOKUP(I33,[1]INFO_LOCALES!$B:$I,8,FALSE),"")</f>
        <v>Iquique</v>
      </c>
      <c r="M33" s="5" t="str">
        <f>IFERROR(VLOOKUP(I33,[1]INFO_LOCALES!$B:$H,7,FALSE),"")</f>
        <v>M. Rodriguez 964</v>
      </c>
      <c r="N33" s="5">
        <f>IFERROR(VLOOKUP(I33,[1]INFO_LOCALES!$B:$E,4,FALSE),"")</f>
        <v>0</v>
      </c>
      <c r="O33" s="5" t="str">
        <f>VLOOKUP(Tabla2[[#This Row],[TIENDA]],[1]INFO_LOCALES!$B:$J,9,0)</f>
        <v>CONVENIO</v>
      </c>
      <c r="P33" s="5" t="str">
        <f>IFERROR(VLOOKUP(I33,[1]INFO_LOCALES!$B:$F,5,FALSE),"")</f>
        <v>AGUAS DEL ALTIPLANO S.A.</v>
      </c>
      <c r="Q33" s="5" t="s">
        <v>78</v>
      </c>
      <c r="R33" s="5" t="s">
        <v>58</v>
      </c>
      <c r="S33" s="6">
        <v>45379</v>
      </c>
      <c r="T33" s="5" t="s">
        <v>96</v>
      </c>
      <c r="U33" s="6">
        <v>45300</v>
      </c>
      <c r="V33" s="5" t="s">
        <v>59</v>
      </c>
      <c r="W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3" s="7">
        <f t="shared" si="0"/>
        <v>3</v>
      </c>
      <c r="Y33" s="5">
        <v>9</v>
      </c>
      <c r="Z33" s="5">
        <v>6.94</v>
      </c>
      <c r="AA33" s="5">
        <v>8</v>
      </c>
      <c r="AB33" s="5">
        <v>25.11</v>
      </c>
      <c r="AC33" s="5">
        <v>979</v>
      </c>
      <c r="AD33" s="5">
        <v>22.2</v>
      </c>
      <c r="AE33" s="5">
        <v>64.66</v>
      </c>
      <c r="AF33" s="5">
        <v>30</v>
      </c>
      <c r="AG33" s="5">
        <v>770</v>
      </c>
      <c r="AH33" s="5">
        <v>5</v>
      </c>
      <c r="AI33" s="5">
        <f t="shared" ref="AI33:AI96" si="2">AH33*30</f>
        <v>150</v>
      </c>
      <c r="AZ33" s="8" t="s">
        <v>100</v>
      </c>
    </row>
    <row r="34" spans="1:52" x14ac:dyDescent="0.25">
      <c r="A34" s="5" t="s">
        <v>52</v>
      </c>
      <c r="B34" s="5" t="s">
        <v>82</v>
      </c>
      <c r="C34" s="5" t="s">
        <v>77</v>
      </c>
      <c r="F34" s="5" t="s">
        <v>55</v>
      </c>
      <c r="G34" s="5" t="s">
        <v>65</v>
      </c>
      <c r="H34" s="5" t="s">
        <v>57</v>
      </c>
      <c r="I34" s="5">
        <v>14</v>
      </c>
      <c r="J34" s="5" t="str">
        <f>IFERROR(VLOOKUP(I34,[1]INFO_LOCALES!$B:$C,2,FALSE),"")</f>
        <v>COPIAPO</v>
      </c>
      <c r="K34" s="5" t="str">
        <f>IFERROR(VLOOKUP(Tabla2[[#This Row],[TIENDA]],[1]INFO_LOCALES!$B:$D,3,FALSE),"")</f>
        <v>III - Atacama</v>
      </c>
      <c r="L34" s="5" t="str">
        <f>IFERROR(VLOOKUP(I34,[1]INFO_LOCALES!$B:$I,8,FALSE),"")</f>
        <v>Copiapó</v>
      </c>
      <c r="M34" s="5" t="str">
        <f>IFERROR(VLOOKUP(I34,[1]INFO_LOCALES!$B:$H,7,FALSE),"")</f>
        <v>Av. Henrriquez N° 523</v>
      </c>
      <c r="N34" s="5">
        <f>IFERROR(VLOOKUP(I34,[1]INFO_LOCALES!$B:$E,4,FALSE),"")</f>
        <v>0</v>
      </c>
      <c r="O34" s="5" t="str">
        <f>VLOOKUP(Tabla2[[#This Row],[TIENDA]],[1]INFO_LOCALES!$B:$J,9,0)</f>
        <v>CONVENIO</v>
      </c>
      <c r="P34" s="5" t="str">
        <f>IFERROR(VLOOKUP(I34,[1]INFO_LOCALES!$B:$F,5,FALSE),"")</f>
        <v>NUEVA ATACAMA</v>
      </c>
      <c r="Q34" s="5" t="s">
        <v>66</v>
      </c>
      <c r="R34" s="5" t="s">
        <v>58</v>
      </c>
      <c r="S34" s="6">
        <v>45392</v>
      </c>
      <c r="T34" s="5" t="s">
        <v>96</v>
      </c>
      <c r="U34" s="6">
        <v>45300</v>
      </c>
      <c r="V34" s="5" t="s">
        <v>59</v>
      </c>
      <c r="W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4" s="7">
        <f t="shared" si="0"/>
        <v>2</v>
      </c>
      <c r="Y34" s="5">
        <v>0.4</v>
      </c>
      <c r="Z34" s="5">
        <v>22.5</v>
      </c>
      <c r="AA34" s="5">
        <v>14</v>
      </c>
      <c r="AB34" s="5">
        <v>6.8</v>
      </c>
      <c r="AC34" s="5">
        <v>219</v>
      </c>
      <c r="AD34" s="5">
        <v>6.12</v>
      </c>
      <c r="AE34" s="5">
        <v>12.4</v>
      </c>
      <c r="AF34" s="5">
        <v>0.9</v>
      </c>
      <c r="AG34" s="5">
        <v>33</v>
      </c>
      <c r="AH34" s="5">
        <v>2.88</v>
      </c>
      <c r="AI34" s="5">
        <f t="shared" si="2"/>
        <v>86.399999999999991</v>
      </c>
      <c r="AY34" s="5">
        <v>0.1</v>
      </c>
    </row>
    <row r="35" spans="1:52" x14ac:dyDescent="0.25">
      <c r="A35" s="5" t="s">
        <v>52</v>
      </c>
      <c r="B35" s="5" t="s">
        <v>76</v>
      </c>
      <c r="C35" s="5" t="s">
        <v>77</v>
      </c>
      <c r="F35" s="5" t="s">
        <v>55</v>
      </c>
      <c r="G35" s="5" t="s">
        <v>61</v>
      </c>
      <c r="H35" s="5" t="s">
        <v>57</v>
      </c>
      <c r="I35" s="5">
        <v>85</v>
      </c>
      <c r="J35" s="5" t="str">
        <f>IFERROR(VLOOKUP(I35,[1]INFO_LOCALES!$B:$C,2,FALSE),"")</f>
        <v>AMUNATEGUI</v>
      </c>
      <c r="K35" s="5" t="str">
        <f>IFERROR(VLOOKUP(Tabla2[[#This Row],[TIENDA]],[1]INFO_LOCALES!$B:$D,3,FALSE),"")</f>
        <v>I - Tarapacá</v>
      </c>
      <c r="L35" s="5" t="str">
        <f>IFERROR(VLOOKUP(I35,[1]INFO_LOCALES!$B:$I,8,FALSE),"")</f>
        <v>Iquique</v>
      </c>
      <c r="M35" s="5" t="str">
        <f>IFERROR(VLOOKUP(I35,[1]INFO_LOCALES!$B:$H,7,FALSE),"")</f>
        <v>Amunategui 902</v>
      </c>
      <c r="N35" s="5">
        <f>IFERROR(VLOOKUP(I35,[1]INFO_LOCALES!$B:$E,4,FALSE),"")</f>
        <v>0</v>
      </c>
      <c r="O35" s="5" t="str">
        <f>VLOOKUP(Tabla2[[#This Row],[TIENDA]],[1]INFO_LOCALES!$B:$J,9,0)</f>
        <v>CONVENIO</v>
      </c>
      <c r="P35" s="5" t="str">
        <f>IFERROR(VLOOKUP(I35,[1]INFO_LOCALES!$B:$F,5,FALSE),"")</f>
        <v>AGUAS DEL ALTIPLANO S.A.</v>
      </c>
      <c r="Q35" s="5" t="s">
        <v>78</v>
      </c>
      <c r="R35" s="5" t="s">
        <v>58</v>
      </c>
      <c r="S35" s="6">
        <v>45595</v>
      </c>
      <c r="T35" s="5" t="s">
        <v>96</v>
      </c>
      <c r="U35" s="6">
        <v>45300</v>
      </c>
      <c r="V35" s="5" t="s">
        <v>59</v>
      </c>
      <c r="W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5" s="7">
        <f t="shared" si="0"/>
        <v>3</v>
      </c>
      <c r="Y35" s="5">
        <v>9</v>
      </c>
      <c r="Z35" s="5">
        <v>6.99</v>
      </c>
      <c r="AA35" s="5">
        <v>10</v>
      </c>
      <c r="AB35" s="5">
        <v>25.17</v>
      </c>
      <c r="AC35" s="5">
        <v>583</v>
      </c>
      <c r="AD35" s="5">
        <v>13.4</v>
      </c>
      <c r="AE35" s="5">
        <v>20.98</v>
      </c>
      <c r="AF35" s="5">
        <v>18</v>
      </c>
      <c r="AG35" s="5">
        <v>1003</v>
      </c>
      <c r="AH35" s="5">
        <v>3.2</v>
      </c>
      <c r="AI35" s="5">
        <f t="shared" si="2"/>
        <v>96</v>
      </c>
      <c r="AZ35" s="8" t="s">
        <v>101</v>
      </c>
    </row>
    <row r="36" spans="1:52" x14ac:dyDescent="0.25">
      <c r="A36" s="5" t="s">
        <v>52</v>
      </c>
      <c r="B36" s="5" t="s">
        <v>76</v>
      </c>
      <c r="C36" s="5" t="s">
        <v>77</v>
      </c>
      <c r="F36" s="5" t="s">
        <v>55</v>
      </c>
      <c r="G36" s="5" t="s">
        <v>65</v>
      </c>
      <c r="H36" s="5" t="s">
        <v>57</v>
      </c>
      <c r="I36" s="5">
        <v>85</v>
      </c>
      <c r="J36" s="5" t="str">
        <f>IFERROR(VLOOKUP(I36,[1]INFO_LOCALES!$B:$C,2,FALSE),"")</f>
        <v>AMUNATEGUI</v>
      </c>
      <c r="K36" s="5" t="str">
        <f>IFERROR(VLOOKUP(Tabla2[[#This Row],[TIENDA]],[1]INFO_LOCALES!$B:$D,3,FALSE),"")</f>
        <v>I - Tarapacá</v>
      </c>
      <c r="L36" s="5" t="str">
        <f>IFERROR(VLOOKUP(I36,[1]INFO_LOCALES!$B:$I,8,FALSE),"")</f>
        <v>Iquique</v>
      </c>
      <c r="M36" s="5" t="str">
        <f>IFERROR(VLOOKUP(I36,[1]INFO_LOCALES!$B:$H,7,FALSE),"")</f>
        <v>Amunategui 902</v>
      </c>
      <c r="N36" s="5">
        <f>IFERROR(VLOOKUP(I36,[1]INFO_LOCALES!$B:$E,4,FALSE),"")</f>
        <v>0</v>
      </c>
      <c r="O36" s="5" t="str">
        <f>VLOOKUP(Tabla2[[#This Row],[TIENDA]],[1]INFO_LOCALES!$B:$J,9,0)</f>
        <v>CONVENIO</v>
      </c>
      <c r="P36" s="5" t="str">
        <f>IFERROR(VLOOKUP(I36,[1]INFO_LOCALES!$B:$F,5,FALSE),"")</f>
        <v>AGUAS DEL ALTIPLANO S.A.</v>
      </c>
      <c r="Q36" s="5" t="s">
        <v>78</v>
      </c>
      <c r="R36" s="5" t="s">
        <v>58</v>
      </c>
      <c r="S36" s="6">
        <v>45595</v>
      </c>
      <c r="T36" s="5" t="s">
        <v>96</v>
      </c>
      <c r="U36" s="6">
        <v>45301</v>
      </c>
      <c r="V36" s="5" t="s">
        <v>59</v>
      </c>
      <c r="W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6" s="7">
        <f t="shared" si="0"/>
        <v>2</v>
      </c>
      <c r="Y36" s="5">
        <v>9</v>
      </c>
      <c r="Z36" s="5">
        <v>7.29</v>
      </c>
      <c r="AA36" s="5">
        <v>5</v>
      </c>
      <c r="AB36" s="5">
        <v>24.16</v>
      </c>
      <c r="AC36" s="5">
        <v>572</v>
      </c>
      <c r="AD36" s="5">
        <v>15.1</v>
      </c>
      <c r="AE36" s="5">
        <v>8.66</v>
      </c>
      <c r="AF36" s="5">
        <v>5</v>
      </c>
      <c r="AG36" s="5">
        <v>303</v>
      </c>
      <c r="AH36" s="5">
        <v>6.3</v>
      </c>
      <c r="AI36" s="5">
        <f t="shared" si="2"/>
        <v>189</v>
      </c>
      <c r="AZ36" s="8" t="s">
        <v>102</v>
      </c>
    </row>
    <row r="37" spans="1:52" x14ac:dyDescent="0.25">
      <c r="A37" s="5" t="s">
        <v>60</v>
      </c>
      <c r="B37" s="5" t="e">
        <v>#N/A</v>
      </c>
      <c r="C37" s="5" t="e">
        <v>#N/A</v>
      </c>
      <c r="F37" s="5" t="s">
        <v>55</v>
      </c>
      <c r="G37" s="5" t="s">
        <v>61</v>
      </c>
      <c r="H37" s="5" t="s">
        <v>57</v>
      </c>
      <c r="I37" s="5">
        <v>3014</v>
      </c>
      <c r="J37" s="5" t="str">
        <f>IFERROR(VLOOKUP(I37,[1]INFO_LOCALES!$B:$C,2,FALSE),"")</f>
        <v>M10 SAN FERNANDO</v>
      </c>
      <c r="K37" s="5" t="str">
        <f>IFERROR(VLOOKUP(Tabla2[[#This Row],[TIENDA]],[1]INFO_LOCALES!$B:$D,3,FALSE),"")</f>
        <v>VI - O'Higgins</v>
      </c>
      <c r="L37" s="5" t="str">
        <f>IFERROR(VLOOKUP(I37,[1]INFO_LOCALES!$B:$I,8,FALSE),"")</f>
        <v>San Fernando</v>
      </c>
      <c r="M37" s="5" t="str">
        <f>IFERROR(VLOOKUP(I37,[1]INFO_LOCALES!$B:$H,7,FALSE),"")</f>
        <v>Chillan 745</v>
      </c>
      <c r="N37" s="5">
        <f>IFERROR(VLOOKUP(I37,[1]INFO_LOCALES!$B:$E,4,FALSE),"")</f>
        <v>1298</v>
      </c>
      <c r="O37" s="5" t="str">
        <f>VLOOKUP(Tabla2[[#This Row],[TIENDA]],[1]INFO_LOCALES!$B:$J,9,0)</f>
        <v>TERMINADO</v>
      </c>
      <c r="P37" s="5" t="str">
        <f>IFERROR(VLOOKUP(I37,[1]INFO_LOCALES!$B:$F,5,FALSE),"")</f>
        <v>ESSBIO S.A.</v>
      </c>
      <c r="Q37" s="5" t="s">
        <v>85</v>
      </c>
      <c r="R37" s="5" t="s">
        <v>86</v>
      </c>
      <c r="S37" s="6" t="s">
        <v>87</v>
      </c>
      <c r="T37" s="5" t="s">
        <v>96</v>
      </c>
      <c r="U37" s="6">
        <v>45302</v>
      </c>
      <c r="V37" s="5" t="s">
        <v>59</v>
      </c>
      <c r="W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7" s="7">
        <f t="shared" si="0"/>
        <v>3</v>
      </c>
      <c r="Y37" s="5">
        <v>13</v>
      </c>
      <c r="Z37" s="5">
        <v>7.2</v>
      </c>
      <c r="AA37" s="5">
        <v>29</v>
      </c>
      <c r="AB37" s="5">
        <v>21.7</v>
      </c>
      <c r="AC37" s="5">
        <v>186</v>
      </c>
      <c r="AD37" s="5">
        <v>7.1</v>
      </c>
      <c r="AE37" s="5">
        <v>52.9</v>
      </c>
      <c r="AF37" s="5">
        <v>0.5</v>
      </c>
      <c r="AG37" s="5">
        <v>40</v>
      </c>
      <c r="AH37" s="5">
        <v>1</v>
      </c>
      <c r="AI37" s="5">
        <f t="shared" si="2"/>
        <v>30</v>
      </c>
    </row>
    <row r="38" spans="1:52" x14ac:dyDescent="0.25">
      <c r="A38" s="5" t="s">
        <v>60</v>
      </c>
      <c r="B38" s="5" t="e">
        <v>#N/A</v>
      </c>
      <c r="C38" s="5" t="e">
        <v>#N/A</v>
      </c>
      <c r="F38" s="5" t="s">
        <v>55</v>
      </c>
      <c r="G38" s="5" t="s">
        <v>61</v>
      </c>
      <c r="H38" s="5" t="s">
        <v>57</v>
      </c>
      <c r="I38" s="5">
        <v>3143</v>
      </c>
      <c r="J38" s="5" t="str">
        <f>IFERROR(VLOOKUP(I38,[1]INFO_LOCALES!$B:$C,2,FALSE),"")</f>
        <v>M10 TEMUCO IV</v>
      </c>
      <c r="K38" s="5" t="str">
        <f>IFERROR(VLOOKUP(Tabla2[[#This Row],[TIENDA]],[1]INFO_LOCALES!$B:$D,3,FALSE),"")</f>
        <v>IX - Araucanía</v>
      </c>
      <c r="L38" s="5" t="str">
        <f>IFERROR(VLOOKUP(I38,[1]INFO_LOCALES!$B:$I,8,FALSE),"")</f>
        <v>Temuco</v>
      </c>
      <c r="M38" s="5" t="str">
        <f>IFERROR(VLOOKUP(I38,[1]INFO_LOCALES!$B:$H,7,FALSE),"")</f>
        <v>Francisco Salazar 01650</v>
      </c>
      <c r="N38" s="5">
        <f>IFERROR(VLOOKUP(I38,[1]INFO_LOCALES!$B:$E,4,FALSE),"")</f>
        <v>4422</v>
      </c>
      <c r="O38" s="5" t="str">
        <f>VLOOKUP(Tabla2[[#This Row],[TIENDA]],[1]INFO_LOCALES!$B:$J,9,0)</f>
        <v>CONVENIO</v>
      </c>
      <c r="P38" s="5" t="str">
        <f>IFERROR(VLOOKUP(I38,[1]INFO_LOCALES!$B:$F,5,FALSE),"")</f>
        <v>AGUAS ARAUCANIA S A</v>
      </c>
      <c r="Q38" s="5" t="s">
        <v>62</v>
      </c>
      <c r="R38" s="5" t="s">
        <v>58</v>
      </c>
      <c r="S38" s="6">
        <v>45371</v>
      </c>
      <c r="T38" s="5" t="s">
        <v>96</v>
      </c>
      <c r="U38" s="6">
        <v>45303</v>
      </c>
      <c r="V38" s="5" t="s">
        <v>59</v>
      </c>
      <c r="W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8" s="7">
        <f t="shared" si="0"/>
        <v>1</v>
      </c>
      <c r="Y38" s="5">
        <v>0.5</v>
      </c>
      <c r="Z38" s="5">
        <v>7.68</v>
      </c>
      <c r="AA38" s="5">
        <v>5</v>
      </c>
      <c r="AB38" s="5">
        <v>19.25</v>
      </c>
      <c r="AC38" s="5">
        <v>13.7</v>
      </c>
      <c r="AD38" s="5">
        <v>1.77</v>
      </c>
      <c r="AE38" s="5">
        <v>6.78</v>
      </c>
      <c r="AF38" s="5">
        <v>0.1</v>
      </c>
      <c r="AG38" s="5">
        <v>31</v>
      </c>
      <c r="AH38" s="5">
        <v>3.96</v>
      </c>
      <c r="AI38" s="5">
        <f t="shared" si="2"/>
        <v>118.8</v>
      </c>
    </row>
    <row r="39" spans="1:52" x14ac:dyDescent="0.25">
      <c r="A39" s="5" t="s">
        <v>52</v>
      </c>
      <c r="B39" s="5" t="e">
        <v>#N/A</v>
      </c>
      <c r="C39" s="5" t="e">
        <v>#N/A</v>
      </c>
      <c r="F39" s="5" t="s">
        <v>55</v>
      </c>
      <c r="G39" s="5" t="s">
        <v>61</v>
      </c>
      <c r="H39" s="5" t="s">
        <v>57</v>
      </c>
      <c r="I39" s="5">
        <v>9139</v>
      </c>
      <c r="J39" s="5" t="str">
        <f>IFERROR(VLOOKUP(I39,[1]INFO_LOCALES!$B:$C,2,FALSE),"")</f>
        <v>CD LO AGUIRRE</v>
      </c>
      <c r="K39" s="5" t="str">
        <f>IFERROR(VLOOKUP(Tabla2[[#This Row],[TIENDA]],[1]INFO_LOCALES!$B:$D,3,FALSE),"")</f>
        <v>RM - Santiago</v>
      </c>
      <c r="L39" s="5" t="str">
        <f>IFERROR(VLOOKUP(I39,[1]INFO_LOCALES!$B:$I,8,FALSE),"")</f>
        <v>Pudahuel</v>
      </c>
      <c r="M39" s="5" t="str">
        <f>IFERROR(VLOOKUP(I39,[1]INFO_LOCALES!$B:$H,7,FALSE),"")</f>
        <v>CAMINO LO AGUIRRE SUR 537</v>
      </c>
      <c r="N39" s="5">
        <f>IFERROR(VLOOKUP(I39,[1]INFO_LOCALES!$B:$E,4,FALSE),"")</f>
        <v>3552</v>
      </c>
      <c r="O39" s="5" t="str">
        <f>VLOOKUP(Tabla2[[#This Row],[TIENDA]],[1]INFO_LOCALES!$B:$J,9,0)</f>
        <v>SIN CONVENIO</v>
      </c>
      <c r="P39" s="5" t="str">
        <f>IFERROR(VLOOKUP(I39,[1]INFO_LOCALES!$B:$F,5,FALSE),"")</f>
        <v>AGUAS IZARRA</v>
      </c>
      <c r="Q39" s="5" t="s">
        <v>85</v>
      </c>
      <c r="R39" s="5" t="s">
        <v>86</v>
      </c>
      <c r="S39" s="6" t="s">
        <v>87</v>
      </c>
      <c r="T39" s="5" t="s">
        <v>96</v>
      </c>
      <c r="U39" s="6">
        <v>45306</v>
      </c>
      <c r="V39" s="5" t="s">
        <v>59</v>
      </c>
      <c r="W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9" s="7">
        <f t="shared" si="0"/>
        <v>1</v>
      </c>
      <c r="Y39" s="5">
        <v>8</v>
      </c>
      <c r="Z39" s="5">
        <v>7.6</v>
      </c>
      <c r="AA39" s="5">
        <v>3</v>
      </c>
      <c r="AB39" s="5">
        <v>22.9</v>
      </c>
      <c r="AC39" s="5">
        <v>135</v>
      </c>
      <c r="AD39" s="5">
        <v>4.7</v>
      </c>
      <c r="AE39" s="5">
        <v>38.25</v>
      </c>
      <c r="AF39" s="5">
        <v>1</v>
      </c>
      <c r="AG39" s="5">
        <v>81</v>
      </c>
      <c r="AH39" s="5">
        <v>138.6</v>
      </c>
      <c r="AI39" s="5">
        <f t="shared" si="2"/>
        <v>4158</v>
      </c>
      <c r="AS39" s="5">
        <v>10</v>
      </c>
    </row>
    <row r="40" spans="1:52" x14ac:dyDescent="0.25">
      <c r="A40" s="5" t="s">
        <v>60</v>
      </c>
      <c r="B40" s="5" t="e">
        <v>#N/A</v>
      </c>
      <c r="C40" s="5" t="e">
        <v>#N/A</v>
      </c>
      <c r="F40" s="5" t="s">
        <v>55</v>
      </c>
      <c r="G40" s="5" t="s">
        <v>56</v>
      </c>
      <c r="H40" s="5" t="s">
        <v>57</v>
      </c>
      <c r="I40" s="5">
        <v>3022</v>
      </c>
      <c r="J40" s="5" t="str">
        <f>IFERROR(VLOOKUP(I40,[1]INFO_LOCALES!$B:$C,2,FALSE),"")</f>
        <v>M10 TEMUCO II</v>
      </c>
      <c r="K40" s="5" t="str">
        <f>IFERROR(VLOOKUP(Tabla2[[#This Row],[TIENDA]],[1]INFO_LOCALES!$B:$D,3,FALSE),"")</f>
        <v>IX - Araucanía</v>
      </c>
      <c r="L40" s="5" t="str">
        <f>IFERROR(VLOOKUP(I40,[1]INFO_LOCALES!$B:$I,8,FALSE),"")</f>
        <v>Temuco</v>
      </c>
      <c r="M40" s="5" t="str">
        <f>IFERROR(VLOOKUP(I40,[1]INFO_LOCALES!$B:$H,7,FALSE),"")</f>
        <v>Pedro De Valdivia 2285</v>
      </c>
      <c r="N40" s="5">
        <f>IFERROR(VLOOKUP(I40,[1]INFO_LOCALES!$B:$E,4,FALSE),"")</f>
        <v>3721</v>
      </c>
      <c r="O40" s="5" t="str">
        <f>VLOOKUP(Tabla2[[#This Row],[TIENDA]],[1]INFO_LOCALES!$B:$J,9,0)</f>
        <v>CONVENIO</v>
      </c>
      <c r="P40" s="5" t="str">
        <f>IFERROR(VLOOKUP(I40,[1]INFO_LOCALES!$B:$F,5,FALSE),"")</f>
        <v>AGUAS ARAUCANIA S A</v>
      </c>
      <c r="Q40" s="5" t="s">
        <v>62</v>
      </c>
      <c r="R40" s="5" t="s">
        <v>58</v>
      </c>
      <c r="S40" s="6">
        <v>45371</v>
      </c>
      <c r="T40" s="5" t="s">
        <v>96</v>
      </c>
      <c r="U40" s="6">
        <v>45306</v>
      </c>
      <c r="V40" s="5" t="s">
        <v>59</v>
      </c>
      <c r="W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0" s="7">
        <f t="shared" si="0"/>
        <v>3</v>
      </c>
      <c r="Y40" s="5">
        <v>15</v>
      </c>
      <c r="Z40" s="5">
        <v>7.23</v>
      </c>
      <c r="AA40" s="5">
        <v>2</v>
      </c>
      <c r="AB40" s="5">
        <v>18.149999999999999</v>
      </c>
      <c r="AC40" s="5">
        <v>639</v>
      </c>
      <c r="AD40" s="5">
        <v>18.8</v>
      </c>
      <c r="AE40" s="5">
        <v>21.3</v>
      </c>
      <c r="AF40" s="5">
        <v>10</v>
      </c>
      <c r="AG40" s="5">
        <v>680</v>
      </c>
      <c r="AH40" s="5">
        <v>1.08</v>
      </c>
      <c r="AI40" s="5">
        <f t="shared" si="2"/>
        <v>32.400000000000006</v>
      </c>
    </row>
    <row r="41" spans="1:52" x14ac:dyDescent="0.25">
      <c r="A41" s="5" t="s">
        <v>52</v>
      </c>
      <c r="B41" s="5" t="s">
        <v>103</v>
      </c>
      <c r="C41" s="5" t="s">
        <v>77</v>
      </c>
      <c r="F41" s="5" t="s">
        <v>55</v>
      </c>
      <c r="G41" s="5" t="s">
        <v>65</v>
      </c>
      <c r="H41" s="5" t="s">
        <v>57</v>
      </c>
      <c r="I41" s="5">
        <v>34</v>
      </c>
      <c r="J41" s="5" t="str">
        <f>IFERROR(VLOOKUP(I41,[1]INFO_LOCALES!$B:$C,2,FALSE),"")</f>
        <v>LA CHIMBA</v>
      </c>
      <c r="K41" s="5" t="str">
        <f>IFERROR(VLOOKUP(Tabla2[[#This Row],[TIENDA]],[1]INFO_LOCALES!$B:$D,3,FALSE),"")</f>
        <v>II - Antofagasta</v>
      </c>
      <c r="L41" s="5" t="str">
        <f>IFERROR(VLOOKUP(I41,[1]INFO_LOCALES!$B:$I,8,FALSE),"")</f>
        <v>Antofagasta</v>
      </c>
      <c r="M41" s="5" t="str">
        <f>IFERROR(VLOOKUP(I41,[1]INFO_LOCALES!$B:$H,7,FALSE),"")</f>
        <v>Pedro Aguirre Cerda 8700</v>
      </c>
      <c r="N41" s="5">
        <f>IFERROR(VLOOKUP(I41,[1]INFO_LOCALES!$B:$E,4,FALSE),"")</f>
        <v>0</v>
      </c>
      <c r="O41" s="5" t="str">
        <f>VLOOKUP(Tabla2[[#This Row],[TIENDA]],[1]INFO_LOCALES!$B:$J,9,0)</f>
        <v>SIN CONVENIO</v>
      </c>
      <c r="P41" s="5" t="str">
        <f>IFERROR(VLOOKUP(I41,[1]INFO_LOCALES!$B:$F,5,FALSE),"")</f>
        <v>AGUAS DE ANTOFAGASTA S A</v>
      </c>
      <c r="Q41" s="5" t="s">
        <v>85</v>
      </c>
      <c r="R41" s="5" t="s">
        <v>86</v>
      </c>
      <c r="S41" s="6" t="s">
        <v>87</v>
      </c>
      <c r="T41" s="5" t="s">
        <v>96</v>
      </c>
      <c r="U41" s="6">
        <v>45307</v>
      </c>
      <c r="V41" s="5" t="s">
        <v>59</v>
      </c>
      <c r="W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1" s="7">
        <f t="shared" si="0"/>
        <v>3</v>
      </c>
      <c r="Y41" s="5">
        <v>47</v>
      </c>
      <c r="Z41" s="5">
        <v>7.03</v>
      </c>
      <c r="AA41" s="5">
        <v>26</v>
      </c>
      <c r="AB41" s="5">
        <v>19.600000000000001</v>
      </c>
      <c r="AC41" s="5">
        <v>311</v>
      </c>
      <c r="AD41" s="5">
        <v>7.6</v>
      </c>
      <c r="AE41" s="5">
        <v>27.1</v>
      </c>
      <c r="AF41" s="5">
        <v>0.5</v>
      </c>
      <c r="AG41" s="5">
        <v>60</v>
      </c>
      <c r="AH41" s="5">
        <f>0.1*3600/1000*8</f>
        <v>2.88</v>
      </c>
      <c r="AI41" s="5">
        <f t="shared" si="2"/>
        <v>86.399999999999991</v>
      </c>
    </row>
    <row r="42" spans="1:52" x14ac:dyDescent="0.25">
      <c r="A42" s="5" t="s">
        <v>52</v>
      </c>
      <c r="B42" s="5" t="s">
        <v>103</v>
      </c>
      <c r="C42" s="5" t="s">
        <v>77</v>
      </c>
      <c r="F42" s="5" t="s">
        <v>55</v>
      </c>
      <c r="G42" s="5" t="s">
        <v>65</v>
      </c>
      <c r="H42" s="5" t="s">
        <v>57</v>
      </c>
      <c r="I42" s="5">
        <v>961</v>
      </c>
      <c r="J42" s="5" t="str">
        <f>IFERROR(VLOOKUP(I42,[1]INFO_LOCALES!$B:$C,2,FALSE),"")</f>
        <v>LA CHIMBA II</v>
      </c>
      <c r="K42" s="5" t="str">
        <f>IFERROR(VLOOKUP(Tabla2[[#This Row],[TIENDA]],[1]INFO_LOCALES!$B:$D,3,FALSE),"")</f>
        <v>II - Antofagasta</v>
      </c>
      <c r="L42" s="5" t="str">
        <f>IFERROR(VLOOKUP(I42,[1]INFO_LOCALES!$B:$I,8,FALSE),"")</f>
        <v>Antofagasta</v>
      </c>
      <c r="M42" s="5" t="str">
        <f>IFERROR(VLOOKUP(I42,[1]INFO_LOCALES!$B:$H,7,FALSE),"")</f>
        <v>Av. Pedro Aguirre Cerda 11385</v>
      </c>
      <c r="N42" s="5">
        <f>IFERROR(VLOOKUP(I42,[1]INFO_LOCALES!$B:$E,4,FALSE),"")</f>
        <v>0</v>
      </c>
      <c r="O42" s="5" t="str">
        <f>VLOOKUP(Tabla2[[#This Row],[TIENDA]],[1]INFO_LOCALES!$B:$J,9,0)</f>
        <v>SIN CONVENIO</v>
      </c>
      <c r="P42" s="5" t="str">
        <f>IFERROR(VLOOKUP(I42,[1]INFO_LOCALES!$B:$F,5,FALSE),"")</f>
        <v>AGUAS DE ANTOFAGASTA S A</v>
      </c>
      <c r="Q42" s="5" t="s">
        <v>85</v>
      </c>
      <c r="R42" s="5" t="s">
        <v>86</v>
      </c>
      <c r="S42" s="6" t="s">
        <v>87</v>
      </c>
      <c r="T42" s="5" t="s">
        <v>96</v>
      </c>
      <c r="U42" s="6">
        <v>45307</v>
      </c>
      <c r="V42" s="5" t="s">
        <v>59</v>
      </c>
      <c r="W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2" s="7">
        <f t="shared" si="0"/>
        <v>3</v>
      </c>
      <c r="Y42" s="5">
        <v>75</v>
      </c>
      <c r="Z42" s="5">
        <v>5.75</v>
      </c>
      <c r="AA42" s="5">
        <v>26</v>
      </c>
      <c r="AB42" s="5">
        <v>21.2</v>
      </c>
      <c r="AC42" s="5">
        <v>241</v>
      </c>
      <c r="AD42" s="5">
        <v>11.1</v>
      </c>
      <c r="AE42" s="5">
        <v>36.200000000000003</v>
      </c>
      <c r="AF42" s="5">
        <v>0.5</v>
      </c>
      <c r="AG42" s="5">
        <v>100</v>
      </c>
      <c r="AH42" s="5">
        <v>0</v>
      </c>
      <c r="AI42" s="5">
        <f t="shared" si="2"/>
        <v>0</v>
      </c>
    </row>
    <row r="43" spans="1:52" x14ac:dyDescent="0.25">
      <c r="A43" s="5" t="s">
        <v>52</v>
      </c>
      <c r="B43" s="5" t="s">
        <v>104</v>
      </c>
      <c r="C43" s="5" t="s">
        <v>54</v>
      </c>
      <c r="F43" s="5" t="s">
        <v>55</v>
      </c>
      <c r="G43" s="5" t="s">
        <v>61</v>
      </c>
      <c r="H43" s="5" t="s">
        <v>57</v>
      </c>
      <c r="I43" s="5">
        <v>555</v>
      </c>
      <c r="J43" s="5" t="str">
        <f>IFERROR(VLOOKUP(I43,[1]INFO_LOCALES!$B:$C,2,FALSE),"")</f>
        <v>GRANEROS</v>
      </c>
      <c r="K43" s="5" t="str">
        <f>IFERROR(VLOOKUP(Tabla2[[#This Row],[TIENDA]],[1]INFO_LOCALES!$B:$D,3,FALSE),"")</f>
        <v>VI - O'Higgins</v>
      </c>
      <c r="L43" s="5" t="str">
        <f>IFERROR(VLOOKUP(I43,[1]INFO_LOCALES!$B:$I,8,FALSE),"")</f>
        <v>Graneros</v>
      </c>
      <c r="M43" s="5" t="str">
        <f>IFERROR(VLOOKUP(I43,[1]INFO_LOCALES!$B:$H,7,FALSE),"")</f>
        <v>Obispo Rafael Lira 042</v>
      </c>
      <c r="N43" s="5">
        <f>IFERROR(VLOOKUP(I43,[1]INFO_LOCALES!$B:$E,4,FALSE),"")</f>
        <v>4574</v>
      </c>
      <c r="O43" s="5" t="str">
        <f>VLOOKUP(Tabla2[[#This Row],[TIENDA]],[1]INFO_LOCALES!$B:$J,9,0)</f>
        <v>SIN CONVENIO</v>
      </c>
      <c r="P43" s="5" t="str">
        <f>IFERROR(VLOOKUP(I43,[1]INFO_LOCALES!$B:$F,5,FALSE),"")</f>
        <v>ESSBIO S.A.</v>
      </c>
      <c r="Q43" s="5" t="s">
        <v>85</v>
      </c>
      <c r="R43" s="5" t="s">
        <v>86</v>
      </c>
      <c r="S43" s="6" t="s">
        <v>87</v>
      </c>
      <c r="T43" s="5" t="s">
        <v>96</v>
      </c>
      <c r="U43" s="6">
        <v>45309</v>
      </c>
      <c r="V43" s="5" t="s">
        <v>59</v>
      </c>
      <c r="W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3" s="7">
        <f t="shared" si="0"/>
        <v>1</v>
      </c>
      <c r="Y43" s="5">
        <v>20</v>
      </c>
      <c r="Z43" s="5">
        <v>7.4</v>
      </c>
      <c r="AA43" s="5">
        <v>3</v>
      </c>
      <c r="AB43" s="5">
        <v>21.5</v>
      </c>
      <c r="AC43" s="5">
        <v>173</v>
      </c>
      <c r="AD43" s="5">
        <v>4</v>
      </c>
      <c r="AE43" s="5">
        <v>29.2</v>
      </c>
      <c r="AF43" s="5">
        <v>1.5</v>
      </c>
      <c r="AG43" s="5">
        <v>113</v>
      </c>
      <c r="AH43" s="5">
        <v>1.3</v>
      </c>
      <c r="AI43" s="5">
        <f t="shared" si="2"/>
        <v>39</v>
      </c>
    </row>
    <row r="44" spans="1:52" x14ac:dyDescent="0.25">
      <c r="A44" s="5" t="s">
        <v>52</v>
      </c>
      <c r="B44" s="5" t="s">
        <v>82</v>
      </c>
      <c r="C44" s="5" t="s">
        <v>77</v>
      </c>
      <c r="F44" s="5" t="s">
        <v>55</v>
      </c>
      <c r="G44" s="5" t="s">
        <v>61</v>
      </c>
      <c r="H44" s="5" t="s">
        <v>57</v>
      </c>
      <c r="I44" s="5">
        <v>472</v>
      </c>
      <c r="J44" s="5" t="str">
        <f>IFERROR(VLOOKUP(I44,[1]INFO_LOCALES!$B:$C,2,FALSE),"")</f>
        <v>CALDERA I</v>
      </c>
      <c r="K44" s="5" t="str">
        <f>IFERROR(VLOOKUP(Tabla2[[#This Row],[TIENDA]],[1]INFO_LOCALES!$B:$D,3,FALSE),"")</f>
        <v>III - Atacama</v>
      </c>
      <c r="L44" s="5" t="str">
        <f>IFERROR(VLOOKUP(I44,[1]INFO_LOCALES!$B:$I,8,FALSE),"")</f>
        <v>Caldera</v>
      </c>
      <c r="M44" s="5" t="str">
        <f>IFERROR(VLOOKUP(I44,[1]INFO_LOCALES!$B:$H,7,FALSE),"")</f>
        <v>Batallon Atacama 319</v>
      </c>
      <c r="N44" s="5">
        <f>IFERROR(VLOOKUP(I44,[1]INFO_LOCALES!$B:$E,4,FALSE),"")</f>
        <v>0</v>
      </c>
      <c r="O44" s="5" t="str">
        <f>VLOOKUP(Tabla2[[#This Row],[TIENDA]],[1]INFO_LOCALES!$B:$J,9,0)</f>
        <v>CONVENIO</v>
      </c>
      <c r="P44" s="5" t="str">
        <f>IFERROR(VLOOKUP(I44,[1]INFO_LOCALES!$B:$F,5,FALSE),"")</f>
        <v>NUEVA ATACAMA</v>
      </c>
      <c r="Q44" s="5" t="s">
        <v>66</v>
      </c>
      <c r="R44" s="5" t="s">
        <v>58</v>
      </c>
      <c r="S44" s="6">
        <v>45343</v>
      </c>
      <c r="T44" s="5" t="s">
        <v>96</v>
      </c>
      <c r="U44" s="6">
        <v>45309</v>
      </c>
      <c r="V44" s="5" t="s">
        <v>59</v>
      </c>
      <c r="W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" s="7">
        <f t="shared" si="0"/>
        <v>3</v>
      </c>
      <c r="Y44" s="5">
        <v>0.78</v>
      </c>
      <c r="AA44" s="5">
        <v>108</v>
      </c>
      <c r="AC44" s="5">
        <v>2690</v>
      </c>
      <c r="AD44" s="5">
        <v>10.130000000000001</v>
      </c>
      <c r="AE44" s="5">
        <v>25.45</v>
      </c>
      <c r="AF44" s="5">
        <v>0.9</v>
      </c>
      <c r="AG44" s="5">
        <v>100</v>
      </c>
      <c r="AI44" s="5">
        <f t="shared" si="2"/>
        <v>0</v>
      </c>
      <c r="AY44" s="5">
        <v>0.4</v>
      </c>
    </row>
    <row r="45" spans="1:52" x14ac:dyDescent="0.25">
      <c r="A45" s="5" t="s">
        <v>52</v>
      </c>
      <c r="B45" s="5" t="s">
        <v>74</v>
      </c>
      <c r="C45" s="5" t="s">
        <v>74</v>
      </c>
      <c r="F45" s="5" t="s">
        <v>55</v>
      </c>
      <c r="G45" s="5" t="s">
        <v>61</v>
      </c>
      <c r="H45" s="5" t="s">
        <v>57</v>
      </c>
      <c r="I45" s="5">
        <v>461</v>
      </c>
      <c r="J45" s="5" t="str">
        <f>IFERROR(VLOOKUP(I45,[1]INFO_LOCALES!$B:$C,2,FALSE),"")</f>
        <v>ZENTENO AUSTRAL</v>
      </c>
      <c r="K45" s="5" t="str">
        <f>IFERROR(VLOOKUP(Tabla2[[#This Row],[TIENDA]],[1]INFO_LOCALES!$B:$D,3,FALSE),"")</f>
        <v>XII - Magallanes</v>
      </c>
      <c r="L45" s="5" t="str">
        <f>IFERROR(VLOOKUP(I45,[1]INFO_LOCALES!$B:$I,8,FALSE),"")</f>
        <v>Punta Arenas</v>
      </c>
      <c r="M45" s="5" t="str">
        <f>IFERROR(VLOOKUP(I45,[1]INFO_LOCALES!$B:$H,7,FALSE),"")</f>
        <v>Capitan Guillermo 05</v>
      </c>
      <c r="N45" s="5">
        <f>IFERROR(VLOOKUP(I45,[1]INFO_LOCALES!$B:$E,4,FALSE),"")</f>
        <v>3736</v>
      </c>
      <c r="O45" s="5" t="str">
        <f>VLOOKUP(Tabla2[[#This Row],[TIENDA]],[1]INFO_LOCALES!$B:$J,9,0)</f>
        <v>SIN CONVENIO</v>
      </c>
      <c r="P45" s="5" t="str">
        <f>IFERROR(VLOOKUP(I45,[1]INFO_LOCALES!$B:$F,5,FALSE),"")</f>
        <v>AGUAS MAGALLANES S.A.</v>
      </c>
      <c r="Q45" s="5" t="s">
        <v>71</v>
      </c>
      <c r="R45" s="5" t="s">
        <v>58</v>
      </c>
      <c r="S45" s="6">
        <v>45533</v>
      </c>
      <c r="T45" s="5" t="s">
        <v>96</v>
      </c>
      <c r="U45" s="6">
        <v>45309</v>
      </c>
      <c r="V45" s="5" t="s">
        <v>59</v>
      </c>
      <c r="W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5" s="7">
        <f t="shared" si="0"/>
        <v>2</v>
      </c>
      <c r="Y45" s="5">
        <v>1.6</v>
      </c>
      <c r="Z45" s="5">
        <v>8.16</v>
      </c>
      <c r="AA45" s="5">
        <v>2</v>
      </c>
      <c r="AB45" s="5">
        <v>21.6</v>
      </c>
      <c r="AC45" s="5">
        <v>411</v>
      </c>
      <c r="AD45" s="5">
        <v>4.0999999999999996</v>
      </c>
      <c r="AE45" s="5">
        <v>5.14</v>
      </c>
      <c r="AF45" s="5">
        <v>0.2</v>
      </c>
      <c r="AG45" s="5">
        <v>81</v>
      </c>
      <c r="AH45" s="5">
        <v>0</v>
      </c>
      <c r="AI45" s="5">
        <f t="shared" si="2"/>
        <v>0</v>
      </c>
    </row>
    <row r="46" spans="1:52" x14ac:dyDescent="0.25">
      <c r="A46" s="5" t="s">
        <v>52</v>
      </c>
      <c r="B46" s="5" t="s">
        <v>103</v>
      </c>
      <c r="C46" s="5" t="s">
        <v>77</v>
      </c>
      <c r="F46" s="5" t="s">
        <v>55</v>
      </c>
      <c r="G46" s="5" t="s">
        <v>65</v>
      </c>
      <c r="H46" s="5" t="s">
        <v>57</v>
      </c>
      <c r="I46" s="5">
        <v>29</v>
      </c>
      <c r="J46" s="5" t="str">
        <f>IFERROR(VLOOKUP(I46,[1]INFO_LOCALES!$B:$C,2,FALSE),"")</f>
        <v>GRAN VIA</v>
      </c>
      <c r="K46" s="5" t="str">
        <f>IFERROR(VLOOKUP(Tabla2[[#This Row],[TIENDA]],[1]INFO_LOCALES!$B:$D,3,FALSE),"")</f>
        <v>II - Antofagasta</v>
      </c>
      <c r="L46" s="5" t="str">
        <f>IFERROR(VLOOKUP(I46,[1]INFO_LOCALES!$B:$I,8,FALSE),"")</f>
        <v>Antofagasta</v>
      </c>
      <c r="M46" s="5" t="str">
        <f>IFERROR(VLOOKUP(I46,[1]INFO_LOCALES!$B:$H,7,FALSE),"")</f>
        <v>Av. Angamos 0159</v>
      </c>
      <c r="N46" s="5">
        <f>IFERROR(VLOOKUP(I46,[1]INFO_LOCALES!$B:$E,4,FALSE),"")</f>
        <v>0</v>
      </c>
      <c r="O46" s="5" t="str">
        <f>VLOOKUP(Tabla2[[#This Row],[TIENDA]],[1]INFO_LOCALES!$B:$J,9,0)</f>
        <v>SIN CONVENIO</v>
      </c>
      <c r="P46" s="5" t="str">
        <f>IFERROR(VLOOKUP(I46,[1]INFO_LOCALES!$B:$F,5,FALSE),"")</f>
        <v>AGUAS DE ANTOFAGASTA S A</v>
      </c>
      <c r="Q46" s="5" t="s">
        <v>85</v>
      </c>
      <c r="R46" s="5" t="s">
        <v>86</v>
      </c>
      <c r="S46" s="6" t="s">
        <v>87</v>
      </c>
      <c r="T46" s="5" t="s">
        <v>96</v>
      </c>
      <c r="U46" s="6">
        <v>45310</v>
      </c>
      <c r="V46" s="5" t="s">
        <v>59</v>
      </c>
      <c r="W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6" s="7">
        <f t="shared" si="0"/>
        <v>2</v>
      </c>
      <c r="Y46" s="5">
        <v>24</v>
      </c>
      <c r="Z46" s="5">
        <v>6.93</v>
      </c>
      <c r="AA46" s="5">
        <v>10</v>
      </c>
      <c r="AB46" s="5">
        <v>23.2</v>
      </c>
      <c r="AC46" s="5">
        <v>31</v>
      </c>
      <c r="AD46" s="5">
        <v>2.4</v>
      </c>
      <c r="AE46" s="5">
        <v>5</v>
      </c>
      <c r="AF46" s="5">
        <v>0.5</v>
      </c>
      <c r="AG46" s="5">
        <v>23</v>
      </c>
      <c r="AH46" s="5">
        <v>6.3</v>
      </c>
      <c r="AI46" s="5">
        <f t="shared" si="2"/>
        <v>189</v>
      </c>
    </row>
    <row r="47" spans="1:52" x14ac:dyDescent="0.25">
      <c r="A47" s="5" t="s">
        <v>52</v>
      </c>
      <c r="B47" s="5" t="s">
        <v>90</v>
      </c>
      <c r="C47" s="5" t="s">
        <v>81</v>
      </c>
      <c r="F47" s="5" t="s">
        <v>55</v>
      </c>
      <c r="G47" s="5" t="s">
        <v>61</v>
      </c>
      <c r="H47" s="5" t="s">
        <v>57</v>
      </c>
      <c r="I47" s="5">
        <v>777</v>
      </c>
      <c r="J47" s="5" t="str">
        <f>IFERROR(VLOOKUP(I47,[1]INFO_LOCALES!$B:$C,2,FALSE),"")</f>
        <v>CENTRAL</v>
      </c>
      <c r="K47" s="5" t="str">
        <f>IFERROR(VLOOKUP(Tabla2[[#This Row],[TIENDA]],[1]INFO_LOCALES!$B:$D,3,FALSE),"")</f>
        <v>X - Los Lagos</v>
      </c>
      <c r="L47" s="5" t="str">
        <f>IFERROR(VLOOKUP(I47,[1]INFO_LOCALES!$B:$I,8,FALSE),"")</f>
        <v>Osorno</v>
      </c>
      <c r="M47" s="5" t="str">
        <f>IFERROR(VLOOKUP(I47,[1]INFO_LOCALES!$B:$H,7,FALSE),"")</f>
        <v>Patricio Lynch 1278</v>
      </c>
      <c r="N47" s="5">
        <f>IFERROR(VLOOKUP(I47,[1]INFO_LOCALES!$B:$E,4,FALSE),"")</f>
        <v>3684</v>
      </c>
      <c r="O47" s="5" t="str">
        <f>VLOOKUP(Tabla2[[#This Row],[TIENDA]],[1]INFO_LOCALES!$B:$J,9,0)</f>
        <v>CONVENIO</v>
      </c>
      <c r="P47" s="5" t="str">
        <f>IFERROR(VLOOKUP(I47,[1]INFO_LOCALES!$B:$F,5,FALSE),"")</f>
        <v>SURALIS</v>
      </c>
      <c r="Q47" s="5" t="s">
        <v>105</v>
      </c>
      <c r="R47" s="5" t="s">
        <v>58</v>
      </c>
      <c r="S47" s="6">
        <v>45351</v>
      </c>
      <c r="T47" s="5" t="s">
        <v>96</v>
      </c>
      <c r="U47" s="6">
        <v>45310</v>
      </c>
      <c r="V47" s="5" t="s">
        <v>59</v>
      </c>
      <c r="W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7" s="7">
        <f t="shared" si="0"/>
        <v>2</v>
      </c>
      <c r="Y47" s="5">
        <v>22</v>
      </c>
      <c r="Z47" s="5">
        <v>7.19</v>
      </c>
      <c r="AA47" s="5">
        <v>6</v>
      </c>
      <c r="AB47" s="5">
        <v>19.2</v>
      </c>
      <c r="AC47" s="5">
        <v>494</v>
      </c>
      <c r="AD47" s="5">
        <v>13.2</v>
      </c>
      <c r="AE47" s="5">
        <v>0.93</v>
      </c>
      <c r="AF47" s="5">
        <v>0.5</v>
      </c>
      <c r="AG47" s="5">
        <v>86</v>
      </c>
      <c r="AH47" s="5">
        <v>1.6</v>
      </c>
      <c r="AI47" s="5">
        <f t="shared" si="2"/>
        <v>48</v>
      </c>
      <c r="AZ47" s="8" t="s">
        <v>106</v>
      </c>
    </row>
    <row r="48" spans="1:52" x14ac:dyDescent="0.25">
      <c r="A48" s="5" t="s">
        <v>52</v>
      </c>
      <c r="B48" s="5" t="s">
        <v>80</v>
      </c>
      <c r="C48" s="5" t="s">
        <v>81</v>
      </c>
      <c r="D48" s="5">
        <v>2024</v>
      </c>
      <c r="F48" s="5" t="s">
        <v>58</v>
      </c>
      <c r="G48" s="5" t="s">
        <v>65</v>
      </c>
      <c r="H48" s="5" t="s">
        <v>57</v>
      </c>
      <c r="I48" s="5">
        <v>519</v>
      </c>
      <c r="J48" s="5" t="str">
        <f>IFERROR(VLOOKUP(I48,[1]INFO_LOCALES!$B:$C,2,FALSE),"")</f>
        <v>TRAIGUEN</v>
      </c>
      <c r="K48" s="5" t="str">
        <f>IFERROR(VLOOKUP(Tabla2[[#This Row],[TIENDA]],[1]INFO_LOCALES!$B:$D,3,FALSE),"")</f>
        <v>IX - Araucanía</v>
      </c>
      <c r="L48" s="5" t="str">
        <f>IFERROR(VLOOKUP(I48,[1]INFO_LOCALES!$B:$I,8,FALSE),"")</f>
        <v>Traiguén</v>
      </c>
      <c r="M48" s="5" t="str">
        <f>IFERROR(VLOOKUP(I48,[1]INFO_LOCALES!$B:$H,7,FALSE),"")</f>
        <v>Santa Cruz 1170</v>
      </c>
      <c r="N48" s="5">
        <f>IFERROR(VLOOKUP(I48,[1]INFO_LOCALES!$B:$E,4,FALSE),"")</f>
        <v>0</v>
      </c>
      <c r="O48" s="5" t="str">
        <f>VLOOKUP(Tabla2[[#This Row],[TIENDA]],[1]INFO_LOCALES!$B:$J,9,0)</f>
        <v>CONVENIO</v>
      </c>
      <c r="P48" s="5" t="str">
        <f>IFERROR(VLOOKUP(I48,[1]INFO_LOCALES!$B:$F,5,FALSE),"")</f>
        <v>AGUAS ARAUCANIA S A</v>
      </c>
      <c r="Q48" s="5" t="s">
        <v>62</v>
      </c>
      <c r="R48" s="5" t="s">
        <v>58</v>
      </c>
      <c r="S48" s="6">
        <v>45371</v>
      </c>
      <c r="T48" s="5" t="s">
        <v>96</v>
      </c>
      <c r="U48" s="6">
        <v>45310</v>
      </c>
      <c r="V48" s="5" t="s">
        <v>59</v>
      </c>
      <c r="W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8" s="7">
        <f t="shared" si="0"/>
        <v>1</v>
      </c>
      <c r="Y48" s="5">
        <v>20</v>
      </c>
      <c r="Z48" s="5">
        <v>6.5049999999999999</v>
      </c>
      <c r="AA48" s="5">
        <v>2</v>
      </c>
      <c r="AB48" s="5">
        <v>19.3</v>
      </c>
      <c r="AC48" s="5">
        <v>290</v>
      </c>
      <c r="AD48" s="5">
        <v>13</v>
      </c>
      <c r="AE48" s="5">
        <v>17.399999999999999</v>
      </c>
      <c r="AF48" s="5">
        <v>4.5</v>
      </c>
      <c r="AG48" s="5">
        <v>180</v>
      </c>
      <c r="AH48" s="5">
        <v>0.72</v>
      </c>
      <c r="AI48" s="5">
        <f t="shared" si="2"/>
        <v>21.599999999999998</v>
      </c>
    </row>
    <row r="49" spans="1:52" x14ac:dyDescent="0.25">
      <c r="A49" s="5" t="s">
        <v>52</v>
      </c>
      <c r="B49" s="5" t="s">
        <v>80</v>
      </c>
      <c r="C49" s="5" t="s">
        <v>81</v>
      </c>
      <c r="F49" s="5" t="s">
        <v>55</v>
      </c>
      <c r="G49" s="5" t="s">
        <v>61</v>
      </c>
      <c r="H49" s="5" t="s">
        <v>57</v>
      </c>
      <c r="I49" s="5">
        <v>532</v>
      </c>
      <c r="J49" s="5" t="str">
        <f>IFERROR(VLOOKUP(I49,[1]INFO_LOCALES!$B:$C,2,FALSE),"")</f>
        <v>CURACAUTIN</v>
      </c>
      <c r="K49" s="5" t="str">
        <f>IFERROR(VLOOKUP(Tabla2[[#This Row],[TIENDA]],[1]INFO_LOCALES!$B:$D,3,FALSE),"")</f>
        <v>IX - Araucanía</v>
      </c>
      <c r="L49" s="5" t="str">
        <f>IFERROR(VLOOKUP(I49,[1]INFO_LOCALES!$B:$I,8,FALSE),"")</f>
        <v>Curacautin</v>
      </c>
      <c r="M49" s="5" t="str">
        <f>IFERROR(VLOOKUP(I49,[1]INFO_LOCALES!$B:$H,7,FALSE),"")</f>
        <v>O"Higgins 515</v>
      </c>
      <c r="N49" s="5">
        <f>IFERROR(VLOOKUP(I49,[1]INFO_LOCALES!$B:$E,4,FALSE),"")</f>
        <v>0</v>
      </c>
      <c r="O49" s="5" t="str">
        <f>VLOOKUP(Tabla2[[#This Row],[TIENDA]],[1]INFO_LOCALES!$B:$J,9,0)</f>
        <v>CONVENIO</v>
      </c>
      <c r="P49" s="5" t="str">
        <f>IFERROR(VLOOKUP(I49,[1]INFO_LOCALES!$B:$F,5,FALSE),"")</f>
        <v>AGUAS ARAUCANIA S A</v>
      </c>
      <c r="Q49" s="5" t="s">
        <v>62</v>
      </c>
      <c r="R49" s="5" t="s">
        <v>58</v>
      </c>
      <c r="S49" s="6">
        <v>45371</v>
      </c>
      <c r="T49" s="5" t="s">
        <v>96</v>
      </c>
      <c r="U49" s="6">
        <v>45313</v>
      </c>
      <c r="V49" s="5" t="s">
        <v>59</v>
      </c>
      <c r="W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9" s="7">
        <f t="shared" si="0"/>
        <v>3</v>
      </c>
      <c r="Y49" s="5">
        <v>0.5</v>
      </c>
      <c r="Z49" s="5">
        <v>8.07</v>
      </c>
      <c r="AA49" s="5">
        <v>25</v>
      </c>
      <c r="AB49" s="5">
        <v>19.600000000000001</v>
      </c>
      <c r="AC49" s="5">
        <v>219</v>
      </c>
      <c r="AD49" s="5">
        <v>3.6</v>
      </c>
      <c r="AE49" s="5">
        <v>312</v>
      </c>
      <c r="AF49" s="5">
        <v>0.1</v>
      </c>
      <c r="AG49" s="5">
        <v>40</v>
      </c>
      <c r="AH49" s="5">
        <v>1.01</v>
      </c>
      <c r="AI49" s="5">
        <f t="shared" si="2"/>
        <v>30.3</v>
      </c>
    </row>
    <row r="50" spans="1:52" x14ac:dyDescent="0.25">
      <c r="A50" s="5" t="s">
        <v>52</v>
      </c>
      <c r="B50" s="5" t="s">
        <v>76</v>
      </c>
      <c r="C50" s="5" t="s">
        <v>77</v>
      </c>
      <c r="F50" s="5" t="s">
        <v>55</v>
      </c>
      <c r="G50" s="5" t="s">
        <v>56</v>
      </c>
      <c r="H50" s="5" t="s">
        <v>57</v>
      </c>
      <c r="I50" s="5">
        <v>106</v>
      </c>
      <c r="J50" s="5" t="str">
        <f>IFERROR(VLOOKUP(I50,[1]INFO_LOCALES!$B:$C,2,FALSE),"")</f>
        <v>LOS MOLLES</v>
      </c>
      <c r="K50" s="5" t="str">
        <f>IFERROR(VLOOKUP(Tabla2[[#This Row],[TIENDA]],[1]INFO_LOCALES!$B:$D,3,FALSE),"")</f>
        <v>I - Tarapacá</v>
      </c>
      <c r="L50" s="5" t="str">
        <f>IFERROR(VLOOKUP(I50,[1]INFO_LOCALES!$B:$I,8,FALSE),"")</f>
        <v>Iquique</v>
      </c>
      <c r="M50" s="5" t="str">
        <f>IFERROR(VLOOKUP(I50,[1]INFO_LOCALES!$B:$H,7,FALSE),"")</f>
        <v>Santiago Polanco 2251</v>
      </c>
      <c r="N50" s="5">
        <f>IFERROR(VLOOKUP(I50,[1]INFO_LOCALES!$B:$E,4,FALSE),"")</f>
        <v>4050</v>
      </c>
      <c r="O50" s="5" t="str">
        <f>VLOOKUP(Tabla2[[#This Row],[TIENDA]],[1]INFO_LOCALES!$B:$J,9,0)</f>
        <v>CONVENIO</v>
      </c>
      <c r="P50" s="5" t="str">
        <f>IFERROR(VLOOKUP(I50,[1]INFO_LOCALES!$B:$F,5,FALSE),"")</f>
        <v>AGUAS DEL ALTIPLANO S.A.</v>
      </c>
      <c r="Q50" s="5" t="s">
        <v>78</v>
      </c>
      <c r="R50" s="5" t="s">
        <v>58</v>
      </c>
      <c r="S50" s="6">
        <v>45379</v>
      </c>
      <c r="T50" s="5" t="s">
        <v>96</v>
      </c>
      <c r="U50" s="6">
        <v>45313</v>
      </c>
      <c r="V50" s="5" t="s">
        <v>59</v>
      </c>
      <c r="W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0" s="7">
        <f t="shared" si="0"/>
        <v>3</v>
      </c>
      <c r="Y50" s="5">
        <v>8</v>
      </c>
      <c r="Z50" s="5">
        <v>7.34</v>
      </c>
      <c r="AA50" s="5">
        <v>22</v>
      </c>
      <c r="AB50" s="5">
        <v>24.26</v>
      </c>
      <c r="AC50" s="5">
        <v>375</v>
      </c>
      <c r="AD50" s="5">
        <v>6.5</v>
      </c>
      <c r="AE50" s="5">
        <v>57.49</v>
      </c>
      <c r="AF50" s="5">
        <v>0.5</v>
      </c>
      <c r="AG50" s="5">
        <v>94</v>
      </c>
      <c r="AH50" s="5">
        <v>3.1</v>
      </c>
      <c r="AI50" s="5">
        <f t="shared" si="2"/>
        <v>93</v>
      </c>
      <c r="AZ50" s="8" t="s">
        <v>107</v>
      </c>
    </row>
    <row r="51" spans="1:52" x14ac:dyDescent="0.25">
      <c r="A51" s="5" t="s">
        <v>52</v>
      </c>
      <c r="B51" s="5" t="s">
        <v>76</v>
      </c>
      <c r="C51" s="5" t="s">
        <v>77</v>
      </c>
      <c r="D51" s="5">
        <v>2024</v>
      </c>
      <c r="F51" s="5" t="s">
        <v>58</v>
      </c>
      <c r="G51" s="5" t="s">
        <v>65</v>
      </c>
      <c r="H51" s="5" t="s">
        <v>57</v>
      </c>
      <c r="I51" s="5">
        <v>923</v>
      </c>
      <c r="J51" s="5" t="str">
        <f>IFERROR(VLOOKUP(I51,[1]INFO_LOCALES!$B:$C,2,FALSE),"")</f>
        <v>SANTA MARIA ARICA</v>
      </c>
      <c r="K51" s="5" t="str">
        <f>IFERROR(VLOOKUP(Tabla2[[#This Row],[TIENDA]],[1]INFO_LOCALES!$B:$D,3,FALSE),"")</f>
        <v>XV - Arica y Parinacota</v>
      </c>
      <c r="L51" s="5" t="str">
        <f>IFERROR(VLOOKUP(I51,[1]INFO_LOCALES!$B:$I,8,FALSE),"")</f>
        <v>Arica</v>
      </c>
      <c r="M51" s="5" t="str">
        <f>IFERROR(VLOOKUP(I51,[1]INFO_LOCALES!$B:$H,7,FALSE),"")</f>
        <v>AV.STA. MARIA  2465</v>
      </c>
      <c r="N51" s="5">
        <f>IFERROR(VLOOKUP(I51,[1]INFO_LOCALES!$B:$E,4,FALSE),"")</f>
        <v>0</v>
      </c>
      <c r="O51" s="5" t="str">
        <f>VLOOKUP(Tabla2[[#This Row],[TIENDA]],[1]INFO_LOCALES!$B:$J,9,0)</f>
        <v>SIN CONVENIO</v>
      </c>
      <c r="P51" s="5" t="str">
        <f>IFERROR(VLOOKUP(I51,[1]INFO_LOCALES!$B:$F,5,FALSE),"")</f>
        <v>AGUAS DEL ALTIPLANO S.A.</v>
      </c>
      <c r="Q51" s="5" t="s">
        <v>78</v>
      </c>
      <c r="R51" s="5" t="s">
        <v>58</v>
      </c>
      <c r="S51" s="6">
        <v>45595</v>
      </c>
      <c r="T51" s="5" t="s">
        <v>96</v>
      </c>
      <c r="U51" s="6">
        <v>45313</v>
      </c>
      <c r="V51" s="5" t="s">
        <v>59</v>
      </c>
      <c r="W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1" s="7">
        <f t="shared" si="0"/>
        <v>1</v>
      </c>
      <c r="Y51" s="5">
        <v>5</v>
      </c>
      <c r="Z51" s="5">
        <v>6.75</v>
      </c>
      <c r="AA51" s="5">
        <v>2</v>
      </c>
      <c r="AB51" s="5">
        <v>23.88</v>
      </c>
      <c r="AC51" s="5">
        <v>28</v>
      </c>
      <c r="AD51" s="5">
        <v>1.5</v>
      </c>
      <c r="AE51" s="5">
        <v>8.5</v>
      </c>
      <c r="AF51" s="5">
        <v>1.4</v>
      </c>
      <c r="AG51" s="5">
        <v>54</v>
      </c>
      <c r="AH51" s="5">
        <v>3.5</v>
      </c>
      <c r="AI51" s="5">
        <f t="shared" si="2"/>
        <v>105</v>
      </c>
      <c r="AZ51" s="8" t="s">
        <v>108</v>
      </c>
    </row>
    <row r="52" spans="1:52" x14ac:dyDescent="0.25">
      <c r="A52" s="5" t="s">
        <v>52</v>
      </c>
      <c r="B52" s="5" t="s">
        <v>90</v>
      </c>
      <c r="C52" s="5" t="s">
        <v>81</v>
      </c>
      <c r="F52" s="5" t="s">
        <v>55</v>
      </c>
      <c r="G52" s="5" t="s">
        <v>61</v>
      </c>
      <c r="H52" s="5" t="s">
        <v>57</v>
      </c>
      <c r="I52" s="5">
        <v>778</v>
      </c>
      <c r="J52" s="5" t="str">
        <f>IFERROR(VLOOKUP(I52,[1]INFO_LOCALES!$B:$C,2,FALSE),"")</f>
        <v>ORIENTE</v>
      </c>
      <c r="K52" s="5" t="str">
        <f>IFERROR(VLOOKUP(Tabla2[[#This Row],[TIENDA]],[1]INFO_LOCALES!$B:$D,3,FALSE),"")</f>
        <v>X - Los Lagos</v>
      </c>
      <c r="L52" s="5" t="str">
        <f>IFERROR(VLOOKUP(I52,[1]INFO_LOCALES!$B:$I,8,FALSE),"")</f>
        <v>Osorno</v>
      </c>
      <c r="M52" s="5" t="str">
        <f>IFERROR(VLOOKUP(I52,[1]INFO_LOCALES!$B:$H,7,FALSE),"")</f>
        <v>Julio Buschman 2223</v>
      </c>
      <c r="N52" s="5">
        <f>IFERROR(VLOOKUP(I52,[1]INFO_LOCALES!$B:$E,4,FALSE),"")</f>
        <v>2867</v>
      </c>
      <c r="O52" s="5" t="str">
        <f>VLOOKUP(Tabla2[[#This Row],[TIENDA]],[1]INFO_LOCALES!$B:$J,9,0)</f>
        <v>CONVENIO</v>
      </c>
      <c r="P52" s="5" t="str">
        <f>IFERROR(VLOOKUP(I52,[1]INFO_LOCALES!$B:$F,5,FALSE),"")</f>
        <v>SURALIS</v>
      </c>
      <c r="Q52" s="5" t="s">
        <v>105</v>
      </c>
      <c r="R52" s="5" t="s">
        <v>58</v>
      </c>
      <c r="S52" s="6">
        <v>45351</v>
      </c>
      <c r="T52" s="5" t="s">
        <v>96</v>
      </c>
      <c r="U52" s="6">
        <v>45314</v>
      </c>
      <c r="V52" s="5" t="s">
        <v>59</v>
      </c>
      <c r="W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2" s="7">
        <f t="shared" si="0"/>
        <v>2</v>
      </c>
      <c r="Y52" s="5">
        <v>55</v>
      </c>
      <c r="Z52" s="5">
        <v>7.98</v>
      </c>
      <c r="AA52" s="5">
        <v>2</v>
      </c>
      <c r="AB52" s="5">
        <v>16.2</v>
      </c>
      <c r="AC52" s="5">
        <v>425</v>
      </c>
      <c r="AD52" s="5">
        <v>12.7</v>
      </c>
      <c r="AE52" s="5">
        <v>33.020000000000003</v>
      </c>
      <c r="AF52" s="5">
        <v>0.5</v>
      </c>
      <c r="AG52" s="5">
        <v>93</v>
      </c>
      <c r="AH52" s="5">
        <v>10.5</v>
      </c>
      <c r="AI52" s="5">
        <f t="shared" si="2"/>
        <v>315</v>
      </c>
      <c r="AZ52" s="8" t="s">
        <v>109</v>
      </c>
    </row>
    <row r="53" spans="1:52" x14ac:dyDescent="0.25">
      <c r="A53" s="5" t="s">
        <v>52</v>
      </c>
      <c r="B53" s="5" t="s">
        <v>82</v>
      </c>
      <c r="C53" s="5" t="s">
        <v>77</v>
      </c>
      <c r="F53" s="5" t="s">
        <v>55</v>
      </c>
      <c r="G53" s="5" t="s">
        <v>61</v>
      </c>
      <c r="H53" s="5" t="s">
        <v>57</v>
      </c>
      <c r="I53" s="5">
        <v>32</v>
      </c>
      <c r="J53" s="5" t="str">
        <f>IFERROR(VLOOKUP(I53,[1]INFO_LOCALES!$B:$C,2,FALSE),"")</f>
        <v>CHAÑARCILLO</v>
      </c>
      <c r="K53" s="5" t="str">
        <f>IFERROR(VLOOKUP(Tabla2[[#This Row],[TIENDA]],[1]INFO_LOCALES!$B:$D,3,FALSE),"")</f>
        <v>III - Atacama</v>
      </c>
      <c r="L53" s="5" t="str">
        <f>IFERROR(VLOOKUP(I53,[1]INFO_LOCALES!$B:$I,8,FALSE),"")</f>
        <v>Copiapó</v>
      </c>
      <c r="M53" s="5" t="str">
        <f>IFERROR(VLOOKUP(I53,[1]INFO_LOCALES!$B:$H,7,FALSE),"")</f>
        <v>Chacabuco Nº 231</v>
      </c>
      <c r="N53" s="5">
        <f>IFERROR(VLOOKUP(I53,[1]INFO_LOCALES!$B:$E,4,FALSE),"")</f>
        <v>0</v>
      </c>
      <c r="O53" s="5" t="str">
        <f>VLOOKUP(Tabla2[[#This Row],[TIENDA]],[1]INFO_LOCALES!$B:$J,9,0)</f>
        <v>CONVENIO</v>
      </c>
      <c r="P53" s="5" t="str">
        <f>IFERROR(VLOOKUP(I53,[1]INFO_LOCALES!$B:$F,5,FALSE),"")</f>
        <v>NUEVA ATACAMA</v>
      </c>
      <c r="Q53" s="5" t="s">
        <v>66</v>
      </c>
      <c r="R53" s="5" t="s">
        <v>58</v>
      </c>
      <c r="S53" s="6">
        <v>45343</v>
      </c>
      <c r="T53" s="5" t="s">
        <v>96</v>
      </c>
      <c r="U53" s="6">
        <v>45314</v>
      </c>
      <c r="V53" s="5" t="s">
        <v>59</v>
      </c>
      <c r="W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3" s="7">
        <f t="shared" si="0"/>
        <v>3</v>
      </c>
      <c r="Y53" s="5">
        <v>7</v>
      </c>
      <c r="AA53" s="5">
        <v>37</v>
      </c>
      <c r="AC53" s="5">
        <v>583</v>
      </c>
      <c r="AD53" s="5">
        <v>9.83</v>
      </c>
      <c r="AE53" s="5">
        <v>69</v>
      </c>
      <c r="AF53" s="5">
        <v>1.2</v>
      </c>
      <c r="AG53" s="5">
        <v>103</v>
      </c>
      <c r="AI53" s="5">
        <f t="shared" si="2"/>
        <v>0</v>
      </c>
      <c r="AY53" s="5">
        <v>0.1</v>
      </c>
    </row>
    <row r="54" spans="1:52" x14ac:dyDescent="0.25">
      <c r="A54" s="5" t="s">
        <v>52</v>
      </c>
      <c r="B54" s="5" t="s">
        <v>82</v>
      </c>
      <c r="C54" s="5" t="s">
        <v>77</v>
      </c>
      <c r="F54" s="5" t="s">
        <v>55</v>
      </c>
      <c r="G54" s="5" t="s">
        <v>56</v>
      </c>
      <c r="H54" s="5" t="s">
        <v>57</v>
      </c>
      <c r="I54" s="5">
        <v>22</v>
      </c>
      <c r="J54" s="5" t="str">
        <f>IFERROR(VLOOKUP(I54,[1]INFO_LOCALES!$B:$C,2,FALSE),"")</f>
        <v>ATACAMA</v>
      </c>
      <c r="K54" s="5" t="str">
        <f>IFERROR(VLOOKUP(Tabla2[[#This Row],[TIENDA]],[1]INFO_LOCALES!$B:$D,3,FALSE),"")</f>
        <v>III - Atacama</v>
      </c>
      <c r="L54" s="5" t="str">
        <f>IFERROR(VLOOKUP(I54,[1]INFO_LOCALES!$B:$I,8,FALSE),"")</f>
        <v>Copiapó</v>
      </c>
      <c r="M54" s="5" t="str">
        <f>IFERROR(VLOOKUP(I54,[1]INFO_LOCALES!$B:$H,7,FALSE),"")</f>
        <v>Los Carreras 2242</v>
      </c>
      <c r="N54" s="5">
        <f>IFERROR(VLOOKUP(I54,[1]INFO_LOCALES!$B:$E,4,FALSE),"")</f>
        <v>2666</v>
      </c>
      <c r="O54" s="5" t="str">
        <f>VLOOKUP(Tabla2[[#This Row],[TIENDA]],[1]INFO_LOCALES!$B:$J,9,0)</f>
        <v>CONVENIO</v>
      </c>
      <c r="P54" s="5" t="str">
        <f>IFERROR(VLOOKUP(I54,[1]INFO_LOCALES!$B:$F,5,FALSE),"")</f>
        <v>NUEVA ATACAMA</v>
      </c>
      <c r="Q54" s="5" t="s">
        <v>66</v>
      </c>
      <c r="R54" s="5" t="s">
        <v>58</v>
      </c>
      <c r="S54" s="6">
        <v>45314</v>
      </c>
      <c r="T54" s="5" t="s">
        <v>96</v>
      </c>
      <c r="U54" s="6">
        <v>45314</v>
      </c>
      <c r="V54" s="5" t="s">
        <v>59</v>
      </c>
      <c r="W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4" s="7">
        <f t="shared" si="0"/>
        <v>3</v>
      </c>
      <c r="Y54" s="5">
        <v>2</v>
      </c>
      <c r="AA54" s="5">
        <v>25</v>
      </c>
      <c r="AC54" s="5">
        <v>665</v>
      </c>
      <c r="AD54" s="5">
        <v>10.050000000000001</v>
      </c>
      <c r="AE54" s="5">
        <v>52.5</v>
      </c>
      <c r="AF54" s="5">
        <v>1.4</v>
      </c>
      <c r="AG54" s="5">
        <v>100</v>
      </c>
      <c r="AI54" s="5">
        <f t="shared" si="2"/>
        <v>0</v>
      </c>
      <c r="AY54" s="5">
        <v>0.2</v>
      </c>
    </row>
    <row r="55" spans="1:52" x14ac:dyDescent="0.25">
      <c r="A55" s="5" t="s">
        <v>52</v>
      </c>
      <c r="B55" s="5" t="s">
        <v>76</v>
      </c>
      <c r="C55" s="5" t="s">
        <v>77</v>
      </c>
      <c r="F55" s="5" t="s">
        <v>55</v>
      </c>
      <c r="G55" s="5" t="s">
        <v>56</v>
      </c>
      <c r="H55" s="5" t="s">
        <v>57</v>
      </c>
      <c r="I55" s="5">
        <v>106</v>
      </c>
      <c r="J55" s="5" t="str">
        <f>IFERROR(VLOOKUP(I55,[1]INFO_LOCALES!$B:$C,2,FALSE),"")</f>
        <v>LOS MOLLES</v>
      </c>
      <c r="K55" s="5" t="str">
        <f>IFERROR(VLOOKUP(Tabla2[[#This Row],[TIENDA]],[1]INFO_LOCALES!$B:$D,3,FALSE),"")</f>
        <v>I - Tarapacá</v>
      </c>
      <c r="L55" s="5" t="str">
        <f>IFERROR(VLOOKUP(I55,[1]INFO_LOCALES!$B:$I,8,FALSE),"")</f>
        <v>Iquique</v>
      </c>
      <c r="M55" s="5" t="str">
        <f>IFERROR(VLOOKUP(I55,[1]INFO_LOCALES!$B:$H,7,FALSE),"")</f>
        <v>Santiago Polanco 2251</v>
      </c>
      <c r="N55" s="5">
        <f>IFERROR(VLOOKUP(I55,[1]INFO_LOCALES!$B:$E,4,FALSE),"")</f>
        <v>4050</v>
      </c>
      <c r="O55" s="5" t="str">
        <f>VLOOKUP(Tabla2[[#This Row],[TIENDA]],[1]INFO_LOCALES!$B:$J,9,0)</f>
        <v>CONVENIO</v>
      </c>
      <c r="P55" s="5" t="str">
        <f>IFERROR(VLOOKUP(I55,[1]INFO_LOCALES!$B:$F,5,FALSE),"")</f>
        <v>AGUAS DEL ALTIPLANO S.A.</v>
      </c>
      <c r="Q55" s="5" t="s">
        <v>78</v>
      </c>
      <c r="R55" s="5" t="s">
        <v>58</v>
      </c>
      <c r="S55" s="6">
        <v>45379</v>
      </c>
      <c r="T55" s="5" t="s">
        <v>96</v>
      </c>
      <c r="U55" s="6">
        <v>45314</v>
      </c>
      <c r="V55" s="5" t="s">
        <v>59</v>
      </c>
      <c r="W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5" s="7">
        <f t="shared" si="0"/>
        <v>3</v>
      </c>
      <c r="Y55" s="5">
        <v>7</v>
      </c>
      <c r="Z55" s="5">
        <v>6.85</v>
      </c>
      <c r="AA55" s="5">
        <v>30</v>
      </c>
      <c r="AB55" s="5">
        <v>23.86</v>
      </c>
      <c r="AC55" s="5">
        <v>375</v>
      </c>
      <c r="AD55" s="5">
        <v>7</v>
      </c>
      <c r="AE55" s="5">
        <v>40.72</v>
      </c>
      <c r="AF55" s="5">
        <v>0.5</v>
      </c>
      <c r="AG55" s="5">
        <v>98</v>
      </c>
      <c r="AH55" s="5">
        <v>3</v>
      </c>
      <c r="AI55" s="5">
        <f t="shared" si="2"/>
        <v>90</v>
      </c>
      <c r="AZ55" s="8" t="s">
        <v>110</v>
      </c>
    </row>
    <row r="56" spans="1:52" x14ac:dyDescent="0.25">
      <c r="A56" s="5" t="s">
        <v>52</v>
      </c>
      <c r="B56" s="5" t="s">
        <v>76</v>
      </c>
      <c r="C56" s="5" t="s">
        <v>77</v>
      </c>
      <c r="F56" s="5" t="s">
        <v>55</v>
      </c>
      <c r="G56" s="5" t="s">
        <v>56</v>
      </c>
      <c r="H56" s="5" t="s">
        <v>57</v>
      </c>
      <c r="I56" s="5">
        <v>86</v>
      </c>
      <c r="J56" s="5" t="str">
        <f>IFERROR(VLOOKUP(I56,[1]INFO_LOCALES!$B:$C,2,FALSE),"")</f>
        <v>BILBAO</v>
      </c>
      <c r="K56" s="5" t="str">
        <f>IFERROR(VLOOKUP(Tabla2[[#This Row],[TIENDA]],[1]INFO_LOCALES!$B:$D,3,FALSE),"")</f>
        <v>I - Tarapacá</v>
      </c>
      <c r="L56" s="5" t="str">
        <f>IFERROR(VLOOKUP(I56,[1]INFO_LOCALES!$B:$I,8,FALSE),"")</f>
        <v>Iquique</v>
      </c>
      <c r="M56" s="5" t="str">
        <f>IFERROR(VLOOKUP(I56,[1]INFO_LOCALES!$B:$H,7,FALSE),"")</f>
        <v>Fco.Bilbao 3545</v>
      </c>
      <c r="N56" s="5">
        <f>IFERROR(VLOOKUP(I56,[1]INFO_LOCALES!$B:$E,4,FALSE),"")</f>
        <v>4049</v>
      </c>
      <c r="O56" s="5" t="str">
        <f>VLOOKUP(Tabla2[[#This Row],[TIENDA]],[1]INFO_LOCALES!$B:$J,9,0)</f>
        <v>CONVENIO</v>
      </c>
      <c r="P56" s="5" t="str">
        <f>IFERROR(VLOOKUP(I56,[1]INFO_LOCALES!$B:$F,5,FALSE),"")</f>
        <v>AGUAS DEL ALTIPLANO S.A.</v>
      </c>
      <c r="Q56" s="5" t="s">
        <v>78</v>
      </c>
      <c r="R56" s="5" t="s">
        <v>58</v>
      </c>
      <c r="S56" s="6">
        <v>45595</v>
      </c>
      <c r="T56" s="5" t="s">
        <v>96</v>
      </c>
      <c r="U56" s="6">
        <v>45314</v>
      </c>
      <c r="V56" s="5" t="s">
        <v>59</v>
      </c>
      <c r="W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6" s="7">
        <f t="shared" si="0"/>
        <v>3</v>
      </c>
      <c r="Y56" s="5">
        <v>6</v>
      </c>
      <c r="Z56" s="5">
        <v>6.84</v>
      </c>
      <c r="AA56" s="5">
        <v>10</v>
      </c>
      <c r="AB56" s="5">
        <v>27.87</v>
      </c>
      <c r="AC56" s="5">
        <v>635</v>
      </c>
      <c r="AD56" s="5">
        <v>12.6</v>
      </c>
      <c r="AE56" s="5">
        <v>29.54</v>
      </c>
      <c r="AF56" s="5">
        <v>0.5</v>
      </c>
      <c r="AG56" s="5">
        <v>66</v>
      </c>
      <c r="AH56" s="5">
        <v>30.7</v>
      </c>
      <c r="AI56" s="5">
        <f t="shared" si="2"/>
        <v>921</v>
      </c>
      <c r="AZ56" s="8" t="s">
        <v>111</v>
      </c>
    </row>
    <row r="57" spans="1:52" ht="15" customHeight="1" x14ac:dyDescent="0.25">
      <c r="A57" s="5" t="s">
        <v>52</v>
      </c>
      <c r="B57" s="5" t="s">
        <v>112</v>
      </c>
      <c r="C57" s="5" t="s">
        <v>70</v>
      </c>
      <c r="F57" s="5" t="s">
        <v>55</v>
      </c>
      <c r="G57" s="5" t="s">
        <v>65</v>
      </c>
      <c r="H57" s="5" t="s">
        <v>57</v>
      </c>
      <c r="I57" s="5">
        <v>362</v>
      </c>
      <c r="J57" s="5" t="str">
        <f>IFERROR(VLOOKUP(I57,[1]INFO_LOCALES!$B:$C,2,FALSE),"")</f>
        <v>LAS TRANQUERAS</v>
      </c>
      <c r="K57" s="5" t="str">
        <f>IFERROR(VLOOKUP(Tabla2[[#This Row],[TIENDA]],[1]INFO_LOCALES!$B:$D,3,FALSE),"")</f>
        <v>RM - Santiago</v>
      </c>
      <c r="L57" s="5" t="str">
        <f>IFERROR(VLOOKUP(I57,[1]INFO_LOCALES!$B:$I,8,FALSE),"")</f>
        <v>Vitacura</v>
      </c>
      <c r="M57" s="5" t="str">
        <f>IFERROR(VLOOKUP(I57,[1]INFO_LOCALES!$B:$H,7,FALSE),"")</f>
        <v>Vitacura 8400</v>
      </c>
      <c r="N57" s="5">
        <f>IFERROR(VLOOKUP(I57,[1]INFO_LOCALES!$B:$E,4,FALSE),"")</f>
        <v>0</v>
      </c>
      <c r="O57" s="5" t="str">
        <f>VLOOKUP(Tabla2[[#This Row],[TIENDA]],[1]INFO_LOCALES!$B:$J,9,0)</f>
        <v>SIN CONVENIO</v>
      </c>
      <c r="P57" s="5" t="str">
        <f>IFERROR(VLOOKUP(I57,[1]INFO_LOCALES!$B:$F,5,FALSE),"")</f>
        <v>AGUAS CORDILLERA S.A.</v>
      </c>
      <c r="Q57" s="5" t="s">
        <v>113</v>
      </c>
      <c r="R57" s="5" t="s">
        <v>58</v>
      </c>
      <c r="S57" s="6">
        <v>45373</v>
      </c>
      <c r="T57" s="5" t="s">
        <v>96</v>
      </c>
      <c r="U57" s="6">
        <v>45316</v>
      </c>
      <c r="V57" s="5" t="s">
        <v>59</v>
      </c>
      <c r="W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7" s="7">
        <f t="shared" si="0"/>
        <v>1</v>
      </c>
      <c r="Y57" s="5">
        <v>47</v>
      </c>
      <c r="Z57" s="5">
        <v>8.99</v>
      </c>
      <c r="AA57" s="5">
        <v>0.8</v>
      </c>
      <c r="AB57" s="5">
        <v>16.8</v>
      </c>
      <c r="AC57" s="5">
        <v>277</v>
      </c>
      <c r="AD57" s="5">
        <v>11.45</v>
      </c>
      <c r="AE57" s="5">
        <v>66.56</v>
      </c>
      <c r="AF57" s="5">
        <v>10</v>
      </c>
      <c r="AG57" s="5">
        <v>230</v>
      </c>
      <c r="AH57" s="5">
        <v>4</v>
      </c>
      <c r="AI57" s="5">
        <f t="shared" si="2"/>
        <v>120</v>
      </c>
    </row>
    <row r="58" spans="1:52" x14ac:dyDescent="0.25">
      <c r="A58" s="5" t="s">
        <v>52</v>
      </c>
      <c r="B58" s="5" t="s">
        <v>76</v>
      </c>
      <c r="C58" s="5" t="s">
        <v>77</v>
      </c>
      <c r="F58" s="5" t="s">
        <v>55</v>
      </c>
      <c r="G58" s="5" t="s">
        <v>65</v>
      </c>
      <c r="H58" s="5" t="s">
        <v>57</v>
      </c>
      <c r="I58" s="5">
        <v>87</v>
      </c>
      <c r="J58" s="5" t="str">
        <f>IFERROR(VLOOKUP(I58,[1]INFO_LOCALES!$B:$C,2,FALSE),"")</f>
        <v>JUAN MARTINEZ</v>
      </c>
      <c r="K58" s="5" t="str">
        <f>IFERROR(VLOOKUP(Tabla2[[#This Row],[TIENDA]],[1]INFO_LOCALES!$B:$D,3,FALSE),"")</f>
        <v>I - Tarapacá</v>
      </c>
      <c r="L58" s="5" t="str">
        <f>IFERROR(VLOOKUP(I58,[1]INFO_LOCALES!$B:$I,8,FALSE),"")</f>
        <v>Iquique</v>
      </c>
      <c r="M58" s="5" t="str">
        <f>IFERROR(VLOOKUP(I58,[1]INFO_LOCALES!$B:$H,7,FALSE),"")</f>
        <v>M. Rodriguez 964</v>
      </c>
      <c r="N58" s="5">
        <f>IFERROR(VLOOKUP(I58,[1]INFO_LOCALES!$B:$E,4,FALSE),"")</f>
        <v>0</v>
      </c>
      <c r="O58" s="5" t="str">
        <f>VLOOKUP(Tabla2[[#This Row],[TIENDA]],[1]INFO_LOCALES!$B:$J,9,0)</f>
        <v>CONVENIO</v>
      </c>
      <c r="P58" s="5" t="str">
        <f>IFERROR(VLOOKUP(I58,[1]INFO_LOCALES!$B:$F,5,FALSE),"")</f>
        <v>AGUAS DEL ALTIPLANO S.A.</v>
      </c>
      <c r="Q58" s="5" t="s">
        <v>78</v>
      </c>
      <c r="R58" s="5" t="s">
        <v>58</v>
      </c>
      <c r="S58" s="6">
        <v>45379</v>
      </c>
      <c r="T58" s="5" t="s">
        <v>96</v>
      </c>
      <c r="U58" s="6">
        <v>45316</v>
      </c>
      <c r="V58" s="5" t="s">
        <v>59</v>
      </c>
      <c r="W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8" s="7">
        <f t="shared" si="0"/>
        <v>1</v>
      </c>
      <c r="Y58" s="5">
        <v>2</v>
      </c>
      <c r="Z58" s="5">
        <v>6.89</v>
      </c>
      <c r="AA58" s="5">
        <v>2</v>
      </c>
      <c r="AB58" s="5">
        <v>26.88</v>
      </c>
      <c r="AC58" s="5">
        <v>78</v>
      </c>
      <c r="AD58" s="5">
        <v>3.7</v>
      </c>
      <c r="AE58" s="5">
        <v>50.15</v>
      </c>
      <c r="AF58" s="5">
        <v>0.6</v>
      </c>
      <c r="AG58" s="5">
        <v>63</v>
      </c>
      <c r="AH58" s="5">
        <v>9.4</v>
      </c>
      <c r="AI58" s="5">
        <f t="shared" si="2"/>
        <v>282</v>
      </c>
      <c r="AZ58" s="8" t="s">
        <v>114</v>
      </c>
    </row>
    <row r="59" spans="1:52" x14ac:dyDescent="0.25">
      <c r="A59" s="5" t="s">
        <v>52</v>
      </c>
      <c r="B59" s="5" t="s">
        <v>76</v>
      </c>
      <c r="C59" s="5" t="s">
        <v>77</v>
      </c>
      <c r="F59" s="5" t="s">
        <v>55</v>
      </c>
      <c r="G59" s="5" t="s">
        <v>61</v>
      </c>
      <c r="H59" s="5" t="s">
        <v>57</v>
      </c>
      <c r="I59" s="5">
        <v>85</v>
      </c>
      <c r="J59" s="5" t="str">
        <f>IFERROR(VLOOKUP(I59,[1]INFO_LOCALES!$B:$C,2,FALSE),"")</f>
        <v>AMUNATEGUI</v>
      </c>
      <c r="K59" s="5" t="str">
        <f>IFERROR(VLOOKUP(Tabla2[[#This Row],[TIENDA]],[1]INFO_LOCALES!$B:$D,3,FALSE),"")</f>
        <v>I - Tarapacá</v>
      </c>
      <c r="L59" s="5" t="str">
        <f>IFERROR(VLOOKUP(I59,[1]INFO_LOCALES!$B:$I,8,FALSE),"")</f>
        <v>Iquique</v>
      </c>
      <c r="M59" s="5" t="str">
        <f>IFERROR(VLOOKUP(I59,[1]INFO_LOCALES!$B:$H,7,FALSE),"")</f>
        <v>Amunategui 902</v>
      </c>
      <c r="N59" s="5">
        <f>IFERROR(VLOOKUP(I59,[1]INFO_LOCALES!$B:$E,4,FALSE),"")</f>
        <v>0</v>
      </c>
      <c r="O59" s="5" t="str">
        <f>VLOOKUP(Tabla2[[#This Row],[TIENDA]],[1]INFO_LOCALES!$B:$J,9,0)</f>
        <v>CONVENIO</v>
      </c>
      <c r="P59" s="5" t="str">
        <f>IFERROR(VLOOKUP(I59,[1]INFO_LOCALES!$B:$F,5,FALSE),"")</f>
        <v>AGUAS DEL ALTIPLANO S.A.</v>
      </c>
      <c r="Q59" s="5" t="s">
        <v>78</v>
      </c>
      <c r="R59" s="5" t="s">
        <v>58</v>
      </c>
      <c r="S59" s="6">
        <v>45595</v>
      </c>
      <c r="T59" s="5" t="s">
        <v>96</v>
      </c>
      <c r="U59" s="6">
        <v>45316</v>
      </c>
      <c r="V59" s="5" t="s">
        <v>59</v>
      </c>
      <c r="W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9" s="7">
        <f t="shared" si="0"/>
        <v>3</v>
      </c>
      <c r="Y59" s="5">
        <v>7</v>
      </c>
      <c r="Z59" s="5">
        <v>6.65</v>
      </c>
      <c r="AA59" s="5">
        <v>2</v>
      </c>
      <c r="AB59" s="5">
        <v>25.21</v>
      </c>
      <c r="AC59" s="5">
        <v>299</v>
      </c>
      <c r="AD59" s="5">
        <v>8.1999999999999993</v>
      </c>
      <c r="AE59" s="5">
        <v>178.62</v>
      </c>
      <c r="AF59" s="5">
        <v>8</v>
      </c>
      <c r="AG59" s="5">
        <v>454</v>
      </c>
      <c r="AH59" s="5">
        <v>3.8</v>
      </c>
      <c r="AI59" s="5">
        <f t="shared" si="2"/>
        <v>114</v>
      </c>
      <c r="AZ59" s="8" t="s">
        <v>115</v>
      </c>
    </row>
    <row r="60" spans="1:52" x14ac:dyDescent="0.25">
      <c r="A60" s="5" t="s">
        <v>52</v>
      </c>
      <c r="B60" s="5" t="s">
        <v>116</v>
      </c>
      <c r="C60" s="5" t="s">
        <v>70</v>
      </c>
      <c r="F60" s="5" t="s">
        <v>55</v>
      </c>
      <c r="G60" s="5" t="s">
        <v>61</v>
      </c>
      <c r="H60" s="5" t="s">
        <v>57</v>
      </c>
      <c r="I60" s="5">
        <v>477</v>
      </c>
      <c r="J60" s="5" t="str">
        <f>IFERROR(VLOOKUP(I60,[1]INFO_LOCALES!$B:$C,2,FALSE),"")</f>
        <v>CURAUMA</v>
      </c>
      <c r="K60" s="5" t="str">
        <f>IFERROR(VLOOKUP(Tabla2[[#This Row],[TIENDA]],[1]INFO_LOCALES!$B:$D,3,FALSE),"")</f>
        <v>V - Valparaiso</v>
      </c>
      <c r="L60" s="5" t="str">
        <f>IFERROR(VLOOKUP(I60,[1]INFO_LOCALES!$B:$I,8,FALSE),"")</f>
        <v>Valparaíso</v>
      </c>
      <c r="M60" s="5" t="str">
        <f>IFERROR(VLOOKUP(I60,[1]INFO_LOCALES!$B:$H,7,FALSE),"")</f>
        <v>Obispo Valdes 1170</v>
      </c>
      <c r="N60" s="5">
        <f>IFERROR(VLOOKUP(I60,[1]INFO_LOCALES!$B:$E,4,FALSE),"")</f>
        <v>2721</v>
      </c>
      <c r="O60" s="5" t="str">
        <f>VLOOKUP(Tabla2[[#This Row],[TIENDA]],[1]INFO_LOCALES!$B:$J,9,0)</f>
        <v>SIN CONVENIO</v>
      </c>
      <c r="P60" s="5" t="str">
        <f>IFERROR(VLOOKUP(I60,[1]INFO_LOCALES!$B:$F,5,FALSE),"")</f>
        <v>ESVAL S.A.</v>
      </c>
      <c r="Q60" s="5" t="s">
        <v>85</v>
      </c>
      <c r="R60" s="5" t="s">
        <v>86</v>
      </c>
      <c r="S60" s="6" t="s">
        <v>87</v>
      </c>
      <c r="T60" s="5" t="s">
        <v>96</v>
      </c>
      <c r="U60" s="6">
        <v>45317</v>
      </c>
      <c r="V60" s="5" t="s">
        <v>59</v>
      </c>
      <c r="W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0" s="7">
        <f t="shared" si="0"/>
        <v>2</v>
      </c>
      <c r="Y60" s="5">
        <v>28</v>
      </c>
      <c r="Z60" s="5">
        <v>7.14</v>
      </c>
      <c r="AA60" s="5">
        <v>2</v>
      </c>
      <c r="AB60" s="5">
        <v>20.2</v>
      </c>
      <c r="AC60" s="5">
        <v>593</v>
      </c>
      <c r="AD60" s="5">
        <v>11.9</v>
      </c>
      <c r="AE60" s="5">
        <v>15.22</v>
      </c>
      <c r="AF60" s="5">
        <v>0.5</v>
      </c>
      <c r="AG60" s="5">
        <v>94</v>
      </c>
      <c r="AH60" s="5">
        <v>10.4</v>
      </c>
      <c r="AI60" s="5">
        <f t="shared" si="2"/>
        <v>312</v>
      </c>
    </row>
    <row r="61" spans="1:52" x14ac:dyDescent="0.25">
      <c r="A61" s="5" t="s">
        <v>52</v>
      </c>
      <c r="B61" s="5" t="s">
        <v>117</v>
      </c>
      <c r="C61" s="5" t="s">
        <v>81</v>
      </c>
      <c r="F61" s="5" t="s">
        <v>58</v>
      </c>
      <c r="G61" s="5" t="s">
        <v>65</v>
      </c>
      <c r="H61" s="5" t="s">
        <v>57</v>
      </c>
      <c r="I61" s="5">
        <v>754</v>
      </c>
      <c r="J61" s="5" t="str">
        <f>IFERROR(VLOOKUP(I61,[1]INFO_LOCALES!$B:$C,2,FALSE),"")</f>
        <v>TEMUCO IV</v>
      </c>
      <c r="K61" s="5" t="str">
        <f>IFERROR(VLOOKUP(Tabla2[[#This Row],[TIENDA]],[1]INFO_LOCALES!$B:$D,3,FALSE),"")</f>
        <v>IX - Araucanía</v>
      </c>
      <c r="L61" s="5" t="str">
        <f>IFERROR(VLOOKUP(I61,[1]INFO_LOCALES!$B:$I,8,FALSE),"")</f>
        <v>Temuco</v>
      </c>
      <c r="M61" s="5" t="str">
        <f>IFERROR(VLOOKUP(I61,[1]INFO_LOCALES!$B:$H,7,FALSE),"")</f>
        <v>Avenida Javiera Carrera 1610</v>
      </c>
      <c r="N61" s="5">
        <f>IFERROR(VLOOKUP(I61,[1]INFO_LOCALES!$B:$E,4,FALSE),"")</f>
        <v>0</v>
      </c>
      <c r="O61" s="5" t="str">
        <f>VLOOKUP(Tabla2[[#This Row],[TIENDA]],[1]INFO_LOCALES!$B:$J,9,0)</f>
        <v>CONVENIO</v>
      </c>
      <c r="P61" s="5" t="str">
        <f>IFERROR(VLOOKUP(I61,[1]INFO_LOCALES!$B:$F,5,FALSE),"")</f>
        <v>AGUAS ARAUCANIA S A</v>
      </c>
      <c r="Q61" s="5" t="s">
        <v>62</v>
      </c>
      <c r="R61" s="5" t="s">
        <v>58</v>
      </c>
      <c r="S61" s="6">
        <v>45371</v>
      </c>
      <c r="T61" s="5" t="s">
        <v>96</v>
      </c>
      <c r="U61" s="6">
        <v>45317</v>
      </c>
      <c r="V61" s="5" t="s">
        <v>59</v>
      </c>
      <c r="W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1" s="7">
        <f t="shared" si="0"/>
        <v>2</v>
      </c>
      <c r="Y61" s="5">
        <v>11.8</v>
      </c>
      <c r="Z61" s="5">
        <v>6.68</v>
      </c>
      <c r="AA61" s="5">
        <v>2</v>
      </c>
      <c r="AB61" s="5">
        <v>19.350000000000001</v>
      </c>
      <c r="AC61" s="5">
        <v>301</v>
      </c>
      <c r="AD61" s="5">
        <v>2.6</v>
      </c>
      <c r="AE61" s="5">
        <v>111</v>
      </c>
      <c r="AF61" s="5">
        <v>6</v>
      </c>
      <c r="AG61" s="5">
        <v>500</v>
      </c>
      <c r="AH61" s="5">
        <v>8.92</v>
      </c>
      <c r="AI61" s="5">
        <f t="shared" si="2"/>
        <v>267.60000000000002</v>
      </c>
    </row>
    <row r="62" spans="1:52" x14ac:dyDescent="0.25">
      <c r="A62" s="5" t="s">
        <v>52</v>
      </c>
      <c r="B62" s="5" t="s">
        <v>82</v>
      </c>
      <c r="C62" s="5" t="s">
        <v>77</v>
      </c>
      <c r="F62" s="5" t="s">
        <v>55</v>
      </c>
      <c r="G62" s="5" t="s">
        <v>65</v>
      </c>
      <c r="H62" s="5" t="s">
        <v>57</v>
      </c>
      <c r="I62" s="5">
        <v>472</v>
      </c>
      <c r="J62" s="5" t="str">
        <f>IFERROR(VLOOKUP(I62,[1]INFO_LOCALES!$B:$C,2,FALSE),"")</f>
        <v>CALDERA I</v>
      </c>
      <c r="K62" s="5" t="str">
        <f>IFERROR(VLOOKUP(Tabla2[[#This Row],[TIENDA]],[1]INFO_LOCALES!$B:$D,3,FALSE),"")</f>
        <v>III - Atacama</v>
      </c>
      <c r="L62" s="5" t="str">
        <f>IFERROR(VLOOKUP(I62,[1]INFO_LOCALES!$B:$I,8,FALSE),"")</f>
        <v>Caldera</v>
      </c>
      <c r="M62" s="5" t="str">
        <f>IFERROR(VLOOKUP(I62,[1]INFO_LOCALES!$B:$H,7,FALSE),"")</f>
        <v>Batallon Atacama 319</v>
      </c>
      <c r="N62" s="5">
        <f>IFERROR(VLOOKUP(I62,[1]INFO_LOCALES!$B:$E,4,FALSE),"")</f>
        <v>0</v>
      </c>
      <c r="O62" s="5" t="str">
        <f>VLOOKUP(Tabla2[[#This Row],[TIENDA]],[1]INFO_LOCALES!$B:$J,9,0)</f>
        <v>CONVENIO</v>
      </c>
      <c r="P62" s="5" t="str">
        <f>IFERROR(VLOOKUP(I62,[1]INFO_LOCALES!$B:$F,5,FALSE),"")</f>
        <v>NUEVA ATACAMA</v>
      </c>
      <c r="Q62" s="5" t="s">
        <v>85</v>
      </c>
      <c r="R62" s="5" t="s">
        <v>86</v>
      </c>
      <c r="S62" s="6"/>
      <c r="T62" s="5" t="str">
        <f>UPPER(IF(Tabla2[[#This Row],[FECHA DE MUESTREO ]]=0,"",TEXT(Tabla2[[#This Row],[FECHA DE MUESTREO ]],("MMMM"))))</f>
        <v>ENERO</v>
      </c>
      <c r="U62" s="6">
        <v>45318</v>
      </c>
      <c r="V62" s="5" t="s">
        <v>59</v>
      </c>
      <c r="W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2" s="7">
        <f t="shared" si="0"/>
        <v>2</v>
      </c>
      <c r="Y62" s="5">
        <v>6.5</v>
      </c>
      <c r="Z62" s="5">
        <v>7.05</v>
      </c>
      <c r="AA62" s="5">
        <v>6</v>
      </c>
      <c r="AB62" s="5">
        <v>21.45</v>
      </c>
      <c r="AC62" s="5">
        <v>442</v>
      </c>
      <c r="AD62" s="5">
        <v>23.5</v>
      </c>
      <c r="AE62" s="5">
        <v>86.68</v>
      </c>
      <c r="AF62" s="5">
        <v>1.5</v>
      </c>
      <c r="AG62" s="5">
        <v>102.5</v>
      </c>
      <c r="AH62" s="5">
        <v>0.86</v>
      </c>
      <c r="AI62" s="5">
        <f t="shared" si="2"/>
        <v>25.8</v>
      </c>
    </row>
    <row r="63" spans="1:52" x14ac:dyDescent="0.25">
      <c r="A63" s="5" t="s">
        <v>52</v>
      </c>
      <c r="B63" s="5" t="s">
        <v>74</v>
      </c>
      <c r="C63" s="5" t="s">
        <v>74</v>
      </c>
      <c r="F63" s="5" t="s">
        <v>55</v>
      </c>
      <c r="G63" s="5" t="s">
        <v>61</v>
      </c>
      <c r="H63" s="5" t="s">
        <v>57</v>
      </c>
      <c r="I63" s="5">
        <v>461</v>
      </c>
      <c r="J63" s="5" t="str">
        <f>IFERROR(VLOOKUP(I63,[1]INFO_LOCALES!$B:$C,2,FALSE),"")</f>
        <v>ZENTENO AUSTRAL</v>
      </c>
      <c r="K63" s="5" t="str">
        <f>IFERROR(VLOOKUP(Tabla2[[#This Row],[TIENDA]],[1]INFO_LOCALES!$B:$D,3,FALSE),"")</f>
        <v>XII - Magallanes</v>
      </c>
      <c r="L63" s="5" t="str">
        <f>IFERROR(VLOOKUP(I63,[1]INFO_LOCALES!$B:$I,8,FALSE),"")</f>
        <v>Punta Arenas</v>
      </c>
      <c r="M63" s="5" t="str">
        <f>IFERROR(VLOOKUP(I63,[1]INFO_LOCALES!$B:$H,7,FALSE),"")</f>
        <v>Capitan Guillermo 05</v>
      </c>
      <c r="N63" s="5">
        <f>IFERROR(VLOOKUP(I63,[1]INFO_LOCALES!$B:$E,4,FALSE),"")</f>
        <v>3736</v>
      </c>
      <c r="O63" s="5" t="str">
        <f>VLOOKUP(Tabla2[[#This Row],[TIENDA]],[1]INFO_LOCALES!$B:$J,9,0)</f>
        <v>SIN CONVENIO</v>
      </c>
      <c r="P63" s="5" t="str">
        <f>IFERROR(VLOOKUP(I63,[1]INFO_LOCALES!$B:$F,5,FALSE),"")</f>
        <v>AGUAS MAGALLANES S.A.</v>
      </c>
      <c r="Q63" s="5" t="s">
        <v>71</v>
      </c>
      <c r="R63" s="5" t="s">
        <v>86</v>
      </c>
      <c r="S63" s="6" t="s">
        <v>87</v>
      </c>
      <c r="T63" s="5" t="s">
        <v>96</v>
      </c>
      <c r="U63" s="6">
        <v>45320</v>
      </c>
      <c r="V63" s="5" t="s">
        <v>118</v>
      </c>
      <c r="W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3" s="7">
        <f t="shared" si="0"/>
        <v>1</v>
      </c>
      <c r="Y63" s="5">
        <v>2.2000000000000002</v>
      </c>
      <c r="Z63" s="5">
        <v>7.21</v>
      </c>
      <c r="AA63" s="5">
        <v>2</v>
      </c>
      <c r="AB63" s="5">
        <v>9.6999999999999993</v>
      </c>
      <c r="AC63" s="5">
        <v>250</v>
      </c>
      <c r="AD63" s="5">
        <v>4.3</v>
      </c>
      <c r="AE63" s="5">
        <v>0.36</v>
      </c>
      <c r="AF63" s="5">
        <v>0.1</v>
      </c>
      <c r="AG63" s="5">
        <v>26</v>
      </c>
      <c r="AH63" s="5">
        <v>6.73</v>
      </c>
      <c r="AI63" s="5">
        <f t="shared" si="2"/>
        <v>201.9</v>
      </c>
      <c r="AJ63" s="5">
        <v>1.08</v>
      </c>
      <c r="AK63" s="5">
        <v>2E-3</v>
      </c>
      <c r="AL63" s="5">
        <v>0.02</v>
      </c>
      <c r="AM63" s="5">
        <v>2E-3</v>
      </c>
      <c r="AN63" s="5">
        <v>0.02</v>
      </c>
      <c r="AO63" s="5">
        <v>0.32200000000000001</v>
      </c>
      <c r="AP63" s="5">
        <v>0.13200000000000001</v>
      </c>
      <c r="AQ63" s="5">
        <v>5.0000000000000001E-3</v>
      </c>
      <c r="AR63" s="5">
        <v>0.01</v>
      </c>
      <c r="AS63" s="5">
        <v>5</v>
      </c>
      <c r="AT63" s="5">
        <v>5.0999999999999997E-2</v>
      </c>
      <c r="AU63" s="5">
        <v>1E-3</v>
      </c>
      <c r="AV63" s="5">
        <v>5.8000000000000003E-2</v>
      </c>
      <c r="AW63" s="5">
        <v>0.02</v>
      </c>
      <c r="AX63" s="5">
        <v>59.3</v>
      </c>
      <c r="AY63" s="5">
        <v>0.1</v>
      </c>
    </row>
    <row r="64" spans="1:52" x14ac:dyDescent="0.25">
      <c r="A64" s="5" t="s">
        <v>52</v>
      </c>
      <c r="B64" s="5" t="s">
        <v>76</v>
      </c>
      <c r="C64" s="5" t="s">
        <v>77</v>
      </c>
      <c r="F64" s="5" t="s">
        <v>55</v>
      </c>
      <c r="G64" s="5" t="s">
        <v>56</v>
      </c>
      <c r="H64" s="5" t="s">
        <v>57</v>
      </c>
      <c r="I64" s="5">
        <v>106</v>
      </c>
      <c r="J64" s="5" t="str">
        <f>IFERROR(VLOOKUP(I64,[1]INFO_LOCALES!$B:$C,2,FALSE),"")</f>
        <v>LOS MOLLES</v>
      </c>
      <c r="K64" s="5" t="str">
        <f>IFERROR(VLOOKUP(Tabla2[[#This Row],[TIENDA]],[1]INFO_LOCALES!$B:$D,3,FALSE),"")</f>
        <v>I - Tarapacá</v>
      </c>
      <c r="L64" s="5" t="str">
        <f>IFERROR(VLOOKUP(I64,[1]INFO_LOCALES!$B:$I,8,FALSE),"")</f>
        <v>Iquique</v>
      </c>
      <c r="M64" s="5" t="str">
        <f>IFERROR(VLOOKUP(I64,[1]INFO_LOCALES!$B:$H,7,FALSE),"")</f>
        <v>Santiago Polanco 2251</v>
      </c>
      <c r="N64" s="5">
        <f>IFERROR(VLOOKUP(I64,[1]INFO_LOCALES!$B:$E,4,FALSE),"")</f>
        <v>4050</v>
      </c>
      <c r="O64" s="5" t="str">
        <f>VLOOKUP(Tabla2[[#This Row],[TIENDA]],[1]INFO_LOCALES!$B:$J,9,0)</f>
        <v>CONVENIO</v>
      </c>
      <c r="P64" s="5" t="str">
        <f>IFERROR(VLOOKUP(I64,[1]INFO_LOCALES!$B:$F,5,FALSE),"")</f>
        <v>AGUAS DEL ALTIPLANO S.A.</v>
      </c>
      <c r="Q64" s="5" t="s">
        <v>78</v>
      </c>
      <c r="R64" s="5" t="s">
        <v>58</v>
      </c>
      <c r="S64" s="6">
        <v>45379</v>
      </c>
      <c r="T64" s="5" t="s">
        <v>119</v>
      </c>
      <c r="U64" s="6">
        <v>45323</v>
      </c>
      <c r="V64" s="5" t="s">
        <v>59</v>
      </c>
      <c r="W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4" s="7">
        <f t="shared" si="0"/>
        <v>3</v>
      </c>
      <c r="Y64" s="5">
        <v>8</v>
      </c>
      <c r="Z64" s="5">
        <v>6.75</v>
      </c>
      <c r="AA64" s="5">
        <v>18</v>
      </c>
      <c r="AB64" s="5">
        <v>26.57</v>
      </c>
      <c r="AC64" s="5">
        <v>241</v>
      </c>
      <c r="AD64" s="5">
        <v>6</v>
      </c>
      <c r="AE64" s="5">
        <v>40.25</v>
      </c>
      <c r="AF64" s="5">
        <v>0.5</v>
      </c>
      <c r="AG64" s="5">
        <v>61</v>
      </c>
      <c r="AH64" s="5">
        <v>7.1</v>
      </c>
      <c r="AI64" s="5">
        <f t="shared" si="2"/>
        <v>213</v>
      </c>
      <c r="AZ64" s="8" t="s">
        <v>120</v>
      </c>
    </row>
    <row r="65" spans="1:52" x14ac:dyDescent="0.25">
      <c r="A65" s="5" t="s">
        <v>52</v>
      </c>
      <c r="B65" s="5" t="s">
        <v>76</v>
      </c>
      <c r="C65" s="5" t="s">
        <v>77</v>
      </c>
      <c r="F65" s="5" t="s">
        <v>55</v>
      </c>
      <c r="G65" s="5" t="s">
        <v>61</v>
      </c>
      <c r="H65" s="5" t="s">
        <v>57</v>
      </c>
      <c r="I65" s="5">
        <v>86</v>
      </c>
      <c r="J65" s="5" t="str">
        <f>IFERROR(VLOOKUP(I65,[1]INFO_LOCALES!$B:$C,2,FALSE),"")</f>
        <v>BILBAO</v>
      </c>
      <c r="K65" s="5" t="str">
        <f>IFERROR(VLOOKUP(Tabla2[[#This Row],[TIENDA]],[1]INFO_LOCALES!$B:$D,3,FALSE),"")</f>
        <v>I - Tarapacá</v>
      </c>
      <c r="L65" s="5" t="str">
        <f>IFERROR(VLOOKUP(I65,[1]INFO_LOCALES!$B:$I,8,FALSE),"")</f>
        <v>Iquique</v>
      </c>
      <c r="M65" s="5" t="str">
        <f>IFERROR(VLOOKUP(I65,[1]INFO_LOCALES!$B:$H,7,FALSE),"")</f>
        <v>Fco.Bilbao 3545</v>
      </c>
      <c r="N65" s="5">
        <f>IFERROR(VLOOKUP(I65,[1]INFO_LOCALES!$B:$E,4,FALSE),"")</f>
        <v>4049</v>
      </c>
      <c r="O65" s="5" t="str">
        <f>VLOOKUP(Tabla2[[#This Row],[TIENDA]],[1]INFO_LOCALES!$B:$J,9,0)</f>
        <v>CONVENIO</v>
      </c>
      <c r="P65" s="5" t="str">
        <f>IFERROR(VLOOKUP(I65,[1]INFO_LOCALES!$B:$F,5,FALSE),"")</f>
        <v>AGUAS DEL ALTIPLANO S.A.</v>
      </c>
      <c r="Q65" s="5" t="s">
        <v>78</v>
      </c>
      <c r="R65" s="5" t="s">
        <v>58</v>
      </c>
      <c r="S65" s="6">
        <v>45595</v>
      </c>
      <c r="T65" s="5" t="s">
        <v>119</v>
      </c>
      <c r="U65" s="6">
        <v>45323</v>
      </c>
      <c r="V65" s="5" t="s">
        <v>59</v>
      </c>
      <c r="W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5" s="7">
        <f t="shared" si="0"/>
        <v>2</v>
      </c>
      <c r="Y65" s="5">
        <v>9</v>
      </c>
      <c r="Z65" s="5">
        <v>7.16</v>
      </c>
      <c r="AA65" s="5">
        <v>2</v>
      </c>
      <c r="AB65" s="5">
        <v>23.03</v>
      </c>
      <c r="AC65" s="5">
        <v>578</v>
      </c>
      <c r="AD65" s="5">
        <v>15.3</v>
      </c>
      <c r="AE65" s="5">
        <v>46.64</v>
      </c>
      <c r="AF65" s="5">
        <v>0.5</v>
      </c>
      <c r="AG65" s="5">
        <v>59</v>
      </c>
      <c r="AH65" s="5">
        <v>12.5</v>
      </c>
      <c r="AI65" s="5">
        <f t="shared" si="2"/>
        <v>375</v>
      </c>
      <c r="AZ65" s="8" t="s">
        <v>121</v>
      </c>
    </row>
    <row r="66" spans="1:52" x14ac:dyDescent="0.25">
      <c r="A66" s="5" t="s">
        <v>52</v>
      </c>
      <c r="B66" s="5" t="s">
        <v>90</v>
      </c>
      <c r="C66" s="5" t="s">
        <v>81</v>
      </c>
      <c r="F66" s="5" t="s">
        <v>55</v>
      </c>
      <c r="G66" s="5" t="s">
        <v>61</v>
      </c>
      <c r="H66" s="5" t="s">
        <v>57</v>
      </c>
      <c r="I66" s="5">
        <v>778</v>
      </c>
      <c r="J66" s="5" t="str">
        <f>IFERROR(VLOOKUP(I66,[1]INFO_LOCALES!$B:$C,2,FALSE),"")</f>
        <v>ORIENTE</v>
      </c>
      <c r="K66" s="5" t="str">
        <f>IFERROR(VLOOKUP(Tabla2[[#This Row],[TIENDA]],[1]INFO_LOCALES!$B:$D,3,FALSE),"")</f>
        <v>X - Los Lagos</v>
      </c>
      <c r="L66" s="5" t="str">
        <f>IFERROR(VLOOKUP(I66,[1]INFO_LOCALES!$B:$I,8,FALSE),"")</f>
        <v>Osorno</v>
      </c>
      <c r="M66" s="5" t="str">
        <f>IFERROR(VLOOKUP(I66,[1]INFO_LOCALES!$B:$H,7,FALSE),"")</f>
        <v>Julio Buschman 2223</v>
      </c>
      <c r="N66" s="5">
        <f>IFERROR(VLOOKUP(I66,[1]INFO_LOCALES!$B:$E,4,FALSE),"")</f>
        <v>2867</v>
      </c>
      <c r="O66" s="5" t="str">
        <f>VLOOKUP(Tabla2[[#This Row],[TIENDA]],[1]INFO_LOCALES!$B:$J,9,0)</f>
        <v>CONVENIO</v>
      </c>
      <c r="P66" s="5" t="str">
        <f>IFERROR(VLOOKUP(I66,[1]INFO_LOCALES!$B:$F,5,FALSE),"")</f>
        <v>SURALIS</v>
      </c>
      <c r="Q66" s="5" t="s">
        <v>105</v>
      </c>
      <c r="R66" s="5" t="s">
        <v>58</v>
      </c>
      <c r="S66" s="6">
        <v>45379</v>
      </c>
      <c r="T66" s="5" t="s">
        <v>119</v>
      </c>
      <c r="U66" s="6">
        <v>45326</v>
      </c>
      <c r="V66" s="5" t="s">
        <v>59</v>
      </c>
      <c r="W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6" s="7">
        <f t="shared" ref="X66:X129" si="3">IF(W66="CUMPLE",1,IF(W66="CUMPLE CON TOLERANCIA",2,IF(W66="NO CUMPLE",3)))</f>
        <v>2</v>
      </c>
      <c r="Y66" s="5">
        <v>31</v>
      </c>
      <c r="Z66" s="5">
        <v>6.82</v>
      </c>
      <c r="AA66" s="5">
        <v>2</v>
      </c>
      <c r="AB66" s="5">
        <v>13.7</v>
      </c>
      <c r="AC66" s="5">
        <v>293</v>
      </c>
      <c r="AD66" s="5">
        <v>6</v>
      </c>
      <c r="AE66" s="5">
        <v>82.56</v>
      </c>
      <c r="AF66" s="5">
        <v>0.5</v>
      </c>
      <c r="AG66" s="5">
        <v>280</v>
      </c>
      <c r="AH66" s="5">
        <v>11.8</v>
      </c>
      <c r="AI66" s="5">
        <f t="shared" si="2"/>
        <v>354</v>
      </c>
      <c r="AZ66" s="8" t="s">
        <v>122</v>
      </c>
    </row>
    <row r="67" spans="1:52" x14ac:dyDescent="0.25">
      <c r="A67" s="5" t="s">
        <v>52</v>
      </c>
      <c r="B67" s="5" t="s">
        <v>82</v>
      </c>
      <c r="C67" s="5" t="s">
        <v>77</v>
      </c>
      <c r="F67" s="5" t="s">
        <v>55</v>
      </c>
      <c r="G67" s="5" t="s">
        <v>61</v>
      </c>
      <c r="H67" s="5" t="s">
        <v>57</v>
      </c>
      <c r="I67" s="5">
        <v>14</v>
      </c>
      <c r="J67" s="5" t="str">
        <f>IFERROR(VLOOKUP(I67,[1]INFO_LOCALES!$B:$C,2,FALSE),"")</f>
        <v>COPIAPO</v>
      </c>
      <c r="K67" s="5" t="str">
        <f>IFERROR(VLOOKUP(Tabla2[[#This Row],[TIENDA]],[1]INFO_LOCALES!$B:$D,3,FALSE),"")</f>
        <v>III - Atacama</v>
      </c>
      <c r="L67" s="5" t="str">
        <f>IFERROR(VLOOKUP(I67,[1]INFO_LOCALES!$B:$I,8,FALSE),"")</f>
        <v>Copiapó</v>
      </c>
      <c r="M67" s="5" t="str">
        <f>IFERROR(VLOOKUP(I67,[1]INFO_LOCALES!$B:$H,7,FALSE),"")</f>
        <v>Av. Henrriquez N° 523</v>
      </c>
      <c r="N67" s="5">
        <f>IFERROR(VLOOKUP(I67,[1]INFO_LOCALES!$B:$E,4,FALSE),"")</f>
        <v>0</v>
      </c>
      <c r="O67" s="5" t="str">
        <f>VLOOKUP(Tabla2[[#This Row],[TIENDA]],[1]INFO_LOCALES!$B:$J,9,0)</f>
        <v>CONVENIO</v>
      </c>
      <c r="P67" s="5" t="str">
        <f>IFERROR(VLOOKUP(I67,[1]INFO_LOCALES!$B:$F,5,FALSE),"")</f>
        <v>NUEVA ATACAMA</v>
      </c>
      <c r="Q67" s="5" t="s">
        <v>66</v>
      </c>
      <c r="R67" s="5" t="s">
        <v>58</v>
      </c>
      <c r="S67" s="6">
        <v>45392</v>
      </c>
      <c r="T67" s="5" t="s">
        <v>119</v>
      </c>
      <c r="U67" s="6">
        <v>45327</v>
      </c>
      <c r="V67" s="5" t="s">
        <v>59</v>
      </c>
      <c r="W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7" s="7">
        <f t="shared" si="3"/>
        <v>3</v>
      </c>
      <c r="Y67" s="5">
        <v>6</v>
      </c>
      <c r="Z67" s="5">
        <v>6.4</v>
      </c>
      <c r="AA67" s="5">
        <v>47</v>
      </c>
      <c r="AB67" s="5">
        <v>26.3</v>
      </c>
      <c r="AC67" s="5">
        <v>385</v>
      </c>
      <c r="AD67" s="5">
        <v>7.84</v>
      </c>
      <c r="AE67" s="5">
        <v>31.65</v>
      </c>
      <c r="AF67" s="5">
        <v>0.9</v>
      </c>
      <c r="AG67" s="5">
        <v>52.69</v>
      </c>
      <c r="AH67" s="5">
        <v>1.728</v>
      </c>
      <c r="AI67" s="5">
        <f t="shared" si="2"/>
        <v>51.839999999999996</v>
      </c>
      <c r="AY67" s="5">
        <v>0.1</v>
      </c>
    </row>
    <row r="68" spans="1:52" x14ac:dyDescent="0.25">
      <c r="A68" s="5" t="s">
        <v>60</v>
      </c>
      <c r="B68" s="5" t="e">
        <v>#N/A</v>
      </c>
      <c r="C68" s="5" t="e">
        <v>#N/A</v>
      </c>
      <c r="F68" s="5" t="s">
        <v>55</v>
      </c>
      <c r="G68" s="5" t="s">
        <v>61</v>
      </c>
      <c r="H68" s="5" t="s">
        <v>57</v>
      </c>
      <c r="I68" s="5">
        <v>3143</v>
      </c>
      <c r="J68" s="5" t="str">
        <f>IFERROR(VLOOKUP(I68,[1]INFO_LOCALES!$B:$C,2,FALSE),"")</f>
        <v>M10 TEMUCO IV</v>
      </c>
      <c r="K68" s="5" t="str">
        <f>IFERROR(VLOOKUP(Tabla2[[#This Row],[TIENDA]],[1]INFO_LOCALES!$B:$D,3,FALSE),"")</f>
        <v>IX - Araucanía</v>
      </c>
      <c r="L68" s="5" t="str">
        <f>IFERROR(VLOOKUP(I68,[1]INFO_LOCALES!$B:$I,8,FALSE),"")</f>
        <v>Temuco</v>
      </c>
      <c r="M68" s="5" t="str">
        <f>IFERROR(VLOOKUP(I68,[1]INFO_LOCALES!$B:$H,7,FALSE),"")</f>
        <v>Francisco Salazar 01650</v>
      </c>
      <c r="N68" s="5">
        <f>IFERROR(VLOOKUP(I68,[1]INFO_LOCALES!$B:$E,4,FALSE),"")</f>
        <v>4422</v>
      </c>
      <c r="O68" s="5" t="str">
        <f>VLOOKUP(Tabla2[[#This Row],[TIENDA]],[1]INFO_LOCALES!$B:$J,9,0)</f>
        <v>CONVENIO</v>
      </c>
      <c r="P68" s="5" t="str">
        <f>IFERROR(VLOOKUP(I68,[1]INFO_LOCALES!$B:$F,5,FALSE),"")</f>
        <v>AGUAS ARAUCANIA S A</v>
      </c>
      <c r="Q68" s="5" t="s">
        <v>62</v>
      </c>
      <c r="R68" s="5" t="s">
        <v>58</v>
      </c>
      <c r="S68" s="6">
        <v>45406</v>
      </c>
      <c r="T68" s="5" t="s">
        <v>119</v>
      </c>
      <c r="U68" s="6">
        <v>45327</v>
      </c>
      <c r="V68" s="5" t="s">
        <v>59</v>
      </c>
      <c r="W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8" s="7">
        <f t="shared" si="3"/>
        <v>2</v>
      </c>
      <c r="Y68" s="5">
        <v>0.5</v>
      </c>
      <c r="Z68" s="5">
        <v>8.0500000000000007</v>
      </c>
      <c r="AA68" s="5">
        <v>1</v>
      </c>
      <c r="AB68" s="5">
        <v>20.5</v>
      </c>
      <c r="AC68" s="5">
        <v>143</v>
      </c>
      <c r="AD68" s="5">
        <v>0.6</v>
      </c>
      <c r="AE68" s="5">
        <v>88</v>
      </c>
      <c r="AF68" s="5">
        <v>0.1</v>
      </c>
      <c r="AG68" s="5">
        <v>108</v>
      </c>
      <c r="AH68" s="5">
        <v>1.44</v>
      </c>
      <c r="AI68" s="5">
        <f t="shared" si="2"/>
        <v>43.199999999999996</v>
      </c>
    </row>
    <row r="69" spans="1:52" x14ac:dyDescent="0.25">
      <c r="A69" s="5" t="s">
        <v>52</v>
      </c>
      <c r="B69" s="5" t="s">
        <v>82</v>
      </c>
      <c r="C69" s="5" t="s">
        <v>77</v>
      </c>
      <c r="F69" s="5" t="s">
        <v>55</v>
      </c>
      <c r="G69" s="5" t="s">
        <v>61</v>
      </c>
      <c r="H69" s="5" t="s">
        <v>57</v>
      </c>
      <c r="I69" s="5">
        <v>25</v>
      </c>
      <c r="J69" s="5" t="str">
        <f>IFERROR(VLOOKUP(I69,[1]INFO_LOCALES!$B:$C,2,FALSE),"")</f>
        <v>EL PALOMAR</v>
      </c>
      <c r="K69" s="5" t="str">
        <f>IFERROR(VLOOKUP(Tabla2[[#This Row],[TIENDA]],[1]INFO_LOCALES!$B:$D,3,FALSE),"")</f>
        <v>III - Atacama</v>
      </c>
      <c r="L69" s="5" t="str">
        <f>IFERROR(VLOOKUP(I69,[1]INFO_LOCALES!$B:$I,8,FALSE),"")</f>
        <v>Copiapó</v>
      </c>
      <c r="M69" s="5" t="str">
        <f>IFERROR(VLOOKUP(I69,[1]INFO_LOCALES!$B:$H,7,FALSE),"")</f>
        <v>Av. Palomar 1525</v>
      </c>
      <c r="N69" s="5">
        <f>IFERROR(VLOOKUP(I69,[1]INFO_LOCALES!$B:$E,4,FALSE),"")</f>
        <v>3868</v>
      </c>
      <c r="O69" s="5" t="str">
        <f>VLOOKUP(Tabla2[[#This Row],[TIENDA]],[1]INFO_LOCALES!$B:$J,9,0)</f>
        <v>TERMINADO</v>
      </c>
      <c r="P69" s="5" t="str">
        <f>IFERROR(VLOOKUP(I69,[1]INFO_LOCALES!$B:$F,5,FALSE),"")</f>
        <v>NUEVA ATACAMA</v>
      </c>
      <c r="Q69" s="5" t="s">
        <v>66</v>
      </c>
      <c r="R69" s="5" t="s">
        <v>58</v>
      </c>
      <c r="S69" s="6">
        <v>45385</v>
      </c>
      <c r="T69" s="5" t="s">
        <v>119</v>
      </c>
      <c r="U69" s="6">
        <v>45328</v>
      </c>
      <c r="V69" s="5" t="s">
        <v>59</v>
      </c>
      <c r="W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9" s="7">
        <f t="shared" si="3"/>
        <v>2</v>
      </c>
      <c r="Y69" s="5">
        <v>6</v>
      </c>
      <c r="Z69" s="5">
        <v>7.5</v>
      </c>
      <c r="AA69" s="5">
        <v>8</v>
      </c>
      <c r="AB69" s="5">
        <v>21.9</v>
      </c>
      <c r="AC69" s="5">
        <v>108</v>
      </c>
      <c r="AD69" s="5">
        <v>7.83</v>
      </c>
      <c r="AE69" s="5">
        <v>0.68</v>
      </c>
      <c r="AF69" s="5">
        <v>6</v>
      </c>
      <c r="AG69" s="5">
        <v>323.73</v>
      </c>
      <c r="AH69" s="5">
        <v>37.152000000000001</v>
      </c>
      <c r="AI69" s="5">
        <f t="shared" si="2"/>
        <v>1114.56</v>
      </c>
      <c r="AY69" s="5">
        <v>0.1</v>
      </c>
    </row>
    <row r="70" spans="1:52" x14ac:dyDescent="0.25">
      <c r="A70" s="5" t="s">
        <v>60</v>
      </c>
      <c r="B70" s="5" t="e">
        <v>#N/A</v>
      </c>
      <c r="C70" s="5" t="e">
        <v>#N/A</v>
      </c>
      <c r="F70" s="5" t="s">
        <v>55</v>
      </c>
      <c r="G70" s="5" t="s">
        <v>61</v>
      </c>
      <c r="H70" s="5" t="s">
        <v>57</v>
      </c>
      <c r="I70" s="5">
        <v>3022</v>
      </c>
      <c r="J70" s="5" t="str">
        <f>IFERROR(VLOOKUP(I70,[1]INFO_LOCALES!$B:$C,2,FALSE),"")</f>
        <v>M10 TEMUCO II</v>
      </c>
      <c r="K70" s="5" t="str">
        <f>IFERROR(VLOOKUP(Tabla2[[#This Row],[TIENDA]],[1]INFO_LOCALES!$B:$D,3,FALSE),"")</f>
        <v>IX - Araucanía</v>
      </c>
      <c r="L70" s="5" t="str">
        <f>IFERROR(VLOOKUP(I70,[1]INFO_LOCALES!$B:$I,8,FALSE),"")</f>
        <v>Temuco</v>
      </c>
      <c r="M70" s="5" t="str">
        <f>IFERROR(VLOOKUP(I70,[1]INFO_LOCALES!$B:$H,7,FALSE),"")</f>
        <v>Pedro De Valdivia 2285</v>
      </c>
      <c r="N70" s="5">
        <f>IFERROR(VLOOKUP(I70,[1]INFO_LOCALES!$B:$E,4,FALSE),"")</f>
        <v>3721</v>
      </c>
      <c r="O70" s="5" t="str">
        <f>VLOOKUP(Tabla2[[#This Row],[TIENDA]],[1]INFO_LOCALES!$B:$J,9,0)</f>
        <v>CONVENIO</v>
      </c>
      <c r="P70" s="5" t="str">
        <f>IFERROR(VLOOKUP(I70,[1]INFO_LOCALES!$B:$F,5,FALSE),"")</f>
        <v>AGUAS ARAUCANIA S A</v>
      </c>
      <c r="Q70" s="5" t="s">
        <v>62</v>
      </c>
      <c r="R70" s="5" t="s">
        <v>58</v>
      </c>
      <c r="S70" s="6">
        <v>45407</v>
      </c>
      <c r="T70" s="5" t="s">
        <v>119</v>
      </c>
      <c r="U70" s="6">
        <v>45329</v>
      </c>
      <c r="V70" s="5" t="s">
        <v>59</v>
      </c>
      <c r="W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0" s="7">
        <f t="shared" si="3"/>
        <v>2</v>
      </c>
      <c r="Y70" s="5">
        <v>1.75</v>
      </c>
      <c r="Z70" s="5">
        <v>7.1</v>
      </c>
      <c r="AA70" s="5">
        <v>4</v>
      </c>
      <c r="AB70" s="5">
        <v>19.010000000000002</v>
      </c>
      <c r="AC70" s="5">
        <v>161</v>
      </c>
      <c r="AD70" s="5">
        <v>17.100000000000001</v>
      </c>
      <c r="AE70" s="5">
        <v>38.1</v>
      </c>
      <c r="AF70" s="5">
        <v>0.1</v>
      </c>
      <c r="AG70" s="5">
        <v>36</v>
      </c>
      <c r="AH70" s="5">
        <v>6.84</v>
      </c>
      <c r="AI70" s="5">
        <f t="shared" si="2"/>
        <v>205.2</v>
      </c>
    </row>
    <row r="71" spans="1:52" x14ac:dyDescent="0.25">
      <c r="A71" s="5" t="s">
        <v>52</v>
      </c>
      <c r="B71" s="5" t="s">
        <v>82</v>
      </c>
      <c r="C71" s="5" t="s">
        <v>77</v>
      </c>
      <c r="F71" s="5" t="s">
        <v>55</v>
      </c>
      <c r="G71" s="5" t="s">
        <v>61</v>
      </c>
      <c r="H71" s="5" t="s">
        <v>57</v>
      </c>
      <c r="I71" s="5">
        <v>472</v>
      </c>
      <c r="J71" s="5" t="str">
        <f>IFERROR(VLOOKUP(I71,[1]INFO_LOCALES!$B:$C,2,FALSE),"")</f>
        <v>CALDERA I</v>
      </c>
      <c r="K71" s="5" t="str">
        <f>IFERROR(VLOOKUP(Tabla2[[#This Row],[TIENDA]],[1]INFO_LOCALES!$B:$D,3,FALSE),"")</f>
        <v>III - Atacama</v>
      </c>
      <c r="L71" s="5" t="str">
        <f>IFERROR(VLOOKUP(I71,[1]INFO_LOCALES!$B:$I,8,FALSE),"")</f>
        <v>Caldera</v>
      </c>
      <c r="M71" s="5" t="str">
        <f>IFERROR(VLOOKUP(I71,[1]INFO_LOCALES!$B:$H,7,FALSE),"")</f>
        <v>Batallon Atacama 319</v>
      </c>
      <c r="N71" s="5">
        <f>IFERROR(VLOOKUP(I71,[1]INFO_LOCALES!$B:$E,4,FALSE),"")</f>
        <v>0</v>
      </c>
      <c r="O71" s="5" t="str">
        <f>VLOOKUP(Tabla2[[#This Row],[TIENDA]],[1]INFO_LOCALES!$B:$J,9,0)</f>
        <v>CONVENIO</v>
      </c>
      <c r="P71" s="5" t="str">
        <f>IFERROR(VLOOKUP(I71,[1]INFO_LOCALES!$B:$F,5,FALSE),"")</f>
        <v>NUEVA ATACAMA</v>
      </c>
      <c r="Q71" s="5" t="s">
        <v>66</v>
      </c>
      <c r="R71" s="5" t="s">
        <v>58</v>
      </c>
      <c r="S71" s="6">
        <v>45385</v>
      </c>
      <c r="T71" s="5" t="s">
        <v>119</v>
      </c>
      <c r="U71" s="6">
        <v>45330</v>
      </c>
      <c r="V71" s="5" t="s">
        <v>59</v>
      </c>
      <c r="W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1" s="7">
        <f t="shared" si="3"/>
        <v>3</v>
      </c>
      <c r="Y71" s="5">
        <v>7</v>
      </c>
      <c r="Z71" s="5">
        <v>8.23</v>
      </c>
      <c r="AA71" s="5">
        <v>57</v>
      </c>
      <c r="AB71" s="5">
        <v>23.5</v>
      </c>
      <c r="AC71" s="5">
        <v>211</v>
      </c>
      <c r="AD71" s="5">
        <v>11.74</v>
      </c>
      <c r="AE71" s="5">
        <v>34.1</v>
      </c>
      <c r="AF71" s="5">
        <v>2</v>
      </c>
      <c r="AG71" s="5">
        <v>65.38</v>
      </c>
      <c r="AH71" s="5">
        <v>303.26400000000001</v>
      </c>
      <c r="AI71" s="5">
        <f t="shared" si="2"/>
        <v>9097.92</v>
      </c>
      <c r="AY71" s="5">
        <v>0.8</v>
      </c>
    </row>
    <row r="72" spans="1:52" x14ac:dyDescent="0.25">
      <c r="A72" s="5" t="s">
        <v>52</v>
      </c>
      <c r="B72" s="5" t="s">
        <v>76</v>
      </c>
      <c r="C72" s="5" t="s">
        <v>77</v>
      </c>
      <c r="F72" s="5" t="s">
        <v>55</v>
      </c>
      <c r="G72" s="5" t="s">
        <v>61</v>
      </c>
      <c r="H72" s="5" t="s">
        <v>57</v>
      </c>
      <c r="I72" s="5">
        <v>85</v>
      </c>
      <c r="J72" s="5" t="str">
        <f>IFERROR(VLOOKUP(I72,[1]INFO_LOCALES!$B:$C,2,FALSE),"")</f>
        <v>AMUNATEGUI</v>
      </c>
      <c r="K72" s="5" t="str">
        <f>IFERROR(VLOOKUP(Tabla2[[#This Row],[TIENDA]],[1]INFO_LOCALES!$B:$D,3,FALSE),"")</f>
        <v>I - Tarapacá</v>
      </c>
      <c r="L72" s="5" t="str">
        <f>IFERROR(VLOOKUP(I72,[1]INFO_LOCALES!$B:$I,8,FALSE),"")</f>
        <v>Iquique</v>
      </c>
      <c r="M72" s="5" t="str">
        <f>IFERROR(VLOOKUP(I72,[1]INFO_LOCALES!$B:$H,7,FALSE),"")</f>
        <v>Amunategui 902</v>
      </c>
      <c r="N72" s="5">
        <f>IFERROR(VLOOKUP(I72,[1]INFO_LOCALES!$B:$E,4,FALSE),"")</f>
        <v>0</v>
      </c>
      <c r="O72" s="5" t="str">
        <f>VLOOKUP(Tabla2[[#This Row],[TIENDA]],[1]INFO_LOCALES!$B:$J,9,0)</f>
        <v>CONVENIO</v>
      </c>
      <c r="P72" s="5" t="str">
        <f>IFERROR(VLOOKUP(I72,[1]INFO_LOCALES!$B:$F,5,FALSE),"")</f>
        <v>AGUAS DEL ALTIPLANO S.A.</v>
      </c>
      <c r="Q72" s="5" t="s">
        <v>78</v>
      </c>
      <c r="R72" s="5" t="s">
        <v>58</v>
      </c>
      <c r="S72" s="6">
        <v>45595</v>
      </c>
      <c r="T72" s="5" t="s">
        <v>119</v>
      </c>
      <c r="U72" s="6">
        <v>45330</v>
      </c>
      <c r="V72" s="5" t="s">
        <v>59</v>
      </c>
      <c r="W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2" s="7">
        <f t="shared" si="3"/>
        <v>3</v>
      </c>
      <c r="Y72" s="5">
        <v>8</v>
      </c>
      <c r="Z72" s="5">
        <v>6.9</v>
      </c>
      <c r="AA72" s="5">
        <v>31</v>
      </c>
      <c r="AB72" s="5">
        <v>25.51</v>
      </c>
      <c r="AC72" s="5">
        <v>97</v>
      </c>
      <c r="AD72" s="5">
        <v>4.9000000000000004</v>
      </c>
      <c r="AE72" s="5">
        <v>21.14</v>
      </c>
      <c r="AF72" s="5">
        <v>0.5</v>
      </c>
      <c r="AG72" s="5">
        <v>62</v>
      </c>
      <c r="AH72" s="5">
        <v>3.2</v>
      </c>
      <c r="AI72" s="5">
        <f t="shared" si="2"/>
        <v>96</v>
      </c>
      <c r="AZ72" s="8" t="s">
        <v>123</v>
      </c>
    </row>
    <row r="73" spans="1:52" x14ac:dyDescent="0.25">
      <c r="A73" s="5" t="s">
        <v>52</v>
      </c>
      <c r="B73" s="5" t="s">
        <v>76</v>
      </c>
      <c r="C73" s="5" t="s">
        <v>77</v>
      </c>
      <c r="F73" s="5" t="s">
        <v>55</v>
      </c>
      <c r="G73" s="5" t="s">
        <v>61</v>
      </c>
      <c r="H73" s="5" t="s">
        <v>57</v>
      </c>
      <c r="I73" s="5">
        <v>103</v>
      </c>
      <c r="J73" s="5" t="str">
        <f>IFERROR(VLOOKUP(I73,[1]INFO_LOCALES!$B:$C,2,FALSE),"")</f>
        <v>VIVAR</v>
      </c>
      <c r="K73" s="5" t="str">
        <f>IFERROR(VLOOKUP(Tabla2[[#This Row],[TIENDA]],[1]INFO_LOCALES!$B:$D,3,FALSE),"")</f>
        <v>I - Tarapacá</v>
      </c>
      <c r="L73" s="5" t="str">
        <f>IFERROR(VLOOKUP(I73,[1]INFO_LOCALES!$B:$I,8,FALSE),"")</f>
        <v>Iquique</v>
      </c>
      <c r="M73" s="5" t="str">
        <f>IFERROR(VLOOKUP(I73,[1]INFO_LOCALES!$B:$H,7,FALSE),"")</f>
        <v>Vivar 786</v>
      </c>
      <c r="N73" s="5">
        <f>IFERROR(VLOOKUP(I73,[1]INFO_LOCALES!$B:$E,4,FALSE),"")</f>
        <v>4420</v>
      </c>
      <c r="O73" s="5" t="str">
        <f>VLOOKUP(Tabla2[[#This Row],[TIENDA]],[1]INFO_LOCALES!$B:$J,9,0)</f>
        <v>CONVENIO</v>
      </c>
      <c r="P73" s="5" t="str">
        <f>IFERROR(VLOOKUP(I73,[1]INFO_LOCALES!$B:$F,5,FALSE),"")</f>
        <v>AGUAS DEL ALTIPLANO S.A.</v>
      </c>
      <c r="Q73" s="5" t="s">
        <v>78</v>
      </c>
      <c r="R73" s="5" t="s">
        <v>58</v>
      </c>
      <c r="S73" s="6">
        <v>45595</v>
      </c>
      <c r="T73" s="5" t="s">
        <v>119</v>
      </c>
      <c r="U73" s="6">
        <v>45334</v>
      </c>
      <c r="V73" s="5" t="s">
        <v>59</v>
      </c>
      <c r="W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3" s="7">
        <f t="shared" si="3"/>
        <v>1</v>
      </c>
      <c r="Y73" s="5">
        <v>8</v>
      </c>
      <c r="Z73" s="5">
        <v>6.78</v>
      </c>
      <c r="AA73" s="5">
        <v>2</v>
      </c>
      <c r="AB73" s="5">
        <v>28.02</v>
      </c>
      <c r="AC73" s="5">
        <v>288</v>
      </c>
      <c r="AD73" s="5">
        <v>9.3000000000000007</v>
      </c>
      <c r="AE73" s="5">
        <v>58.81</v>
      </c>
      <c r="AF73" s="5">
        <v>1.5</v>
      </c>
      <c r="AG73" s="5">
        <v>128</v>
      </c>
      <c r="AH73" s="5">
        <v>12.7</v>
      </c>
      <c r="AI73" s="5">
        <f t="shared" si="2"/>
        <v>381</v>
      </c>
      <c r="AZ73" s="8" t="s">
        <v>124</v>
      </c>
    </row>
    <row r="74" spans="1:52" x14ac:dyDescent="0.25">
      <c r="A74" s="5" t="s">
        <v>52</v>
      </c>
      <c r="B74" s="5" t="s">
        <v>90</v>
      </c>
      <c r="C74" s="5" t="s">
        <v>81</v>
      </c>
      <c r="F74" s="5" t="s">
        <v>55</v>
      </c>
      <c r="G74" s="5" t="s">
        <v>61</v>
      </c>
      <c r="H74" s="5" t="s">
        <v>57</v>
      </c>
      <c r="I74" s="5">
        <v>777</v>
      </c>
      <c r="J74" s="5" t="str">
        <f>IFERROR(VLOOKUP(I74,[1]INFO_LOCALES!$B:$C,2,FALSE),"")</f>
        <v>CENTRAL</v>
      </c>
      <c r="K74" s="5" t="str">
        <f>IFERROR(VLOOKUP(Tabla2[[#This Row],[TIENDA]],[1]INFO_LOCALES!$B:$D,3,FALSE),"")</f>
        <v>X - Los Lagos</v>
      </c>
      <c r="L74" s="5" t="str">
        <f>IFERROR(VLOOKUP(I74,[1]INFO_LOCALES!$B:$I,8,FALSE),"")</f>
        <v>Osorno</v>
      </c>
      <c r="M74" s="5" t="str">
        <f>IFERROR(VLOOKUP(I74,[1]INFO_LOCALES!$B:$H,7,FALSE),"")</f>
        <v>Patricio Lynch 1278</v>
      </c>
      <c r="N74" s="5">
        <f>IFERROR(VLOOKUP(I74,[1]INFO_LOCALES!$B:$E,4,FALSE),"")</f>
        <v>3684</v>
      </c>
      <c r="O74" s="5" t="str">
        <f>VLOOKUP(Tabla2[[#This Row],[TIENDA]],[1]INFO_LOCALES!$B:$J,9,0)</f>
        <v>CONVENIO</v>
      </c>
      <c r="P74" s="5" t="str">
        <f>IFERROR(VLOOKUP(I74,[1]INFO_LOCALES!$B:$F,5,FALSE),"")</f>
        <v>SURALIS</v>
      </c>
      <c r="Q74" s="5" t="s">
        <v>105</v>
      </c>
      <c r="R74" s="5" t="s">
        <v>58</v>
      </c>
      <c r="S74" s="6">
        <v>45379</v>
      </c>
      <c r="T74" s="5" t="s">
        <v>119</v>
      </c>
      <c r="U74" s="6">
        <v>45335</v>
      </c>
      <c r="V74" s="5" t="s">
        <v>59</v>
      </c>
      <c r="W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4" s="7">
        <f t="shared" si="3"/>
        <v>2</v>
      </c>
      <c r="Y74" s="5">
        <v>20</v>
      </c>
      <c r="Z74" s="5">
        <v>7.32</v>
      </c>
      <c r="AA74" s="5">
        <v>3</v>
      </c>
      <c r="AB74" s="5">
        <v>15.9</v>
      </c>
      <c r="AC74" s="5">
        <v>406</v>
      </c>
      <c r="AD74" s="5">
        <v>9</v>
      </c>
      <c r="AE74" s="5">
        <v>8.5399999999999991</v>
      </c>
      <c r="AF74" s="5">
        <v>0.5</v>
      </c>
      <c r="AG74" s="5">
        <v>75</v>
      </c>
      <c r="AH74" s="5">
        <v>1.7</v>
      </c>
      <c r="AI74" s="5">
        <f t="shared" si="2"/>
        <v>51</v>
      </c>
      <c r="AZ74" s="8" t="s">
        <v>125</v>
      </c>
    </row>
    <row r="75" spans="1:52" x14ac:dyDescent="0.25">
      <c r="A75" s="5" t="s">
        <v>52</v>
      </c>
      <c r="B75" s="5" t="s">
        <v>74</v>
      </c>
      <c r="C75" s="5" t="s">
        <v>74</v>
      </c>
      <c r="F75" s="5" t="s">
        <v>55</v>
      </c>
      <c r="G75" s="5" t="s">
        <v>61</v>
      </c>
      <c r="H75" s="5" t="s">
        <v>57</v>
      </c>
      <c r="I75" s="5">
        <v>465</v>
      </c>
      <c r="J75" s="5" t="str">
        <f>IFERROR(VLOOKUP(I75,[1]INFO_LOCALES!$B:$C,2,FALSE),"")</f>
        <v>PUERTO NATALES</v>
      </c>
      <c r="K75" s="5" t="str">
        <f>IFERROR(VLOOKUP(Tabla2[[#This Row],[TIENDA]],[1]INFO_LOCALES!$B:$D,3,FALSE),"")</f>
        <v>XII - Magallanes</v>
      </c>
      <c r="L75" s="5" t="str">
        <f>IFERROR(VLOOKUP(I75,[1]INFO_LOCALES!$B:$I,8,FALSE),"")</f>
        <v>Puerto Natales</v>
      </c>
      <c r="M75" s="5" t="str">
        <f>IFERROR(VLOOKUP(I75,[1]INFO_LOCALES!$B:$H,7,FALSE),"")</f>
        <v>Bulnes 742</v>
      </c>
      <c r="N75" s="5">
        <f>IFERROR(VLOOKUP(I75,[1]INFO_LOCALES!$B:$E,4,FALSE),"")</f>
        <v>1133</v>
      </c>
      <c r="O75" s="5" t="str">
        <f>VLOOKUP(Tabla2[[#This Row],[TIENDA]],[1]INFO_LOCALES!$B:$J,9,0)</f>
        <v>SIN CONVENIO</v>
      </c>
      <c r="P75" s="5" t="str">
        <f>IFERROR(VLOOKUP(I75,[1]INFO_LOCALES!$B:$F,5,FALSE),"")</f>
        <v>AGUAS MAGALLANES S.A.</v>
      </c>
      <c r="Q75" s="5" t="s">
        <v>71</v>
      </c>
      <c r="R75" s="5" t="s">
        <v>86</v>
      </c>
      <c r="S75" s="6" t="s">
        <v>87</v>
      </c>
      <c r="T75" s="5" t="s">
        <v>119</v>
      </c>
      <c r="U75" s="6">
        <v>45336</v>
      </c>
      <c r="V75" s="5" t="s">
        <v>59</v>
      </c>
      <c r="W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5" s="7">
        <f t="shared" si="3"/>
        <v>2</v>
      </c>
      <c r="Y75" s="5">
        <v>25.6</v>
      </c>
      <c r="Z75" s="5">
        <v>7.85</v>
      </c>
      <c r="AA75" s="5">
        <v>2</v>
      </c>
      <c r="AB75" s="5">
        <v>21</v>
      </c>
      <c r="AC75" s="5">
        <v>481</v>
      </c>
      <c r="AD75" s="5">
        <v>12</v>
      </c>
      <c r="AE75" s="5">
        <v>17.3</v>
      </c>
      <c r="AF75" s="5">
        <v>5.6</v>
      </c>
      <c r="AG75" s="5">
        <v>169</v>
      </c>
      <c r="AH75" s="5">
        <v>5.74</v>
      </c>
      <c r="AI75" s="5">
        <f t="shared" si="2"/>
        <v>172.20000000000002</v>
      </c>
      <c r="AJ75" s="5">
        <v>5.2</v>
      </c>
      <c r="AK75" s="5">
        <v>4.0000000000000001E-3</v>
      </c>
      <c r="AL75" s="5">
        <v>0.27100000000000002</v>
      </c>
      <c r="AM75" s="5">
        <v>2E-3</v>
      </c>
      <c r="AN75" s="5">
        <v>0.02</v>
      </c>
      <c r="AO75" s="5">
        <v>0.59499999999999997</v>
      </c>
      <c r="AP75" s="5">
        <v>0.16900000000000001</v>
      </c>
      <c r="AQ75" s="5">
        <v>5.0000000000000001E-3</v>
      </c>
      <c r="AR75" s="5">
        <v>0.01</v>
      </c>
      <c r="AS75" s="5">
        <v>1</v>
      </c>
      <c r="AT75" s="5">
        <v>0.255</v>
      </c>
      <c r="AU75" s="5">
        <v>1E-3</v>
      </c>
      <c r="AV75" s="5">
        <v>2.5000000000000001E-2</v>
      </c>
      <c r="AW75" s="5">
        <v>0.02</v>
      </c>
      <c r="AX75" s="5">
        <v>18.100000000000001</v>
      </c>
      <c r="AY75" s="5">
        <v>0.1</v>
      </c>
    </row>
    <row r="76" spans="1:52" x14ac:dyDescent="0.25">
      <c r="A76" s="5" t="s">
        <v>52</v>
      </c>
      <c r="B76" s="5" t="s">
        <v>82</v>
      </c>
      <c r="C76" s="5" t="s">
        <v>77</v>
      </c>
      <c r="F76" s="5" t="s">
        <v>55</v>
      </c>
      <c r="G76" s="5" t="s">
        <v>65</v>
      </c>
      <c r="H76" s="5" t="s">
        <v>57</v>
      </c>
      <c r="I76" s="5">
        <v>7</v>
      </c>
      <c r="J76" s="5" t="str">
        <f>IFERROR(VLOOKUP(I76,[1]INFO_LOCALES!$B:$C,2,FALSE),"")</f>
        <v>VALLENAR I</v>
      </c>
      <c r="K76" s="5" t="str">
        <f>IFERROR(VLOOKUP(Tabla2[[#This Row],[TIENDA]],[1]INFO_LOCALES!$B:$D,3,FALSE),"")</f>
        <v>III - Atacama</v>
      </c>
      <c r="L76" s="5" t="str">
        <f>IFERROR(VLOOKUP(I76,[1]INFO_LOCALES!$B:$I,8,FALSE),"")</f>
        <v>Vallenar</v>
      </c>
      <c r="M76" s="5" t="str">
        <f>IFERROR(VLOOKUP(I76,[1]INFO_LOCALES!$B:$H,7,FALSE),"")</f>
        <v>Brasil 663</v>
      </c>
      <c r="N76" s="5">
        <f>IFERROR(VLOOKUP(I76,[1]INFO_LOCALES!$B:$E,4,FALSE),"")</f>
        <v>0</v>
      </c>
      <c r="O76" s="5" t="str">
        <f>VLOOKUP(Tabla2[[#This Row],[TIENDA]],[1]INFO_LOCALES!$B:$J,9,0)</f>
        <v>CONVENIO</v>
      </c>
      <c r="P76" s="5" t="str">
        <f>IFERROR(VLOOKUP(I76,[1]INFO_LOCALES!$B:$F,5,FALSE),"")</f>
        <v>NUEVA ATACAMA</v>
      </c>
      <c r="Q76" s="5" t="s">
        <v>66</v>
      </c>
      <c r="R76" s="5" t="s">
        <v>58</v>
      </c>
      <c r="S76" s="6">
        <v>45385</v>
      </c>
      <c r="T76" s="5" t="s">
        <v>119</v>
      </c>
      <c r="U76" s="6">
        <v>45336</v>
      </c>
      <c r="V76" s="5" t="s">
        <v>59</v>
      </c>
      <c r="W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6" s="7">
        <f t="shared" si="3"/>
        <v>2</v>
      </c>
      <c r="Y76" s="5">
        <v>6</v>
      </c>
      <c r="Z76" s="5">
        <v>6.35</v>
      </c>
      <c r="AA76" s="5">
        <v>10.7</v>
      </c>
      <c r="AB76" s="5">
        <v>23.7</v>
      </c>
      <c r="AC76" s="5">
        <v>588</v>
      </c>
      <c r="AD76" s="5">
        <v>12.44</v>
      </c>
      <c r="AE76" s="5">
        <v>32.9</v>
      </c>
      <c r="AF76" s="5">
        <v>0.9</v>
      </c>
      <c r="AG76" s="5">
        <v>46.09</v>
      </c>
      <c r="AH76" s="5">
        <v>2.88</v>
      </c>
      <c r="AI76" s="5">
        <f t="shared" si="2"/>
        <v>86.399999999999991</v>
      </c>
      <c r="AY76" s="5">
        <v>0.1</v>
      </c>
    </row>
    <row r="77" spans="1:52" x14ac:dyDescent="0.25">
      <c r="A77" s="5" t="s">
        <v>52</v>
      </c>
      <c r="B77" s="5" t="s">
        <v>82</v>
      </c>
      <c r="C77" s="5" t="s">
        <v>77</v>
      </c>
      <c r="F77" s="5" t="s">
        <v>55</v>
      </c>
      <c r="G77" s="5" t="s">
        <v>65</v>
      </c>
      <c r="H77" s="5" t="s">
        <v>57</v>
      </c>
      <c r="I77" s="5">
        <v>16</v>
      </c>
      <c r="J77" s="5" t="str">
        <f>IFERROR(VLOOKUP(I77,[1]INFO_LOCALES!$B:$C,2,FALSE),"")</f>
        <v>VALLENAR II</v>
      </c>
      <c r="K77" s="5" t="str">
        <f>IFERROR(VLOOKUP(Tabla2[[#This Row],[TIENDA]],[1]INFO_LOCALES!$B:$D,3,FALSE),"")</f>
        <v>III - Atacama</v>
      </c>
      <c r="L77" s="5" t="str">
        <f>IFERROR(VLOOKUP(I77,[1]INFO_LOCALES!$B:$I,8,FALSE),"")</f>
        <v>Vallenar</v>
      </c>
      <c r="M77" s="5" t="str">
        <f>IFERROR(VLOOKUP(I77,[1]INFO_LOCALES!$B:$H,7,FALSE),"")</f>
        <v>Arturo Prat 2350</v>
      </c>
      <c r="N77" s="5">
        <f>IFERROR(VLOOKUP(I77,[1]INFO_LOCALES!$B:$E,4,FALSE),"")</f>
        <v>0</v>
      </c>
      <c r="O77" s="5" t="str">
        <f>VLOOKUP(Tabla2[[#This Row],[TIENDA]],[1]INFO_LOCALES!$B:$J,9,0)</f>
        <v>TERMINADO</v>
      </c>
      <c r="P77" s="5" t="str">
        <f>IFERROR(VLOOKUP(I77,[1]INFO_LOCALES!$B:$F,5,FALSE),"")</f>
        <v>NUEVA ATACAMA</v>
      </c>
      <c r="Q77" s="5" t="s">
        <v>66</v>
      </c>
      <c r="R77" s="5" t="s">
        <v>58</v>
      </c>
      <c r="S77" s="6">
        <v>45385</v>
      </c>
      <c r="T77" s="5" t="s">
        <v>119</v>
      </c>
      <c r="U77" s="6">
        <v>45336</v>
      </c>
      <c r="V77" s="5" t="s">
        <v>59</v>
      </c>
      <c r="W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7" s="7">
        <f t="shared" si="3"/>
        <v>1</v>
      </c>
      <c r="Y77" s="5">
        <v>2</v>
      </c>
      <c r="Z77" s="5">
        <v>7.5</v>
      </c>
      <c r="AA77" s="5">
        <v>7</v>
      </c>
      <c r="AB77" s="5">
        <v>22.9</v>
      </c>
      <c r="AC77" s="5">
        <v>18</v>
      </c>
      <c r="AD77" s="5">
        <v>3.45</v>
      </c>
      <c r="AE77" s="5">
        <v>0.39</v>
      </c>
      <c r="AF77" s="5">
        <v>0.9</v>
      </c>
      <c r="AG77" s="5">
        <v>27.96</v>
      </c>
      <c r="AH77" s="5">
        <v>3.46</v>
      </c>
      <c r="AI77" s="5">
        <f t="shared" si="2"/>
        <v>103.8</v>
      </c>
      <c r="AY77" s="5">
        <v>0.1</v>
      </c>
    </row>
    <row r="78" spans="1:52" x14ac:dyDescent="0.25">
      <c r="A78" s="5" t="s">
        <v>52</v>
      </c>
      <c r="B78" s="5" t="s">
        <v>117</v>
      </c>
      <c r="C78" s="5" t="s">
        <v>81</v>
      </c>
      <c r="F78" s="5" t="s">
        <v>55</v>
      </c>
      <c r="G78" s="5" t="s">
        <v>65</v>
      </c>
      <c r="H78" s="5" t="s">
        <v>57</v>
      </c>
      <c r="I78" s="5">
        <v>909</v>
      </c>
      <c r="J78" s="5" t="str">
        <f>IFERROR(VLOOKUP(I78,[1]INFO_LOCALES!$B:$C,2,FALSE),"")</f>
        <v>TEMUCO SAN MARTIN</v>
      </c>
      <c r="K78" s="5" t="str">
        <f>IFERROR(VLOOKUP(Tabla2[[#This Row],[TIENDA]],[1]INFO_LOCALES!$B:$D,3,FALSE),"")</f>
        <v>IX - Araucanía</v>
      </c>
      <c r="L78" s="5" t="str">
        <f>IFERROR(VLOOKUP(I78,[1]INFO_LOCALES!$B:$I,8,FALSE),"")</f>
        <v>Temuco</v>
      </c>
      <c r="M78" s="5" t="str">
        <f>IFERROR(VLOOKUP(I78,[1]INFO_LOCALES!$B:$H,7,FALSE),"")</f>
        <v>SAN MARTIN ( L147)  0675</v>
      </c>
      <c r="N78" s="5">
        <f>IFERROR(VLOOKUP(I78,[1]INFO_LOCALES!$B:$E,4,FALSE),"")</f>
        <v>0</v>
      </c>
      <c r="O78" s="5" t="str">
        <f>VLOOKUP(Tabla2[[#This Row],[TIENDA]],[1]INFO_LOCALES!$B:$J,9,0)</f>
        <v>SIN CONVENIO</v>
      </c>
      <c r="P78" s="5" t="str">
        <f>IFERROR(VLOOKUP(I78,[1]INFO_LOCALES!$B:$F,5,FALSE),"")</f>
        <v>AGUAS ARAUCANIA S A</v>
      </c>
      <c r="Q78" s="5" t="s">
        <v>62</v>
      </c>
      <c r="R78" s="5" t="s">
        <v>58</v>
      </c>
      <c r="S78" s="6">
        <v>45407</v>
      </c>
      <c r="T78" s="5" t="s">
        <v>119</v>
      </c>
      <c r="U78" s="6">
        <v>45338</v>
      </c>
      <c r="V78" s="5" t="s">
        <v>59</v>
      </c>
      <c r="W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8" s="7">
        <f t="shared" si="3"/>
        <v>1</v>
      </c>
      <c r="Y78" s="5">
        <v>9</v>
      </c>
      <c r="Z78" s="5">
        <v>7.05</v>
      </c>
      <c r="AA78" s="5">
        <v>1</v>
      </c>
      <c r="AB78" s="5">
        <v>20.2</v>
      </c>
      <c r="AC78" s="5">
        <v>68.8</v>
      </c>
      <c r="AD78" s="5">
        <v>0.85</v>
      </c>
      <c r="AE78" s="5">
        <v>7.01</v>
      </c>
      <c r="AF78" s="5">
        <v>0.5</v>
      </c>
      <c r="AG78" s="5">
        <v>54</v>
      </c>
      <c r="AH78" s="5">
        <v>0.36</v>
      </c>
      <c r="AI78" s="5">
        <f t="shared" si="2"/>
        <v>10.799999999999999</v>
      </c>
    </row>
    <row r="79" spans="1:52" x14ac:dyDescent="0.25">
      <c r="A79" s="5" t="s">
        <v>52</v>
      </c>
      <c r="B79" s="5" t="s">
        <v>117</v>
      </c>
      <c r="C79" s="5" t="s">
        <v>81</v>
      </c>
      <c r="F79" s="5" t="s">
        <v>58</v>
      </c>
      <c r="G79" s="5" t="s">
        <v>65</v>
      </c>
      <c r="H79" s="5" t="s">
        <v>57</v>
      </c>
      <c r="I79" s="5">
        <v>754</v>
      </c>
      <c r="J79" s="5" t="str">
        <f>IFERROR(VLOOKUP(I79,[1]INFO_LOCALES!$B:$C,2,FALSE),"")</f>
        <v>TEMUCO IV</v>
      </c>
      <c r="K79" s="5" t="str">
        <f>IFERROR(VLOOKUP(Tabla2[[#This Row],[TIENDA]],[1]INFO_LOCALES!$B:$D,3,FALSE),"")</f>
        <v>IX - Araucanía</v>
      </c>
      <c r="L79" s="5" t="str">
        <f>IFERROR(VLOOKUP(I79,[1]INFO_LOCALES!$B:$I,8,FALSE),"")</f>
        <v>Temuco</v>
      </c>
      <c r="M79" s="5" t="str">
        <f>IFERROR(VLOOKUP(I79,[1]INFO_LOCALES!$B:$H,7,FALSE),"")</f>
        <v>Avenida Javiera Carrera 1610</v>
      </c>
      <c r="N79" s="5">
        <f>IFERROR(VLOOKUP(I79,[1]INFO_LOCALES!$B:$E,4,FALSE),"")</f>
        <v>0</v>
      </c>
      <c r="O79" s="5" t="str">
        <f>VLOOKUP(Tabla2[[#This Row],[TIENDA]],[1]INFO_LOCALES!$B:$J,9,0)</f>
        <v>CONVENIO</v>
      </c>
      <c r="P79" s="5" t="str">
        <f>IFERROR(VLOOKUP(I79,[1]INFO_LOCALES!$B:$F,5,FALSE),"")</f>
        <v>AGUAS ARAUCANIA S A</v>
      </c>
      <c r="Q79" s="5" t="s">
        <v>62</v>
      </c>
      <c r="R79" s="5" t="s">
        <v>58</v>
      </c>
      <c r="S79" s="6">
        <v>45407</v>
      </c>
      <c r="T79" s="5" t="s">
        <v>119</v>
      </c>
      <c r="U79" s="6">
        <v>45338</v>
      </c>
      <c r="V79" s="5" t="s">
        <v>59</v>
      </c>
      <c r="W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9" s="7">
        <f t="shared" si="3"/>
        <v>2</v>
      </c>
      <c r="Y79" s="5">
        <v>0.5</v>
      </c>
      <c r="Z79" s="5">
        <v>7</v>
      </c>
      <c r="AA79" s="5">
        <v>1</v>
      </c>
      <c r="AB79" s="5">
        <v>21.25</v>
      </c>
      <c r="AC79" s="5">
        <v>579</v>
      </c>
      <c r="AD79" s="5">
        <v>22.2</v>
      </c>
      <c r="AE79" s="5">
        <v>57.8</v>
      </c>
      <c r="AF79" s="5">
        <v>8.5</v>
      </c>
      <c r="AG79" s="5">
        <v>392</v>
      </c>
      <c r="AH79" s="5">
        <v>1.44</v>
      </c>
      <c r="AI79" s="5">
        <f t="shared" si="2"/>
        <v>43.199999999999996</v>
      </c>
    </row>
    <row r="80" spans="1:52" x14ac:dyDescent="0.25">
      <c r="A80" s="5" t="s">
        <v>52</v>
      </c>
      <c r="B80" s="5" t="s">
        <v>74</v>
      </c>
      <c r="C80" s="5" t="s">
        <v>74</v>
      </c>
      <c r="F80" s="5" t="s">
        <v>55</v>
      </c>
      <c r="G80" s="5" t="s">
        <v>61</v>
      </c>
      <c r="H80" s="5" t="s">
        <v>57</v>
      </c>
      <c r="I80" s="5">
        <v>463</v>
      </c>
      <c r="J80" s="5" t="str">
        <f>IFERROR(VLOOKUP(I80,[1]INFO_LOCALES!$B:$C,2,FALSE),"")</f>
        <v>BORIES AUSTRAL</v>
      </c>
      <c r="K80" s="5" t="str">
        <f>IFERROR(VLOOKUP(Tabla2[[#This Row],[TIENDA]],[1]INFO_LOCALES!$B:$D,3,FALSE),"")</f>
        <v>XII - Magallanes</v>
      </c>
      <c r="L80" s="5" t="str">
        <f>IFERROR(VLOOKUP(I80,[1]INFO_LOCALES!$B:$I,8,FALSE),"")</f>
        <v>Punta Arenas</v>
      </c>
      <c r="M80" s="5" t="str">
        <f>IFERROR(VLOOKUP(I80,[1]INFO_LOCALES!$B:$H,7,FALSE),"")</f>
        <v>Gobernador Bories 647</v>
      </c>
      <c r="N80" s="5">
        <f>IFERROR(VLOOKUP(I80,[1]INFO_LOCALES!$B:$E,4,FALSE),"")</f>
        <v>3739</v>
      </c>
      <c r="O80" s="5" t="str">
        <f>VLOOKUP(Tabla2[[#This Row],[TIENDA]],[1]INFO_LOCALES!$B:$J,9,0)</f>
        <v>SIN CONVENIO</v>
      </c>
      <c r="P80" s="5" t="str">
        <f>IFERROR(VLOOKUP(I80,[1]INFO_LOCALES!$B:$F,5,FALSE),"")</f>
        <v>AGUAS MAGALLANES S.A.</v>
      </c>
      <c r="Q80" s="5" t="s">
        <v>71</v>
      </c>
      <c r="R80" s="5" t="s">
        <v>86</v>
      </c>
      <c r="S80" s="6" t="s">
        <v>87</v>
      </c>
      <c r="T80" s="5" t="s">
        <v>119</v>
      </c>
      <c r="U80" s="6">
        <v>45341</v>
      </c>
      <c r="V80" s="5" t="s">
        <v>59</v>
      </c>
      <c r="W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0" s="7">
        <f t="shared" si="3"/>
        <v>1</v>
      </c>
      <c r="Y80" s="5">
        <v>12</v>
      </c>
      <c r="Z80" s="5">
        <v>5.5</v>
      </c>
      <c r="AA80" s="5">
        <v>2</v>
      </c>
      <c r="AB80" s="5">
        <v>10.1</v>
      </c>
      <c r="AC80" s="5">
        <v>197</v>
      </c>
      <c r="AD80" s="5">
        <v>5.0999999999999996</v>
      </c>
      <c r="AE80" s="5">
        <v>0.87</v>
      </c>
      <c r="AF80" s="5">
        <v>0.1</v>
      </c>
      <c r="AG80" s="5">
        <v>27</v>
      </c>
      <c r="AH80" s="5">
        <v>1.39</v>
      </c>
      <c r="AI80" s="5">
        <f t="shared" si="2"/>
        <v>41.699999999999996</v>
      </c>
      <c r="AJ80" s="5">
        <v>0.66400000000000003</v>
      </c>
      <c r="AK80" s="5">
        <v>1E-3</v>
      </c>
      <c r="AL80" s="5">
        <v>0.17199999999999999</v>
      </c>
      <c r="AM80" s="5">
        <v>2E-3</v>
      </c>
      <c r="AN80" s="5">
        <v>0.02</v>
      </c>
      <c r="AO80" s="5">
        <v>0.432</v>
      </c>
      <c r="AP80" s="5">
        <v>0.112</v>
      </c>
      <c r="AQ80" s="5">
        <v>0.03</v>
      </c>
      <c r="AR80" s="5">
        <v>0.03</v>
      </c>
      <c r="AS80" s="5">
        <v>10</v>
      </c>
      <c r="AT80" s="5">
        <v>3.3000000000000002E-2</v>
      </c>
      <c r="AU80" s="5">
        <v>1E-3</v>
      </c>
      <c r="AV80" s="5">
        <v>1.7000000000000001E-2</v>
      </c>
      <c r="AW80" s="5">
        <v>0.02</v>
      </c>
      <c r="AX80" s="5">
        <v>9.23</v>
      </c>
      <c r="AY80" s="5">
        <v>0.1</v>
      </c>
    </row>
    <row r="81" spans="1:52" x14ac:dyDescent="0.25">
      <c r="A81" s="5" t="s">
        <v>52</v>
      </c>
      <c r="B81" s="5" t="s">
        <v>82</v>
      </c>
      <c r="C81" s="5" t="s">
        <v>77</v>
      </c>
      <c r="F81" s="5" t="s">
        <v>55</v>
      </c>
      <c r="G81" s="5" t="s">
        <v>61</v>
      </c>
      <c r="H81" s="5" t="s">
        <v>57</v>
      </c>
      <c r="I81" s="5">
        <v>32</v>
      </c>
      <c r="J81" s="5" t="str">
        <f>IFERROR(VLOOKUP(I81,[1]INFO_LOCALES!$B:$C,2,FALSE),"")</f>
        <v>CHAÑARCILLO</v>
      </c>
      <c r="K81" s="5" t="str">
        <f>IFERROR(VLOOKUP(Tabla2[[#This Row],[TIENDA]],[1]INFO_LOCALES!$B:$D,3,FALSE),"")</f>
        <v>III - Atacama</v>
      </c>
      <c r="L81" s="5" t="str">
        <f>IFERROR(VLOOKUP(I81,[1]INFO_LOCALES!$B:$I,8,FALSE),"")</f>
        <v>Copiapó</v>
      </c>
      <c r="M81" s="5" t="str">
        <f>IFERROR(VLOOKUP(I81,[1]INFO_LOCALES!$B:$H,7,FALSE),"")</f>
        <v>Chacabuco Nº 231</v>
      </c>
      <c r="N81" s="5">
        <f>IFERROR(VLOOKUP(I81,[1]INFO_LOCALES!$B:$E,4,FALSE),"")</f>
        <v>0</v>
      </c>
      <c r="O81" s="5" t="str">
        <f>VLOOKUP(Tabla2[[#This Row],[TIENDA]],[1]INFO_LOCALES!$B:$J,9,0)</f>
        <v>CONVENIO</v>
      </c>
      <c r="P81" s="5" t="str">
        <f>IFERROR(VLOOKUP(I81,[1]INFO_LOCALES!$B:$F,5,FALSE),"")</f>
        <v>NUEVA ATACAMA</v>
      </c>
      <c r="Q81" s="5" t="s">
        <v>66</v>
      </c>
      <c r="R81" s="5" t="s">
        <v>58</v>
      </c>
      <c r="S81" s="6">
        <v>45385</v>
      </c>
      <c r="T81" s="5" t="s">
        <v>119</v>
      </c>
      <c r="U81" s="6">
        <v>45342</v>
      </c>
      <c r="V81" s="5" t="s">
        <v>59</v>
      </c>
      <c r="W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1" s="7">
        <f t="shared" si="3"/>
        <v>3</v>
      </c>
      <c r="Y81" s="5">
        <v>5.13</v>
      </c>
      <c r="Z81" s="5">
        <v>7.15</v>
      </c>
      <c r="AA81" s="5">
        <v>18</v>
      </c>
      <c r="AB81" s="5">
        <v>21.5</v>
      </c>
      <c r="AC81" s="5">
        <v>316</v>
      </c>
      <c r="AD81" s="5">
        <v>10.89</v>
      </c>
      <c r="AE81" s="5">
        <v>65.5</v>
      </c>
      <c r="AF81" s="5">
        <v>0.9</v>
      </c>
      <c r="AG81" s="5">
        <v>102</v>
      </c>
      <c r="AH81" s="5">
        <v>442.65600000000001</v>
      </c>
      <c r="AI81" s="5">
        <f t="shared" si="2"/>
        <v>13279.68</v>
      </c>
      <c r="AY81" s="5">
        <v>1.3</v>
      </c>
    </row>
    <row r="82" spans="1:52" x14ac:dyDescent="0.25">
      <c r="A82" s="5" t="s">
        <v>52</v>
      </c>
      <c r="B82" s="5" t="s">
        <v>82</v>
      </c>
      <c r="C82" s="5" t="s">
        <v>77</v>
      </c>
      <c r="F82" s="5" t="s">
        <v>55</v>
      </c>
      <c r="G82" s="5" t="s">
        <v>56</v>
      </c>
      <c r="H82" s="5" t="s">
        <v>57</v>
      </c>
      <c r="I82" s="5">
        <v>22</v>
      </c>
      <c r="J82" s="5" t="str">
        <f>IFERROR(VLOOKUP(I82,[1]INFO_LOCALES!$B:$C,2,FALSE),"")</f>
        <v>ATACAMA</v>
      </c>
      <c r="K82" s="5" t="str">
        <f>IFERROR(VLOOKUP(Tabla2[[#This Row],[TIENDA]],[1]INFO_LOCALES!$B:$D,3,FALSE),"")</f>
        <v>III - Atacama</v>
      </c>
      <c r="L82" s="5" t="str">
        <f>IFERROR(VLOOKUP(I82,[1]INFO_LOCALES!$B:$I,8,FALSE),"")</f>
        <v>Copiapó</v>
      </c>
      <c r="M82" s="5" t="str">
        <f>IFERROR(VLOOKUP(I82,[1]INFO_LOCALES!$B:$H,7,FALSE),"")</f>
        <v>Los Carreras 2242</v>
      </c>
      <c r="N82" s="5">
        <f>IFERROR(VLOOKUP(I82,[1]INFO_LOCALES!$B:$E,4,FALSE),"")</f>
        <v>2666</v>
      </c>
      <c r="O82" s="5" t="str">
        <f>VLOOKUP(Tabla2[[#This Row],[TIENDA]],[1]INFO_LOCALES!$B:$J,9,0)</f>
        <v>CONVENIO</v>
      </c>
      <c r="P82" s="5" t="str">
        <f>IFERROR(VLOOKUP(I82,[1]INFO_LOCALES!$B:$F,5,FALSE),"")</f>
        <v>NUEVA ATACAMA</v>
      </c>
      <c r="Q82" s="5" t="s">
        <v>66</v>
      </c>
      <c r="R82" s="5" t="s">
        <v>58</v>
      </c>
      <c r="S82" s="6">
        <v>45385</v>
      </c>
      <c r="T82" s="5" t="s">
        <v>119</v>
      </c>
      <c r="U82" s="6">
        <v>45342</v>
      </c>
      <c r="V82" s="5" t="s">
        <v>59</v>
      </c>
      <c r="W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2" s="7">
        <f t="shared" si="3"/>
        <v>3</v>
      </c>
      <c r="Y82" s="5">
        <v>43.07</v>
      </c>
      <c r="Z82" s="5">
        <v>6.7</v>
      </c>
      <c r="AA82" s="5">
        <v>59</v>
      </c>
      <c r="AB82" s="5">
        <v>22.5</v>
      </c>
      <c r="AC82" s="5">
        <v>638</v>
      </c>
      <c r="AD82" s="5">
        <v>11.54</v>
      </c>
      <c r="AE82" s="5">
        <v>18.350000000000001</v>
      </c>
      <c r="AF82" s="5">
        <v>2</v>
      </c>
      <c r="AG82" s="5">
        <v>183.82</v>
      </c>
      <c r="AH82" s="5">
        <v>91.296000000000006</v>
      </c>
      <c r="AI82" s="5">
        <f t="shared" si="2"/>
        <v>2738.88</v>
      </c>
      <c r="AY82" s="5">
        <v>0.1</v>
      </c>
    </row>
    <row r="83" spans="1:52" x14ac:dyDescent="0.25">
      <c r="A83" s="5" t="s">
        <v>52</v>
      </c>
      <c r="B83" s="5" t="s">
        <v>112</v>
      </c>
      <c r="C83" s="5" t="s">
        <v>70</v>
      </c>
      <c r="F83" s="5" t="s">
        <v>55</v>
      </c>
      <c r="G83" s="5" t="s">
        <v>65</v>
      </c>
      <c r="H83" s="5" t="s">
        <v>57</v>
      </c>
      <c r="I83" s="5">
        <v>333</v>
      </c>
      <c r="J83" s="5" t="str">
        <f>IFERROR(VLOOKUP(I83,[1]INFO_LOCALES!$B:$C,2,FALSE),"")</f>
        <v>LOS LEONES</v>
      </c>
      <c r="K83" s="5" t="str">
        <f>IFERROR(VLOOKUP(Tabla2[[#This Row],[TIENDA]],[1]INFO_LOCALES!$B:$D,3,FALSE),"")</f>
        <v>RM - Santiago</v>
      </c>
      <c r="L83" s="5" t="str">
        <f>IFERROR(VLOOKUP(I83,[1]INFO_LOCALES!$B:$I,8,FALSE),"")</f>
        <v>Ñuñoa</v>
      </c>
      <c r="M83" s="5" t="str">
        <f>IFERROR(VLOOKUP(I83,[1]INFO_LOCALES!$B:$H,7,FALSE),"")</f>
        <v>Gral. Jose Artigas 3250</v>
      </c>
      <c r="N83" s="5">
        <f>IFERROR(VLOOKUP(I83,[1]INFO_LOCALES!$B:$E,4,FALSE),"")</f>
        <v>0</v>
      </c>
      <c r="O83" s="5" t="str">
        <f>VLOOKUP(Tabla2[[#This Row],[TIENDA]],[1]INFO_LOCALES!$B:$J,9,0)</f>
        <v>SIN CONVENIO</v>
      </c>
      <c r="P83" s="5" t="str">
        <f>IFERROR(VLOOKUP(I83,[1]INFO_LOCALES!$B:$F,5,FALSE),"")</f>
        <v>AGUAS ANDINAS S.A.</v>
      </c>
      <c r="Q83" s="5" t="s">
        <v>113</v>
      </c>
      <c r="R83" s="5" t="s">
        <v>58</v>
      </c>
      <c r="S83" s="6">
        <v>45372</v>
      </c>
      <c r="T83" s="5" t="s">
        <v>119</v>
      </c>
      <c r="U83" s="6">
        <v>45343</v>
      </c>
      <c r="V83" s="5" t="s">
        <v>59</v>
      </c>
      <c r="W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3" s="7">
        <f t="shared" si="3"/>
        <v>1</v>
      </c>
      <c r="Y83" s="5">
        <v>14</v>
      </c>
      <c r="Z83" s="5">
        <v>7.72</v>
      </c>
      <c r="AA83" s="5">
        <v>0.8</v>
      </c>
      <c r="AB83" s="5">
        <v>25.5</v>
      </c>
      <c r="AC83" s="5">
        <v>50</v>
      </c>
      <c r="AD83" s="5">
        <v>1.52</v>
      </c>
      <c r="AE83" s="5">
        <v>10.130000000000001</v>
      </c>
      <c r="AF83" s="5">
        <v>5</v>
      </c>
      <c r="AG83" s="5">
        <v>62</v>
      </c>
      <c r="AH83" s="5">
        <v>34</v>
      </c>
      <c r="AI83" s="5">
        <f t="shared" si="2"/>
        <v>1020</v>
      </c>
      <c r="AZ83" s="8" t="s">
        <v>126</v>
      </c>
    </row>
    <row r="84" spans="1:52" x14ac:dyDescent="0.25">
      <c r="A84" s="5" t="s">
        <v>52</v>
      </c>
      <c r="B84" s="5" t="s">
        <v>112</v>
      </c>
      <c r="C84" s="5" t="s">
        <v>70</v>
      </c>
      <c r="F84" s="5" t="s">
        <v>55</v>
      </c>
      <c r="G84" s="5" t="s">
        <v>65</v>
      </c>
      <c r="H84" s="5" t="s">
        <v>57</v>
      </c>
      <c r="I84" s="5">
        <v>333</v>
      </c>
      <c r="J84" s="5" t="str">
        <f>IFERROR(VLOOKUP(I84,[1]INFO_LOCALES!$B:$C,2,FALSE),"")</f>
        <v>LOS LEONES</v>
      </c>
      <c r="K84" s="5" t="str">
        <f>IFERROR(VLOOKUP(Tabla2[[#This Row],[TIENDA]],[1]INFO_LOCALES!$B:$D,3,FALSE),"")</f>
        <v>RM - Santiago</v>
      </c>
      <c r="L84" s="5" t="str">
        <f>IFERROR(VLOOKUP(I84,[1]INFO_LOCALES!$B:$I,8,FALSE),"")</f>
        <v>Ñuñoa</v>
      </c>
      <c r="M84" s="5" t="str">
        <f>IFERROR(VLOOKUP(I84,[1]INFO_LOCALES!$B:$H,7,FALSE),"")</f>
        <v>Gral. Jose Artigas 3250</v>
      </c>
      <c r="N84" s="5">
        <f>IFERROR(VLOOKUP(I84,[1]INFO_LOCALES!$B:$E,4,FALSE),"")</f>
        <v>0</v>
      </c>
      <c r="O84" s="5" t="str">
        <f>VLOOKUP(Tabla2[[#This Row],[TIENDA]],[1]INFO_LOCALES!$B:$J,9,0)</f>
        <v>SIN CONVENIO</v>
      </c>
      <c r="P84" s="5" t="str">
        <f>IFERROR(VLOOKUP(I84,[1]INFO_LOCALES!$B:$F,5,FALSE),"")</f>
        <v>AGUAS ANDINAS S.A.</v>
      </c>
      <c r="Q84" s="5" t="s">
        <v>113</v>
      </c>
      <c r="R84" s="5" t="s">
        <v>58</v>
      </c>
      <c r="S84" s="6">
        <v>45372</v>
      </c>
      <c r="T84" s="5" t="s">
        <v>119</v>
      </c>
      <c r="U84" s="6">
        <v>45343</v>
      </c>
      <c r="V84" s="5" t="s">
        <v>59</v>
      </c>
      <c r="W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" s="7">
        <f t="shared" si="3"/>
        <v>1</v>
      </c>
      <c r="Y84" s="5">
        <v>14</v>
      </c>
      <c r="Z84" s="5">
        <v>8.59</v>
      </c>
      <c r="AA84" s="5">
        <v>0.8</v>
      </c>
      <c r="AB84" s="5">
        <v>23.9</v>
      </c>
      <c r="AC84" s="5">
        <v>89</v>
      </c>
      <c r="AD84" s="5">
        <v>4.57</v>
      </c>
      <c r="AE84" s="5">
        <v>35.6</v>
      </c>
      <c r="AF84" s="5">
        <v>1</v>
      </c>
      <c r="AG84" s="5">
        <v>54</v>
      </c>
      <c r="AH84" s="5">
        <v>33</v>
      </c>
      <c r="AI84" s="5">
        <f t="shared" si="2"/>
        <v>990</v>
      </c>
      <c r="AZ84" s="8" t="s">
        <v>127</v>
      </c>
    </row>
    <row r="85" spans="1:52" x14ac:dyDescent="0.25">
      <c r="A85" s="5" t="s">
        <v>52</v>
      </c>
      <c r="B85" s="5" t="s">
        <v>128</v>
      </c>
      <c r="C85" s="5" t="s">
        <v>77</v>
      </c>
      <c r="D85" s="5">
        <v>2024</v>
      </c>
      <c r="F85" s="5" t="s">
        <v>55</v>
      </c>
      <c r="G85" s="5" t="s">
        <v>61</v>
      </c>
      <c r="H85" s="5" t="s">
        <v>57</v>
      </c>
      <c r="I85" s="5">
        <v>11</v>
      </c>
      <c r="J85" s="5" t="str">
        <f>IFERROR(VLOOKUP(I85,[1]INFO_LOCALES!$B:$C,2,FALSE),"")</f>
        <v>ALTO PEÑUELAS</v>
      </c>
      <c r="K85" s="5" t="str">
        <f>IFERROR(VLOOKUP(Tabla2[[#This Row],[TIENDA]],[1]INFO_LOCALES!$B:$D,3,FALSE),"")</f>
        <v>IV - Coquimbo</v>
      </c>
      <c r="L85" s="5" t="str">
        <f>IFERROR(VLOOKUP(I85,[1]INFO_LOCALES!$B:$I,8,FALSE),"")</f>
        <v>Coquimbo</v>
      </c>
      <c r="M85" s="5" t="str">
        <f>IFERROR(VLOOKUP(I85,[1]INFO_LOCALES!$B:$H,7,FALSE),"")</f>
        <v>Alessandri 531</v>
      </c>
      <c r="N85" s="5">
        <f>IFERROR(VLOOKUP(I85,[1]INFO_LOCALES!$B:$E,4,FALSE),"")</f>
        <v>0</v>
      </c>
      <c r="O85" s="5" t="str">
        <f>VLOOKUP(Tabla2[[#This Row],[TIENDA]],[1]INFO_LOCALES!$B:$J,9,0)</f>
        <v>SIN CONVENIO</v>
      </c>
      <c r="P85" s="5" t="str">
        <f>IFERROR(VLOOKUP(I85,[1]INFO_LOCALES!$B:$F,5,FALSE),"")</f>
        <v>AGUAS DEL VALLE S A</v>
      </c>
      <c r="Q85" s="5" t="s">
        <v>66</v>
      </c>
      <c r="R85" s="5" t="s">
        <v>58</v>
      </c>
      <c r="S85" s="6">
        <v>45404</v>
      </c>
      <c r="T85" s="5" t="s">
        <v>119</v>
      </c>
      <c r="U85" s="6">
        <v>45344</v>
      </c>
      <c r="V85" s="5" t="s">
        <v>59</v>
      </c>
      <c r="W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5" s="7">
        <f t="shared" si="3"/>
        <v>3</v>
      </c>
      <c r="Y85" s="5">
        <v>29.22</v>
      </c>
      <c r="Z85" s="5">
        <v>7.82</v>
      </c>
      <c r="AA85" s="5">
        <v>14.7</v>
      </c>
      <c r="AB85" s="5">
        <v>21.3</v>
      </c>
      <c r="AC85" s="5">
        <v>335</v>
      </c>
      <c r="AD85" s="5">
        <v>14.02</v>
      </c>
      <c r="AE85" s="5">
        <v>51.5</v>
      </c>
      <c r="AF85" s="5">
        <v>0.9</v>
      </c>
      <c r="AG85" s="5">
        <v>126.14</v>
      </c>
      <c r="AH85" s="5">
        <v>3.12</v>
      </c>
      <c r="AI85" s="5">
        <f t="shared" si="2"/>
        <v>93.600000000000009</v>
      </c>
    </row>
    <row r="86" spans="1:52" x14ac:dyDescent="0.25">
      <c r="A86" s="5" t="s">
        <v>52</v>
      </c>
      <c r="B86" s="5" t="s">
        <v>69</v>
      </c>
      <c r="C86" s="5" t="s">
        <v>70</v>
      </c>
      <c r="F86" s="5" t="s">
        <v>55</v>
      </c>
      <c r="G86" s="5" t="s">
        <v>65</v>
      </c>
      <c r="H86" s="5" t="s">
        <v>57</v>
      </c>
      <c r="I86" s="5">
        <v>980</v>
      </c>
      <c r="J86" s="5" t="str">
        <f>IFERROR(VLOOKUP(I86,[1]INFO_LOCALES!$B:$C,2,FALSE),"")</f>
        <v>MAIPU EL ROSAL</v>
      </c>
      <c r="K86" s="5" t="str">
        <f>IFERROR(VLOOKUP(Tabla2[[#This Row],[TIENDA]],[1]INFO_LOCALES!$B:$D,3,FALSE),"")</f>
        <v>RM - Santiago</v>
      </c>
      <c r="L86" s="5" t="str">
        <f>IFERROR(VLOOKUP(I86,[1]INFO_LOCALES!$B:$I,8,FALSE),"")</f>
        <v>Maipú</v>
      </c>
      <c r="M86" s="5" t="str">
        <f>IFERROR(VLOOKUP(I86,[1]INFO_LOCALES!$B:$H,7,FALSE),"")</f>
        <v>Av. El Rosal 6361</v>
      </c>
      <c r="N86" s="5">
        <f>IFERROR(VLOOKUP(I86,[1]INFO_LOCALES!$B:$E,4,FALSE),"")</f>
        <v>0</v>
      </c>
      <c r="O86" s="5" t="str">
        <f>VLOOKUP(Tabla2[[#This Row],[TIENDA]],[1]INFO_LOCALES!$B:$J,9,0)</f>
        <v>SIN CONVENIO</v>
      </c>
      <c r="P86" s="5" t="str">
        <f>IFERROR(VLOOKUP(I86,[1]INFO_LOCALES!$B:$F,5,FALSE),"")</f>
        <v>SMAPA</v>
      </c>
      <c r="Q86" s="5" t="s">
        <v>71</v>
      </c>
      <c r="R86" s="5" t="s">
        <v>58</v>
      </c>
      <c r="S86" s="6">
        <v>45412</v>
      </c>
      <c r="T86" s="5" t="s">
        <v>119</v>
      </c>
      <c r="U86" s="6">
        <v>45345</v>
      </c>
      <c r="V86" s="5" t="s">
        <v>59</v>
      </c>
      <c r="W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6" s="7">
        <f t="shared" si="3"/>
        <v>1</v>
      </c>
      <c r="Y86" s="5">
        <v>0.63200000000000001</v>
      </c>
      <c r="Z86" s="5">
        <v>7.91</v>
      </c>
      <c r="AA86" s="5">
        <v>2</v>
      </c>
      <c r="AB86" s="5">
        <v>20.6</v>
      </c>
      <c r="AC86" s="5">
        <v>18.399999999999999</v>
      </c>
      <c r="AD86" s="5">
        <v>2</v>
      </c>
      <c r="AE86" s="5">
        <v>25.8</v>
      </c>
      <c r="AF86" s="5">
        <v>0.1</v>
      </c>
      <c r="AG86" s="5">
        <v>11</v>
      </c>
      <c r="AH86" s="5">
        <v>0</v>
      </c>
      <c r="AI86" s="5">
        <f t="shared" si="2"/>
        <v>0</v>
      </c>
    </row>
    <row r="87" spans="1:52" x14ac:dyDescent="0.25">
      <c r="A87" s="5" t="s">
        <v>52</v>
      </c>
      <c r="B87" s="5" t="s">
        <v>69</v>
      </c>
      <c r="C87" s="5" t="s">
        <v>70</v>
      </c>
      <c r="F87" s="5" t="s">
        <v>55</v>
      </c>
      <c r="G87" s="5" t="s">
        <v>65</v>
      </c>
      <c r="H87" s="5" t="s">
        <v>57</v>
      </c>
      <c r="I87" s="5">
        <v>911</v>
      </c>
      <c r="J87" s="5" t="str">
        <f>IFERROR(VLOOKUP(I87,[1]INFO_LOCALES!$B:$C,2,FALSE),"")</f>
        <v>MAIPU 4 PONIENTE</v>
      </c>
      <c r="K87" s="5" t="str">
        <f>IFERROR(VLOOKUP(Tabla2[[#This Row],[TIENDA]],[1]INFO_LOCALES!$B:$D,3,FALSE),"")</f>
        <v>RM - Santiago</v>
      </c>
      <c r="L87" s="5" t="str">
        <f>IFERROR(VLOOKUP(I87,[1]INFO_LOCALES!$B:$I,8,FALSE),"")</f>
        <v>Maipú</v>
      </c>
      <c r="M87" s="5" t="str">
        <f>IFERROR(VLOOKUP(I87,[1]INFO_LOCALES!$B:$H,7,FALSE),"")</f>
        <v>4 Poniente 1197</v>
      </c>
      <c r="N87" s="5">
        <f>IFERROR(VLOOKUP(I87,[1]INFO_LOCALES!$B:$E,4,FALSE),"")</f>
        <v>0</v>
      </c>
      <c r="O87" s="5" t="str">
        <f>VLOOKUP(Tabla2[[#This Row],[TIENDA]],[1]INFO_LOCALES!$B:$J,9,0)</f>
        <v>SIN CONVENIO</v>
      </c>
      <c r="P87" s="5" t="str">
        <f>IFERROR(VLOOKUP(I87,[1]INFO_LOCALES!$B:$F,5,FALSE),"")</f>
        <v>SMAPA</v>
      </c>
      <c r="Q87" s="5" t="s">
        <v>71</v>
      </c>
      <c r="R87" s="5" t="s">
        <v>58</v>
      </c>
      <c r="S87" s="6">
        <v>45412</v>
      </c>
      <c r="T87" s="5" t="s">
        <v>119</v>
      </c>
      <c r="U87" s="6">
        <v>45345</v>
      </c>
      <c r="V87" s="5" t="s">
        <v>59</v>
      </c>
      <c r="W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7" s="7">
        <f t="shared" si="3"/>
        <v>1</v>
      </c>
      <c r="Y87" s="5">
        <v>25.5</v>
      </c>
      <c r="Z87" s="5">
        <v>7.06</v>
      </c>
      <c r="AA87" s="5">
        <v>2</v>
      </c>
      <c r="AB87" s="5">
        <v>21.1</v>
      </c>
      <c r="AC87" s="5">
        <v>240</v>
      </c>
      <c r="AD87" s="5">
        <v>6.4</v>
      </c>
      <c r="AE87" s="5">
        <v>1.29</v>
      </c>
      <c r="AF87" s="5">
        <v>0.3</v>
      </c>
      <c r="AG87" s="5">
        <v>126</v>
      </c>
      <c r="AH87" s="5">
        <v>0</v>
      </c>
      <c r="AI87" s="5">
        <f t="shared" si="2"/>
        <v>0</v>
      </c>
    </row>
    <row r="88" spans="1:52" x14ac:dyDescent="0.25">
      <c r="A88" s="5" t="s">
        <v>52</v>
      </c>
      <c r="B88" s="5" t="s">
        <v>74</v>
      </c>
      <c r="C88" s="5" t="s">
        <v>74</v>
      </c>
      <c r="F88" s="5" t="s">
        <v>55</v>
      </c>
      <c r="G88" s="5" t="s">
        <v>61</v>
      </c>
      <c r="H88" s="5" t="s">
        <v>57</v>
      </c>
      <c r="I88" s="5">
        <v>459</v>
      </c>
      <c r="J88" s="5" t="str">
        <f>IFERROR(VLOOKUP(I88,[1]INFO_LOCALES!$B:$C,2,FALSE),"")</f>
        <v>ALLENDE AUSTRAL</v>
      </c>
      <c r="K88" s="5" t="str">
        <f>IFERROR(VLOOKUP(Tabla2[[#This Row],[TIENDA]],[1]INFO_LOCALES!$B:$D,3,FALSE),"")</f>
        <v>XII - Magallanes</v>
      </c>
      <c r="L88" s="5" t="str">
        <f>IFERROR(VLOOKUP(I88,[1]INFO_LOCALES!$B:$I,8,FALSE),"")</f>
        <v>Punta Arenas</v>
      </c>
      <c r="M88" s="5" t="str">
        <f>IFERROR(VLOOKUP(I88,[1]INFO_LOCALES!$B:$H,7,FALSE),"")</f>
        <v>Salvador Allende 0399</v>
      </c>
      <c r="N88" s="5">
        <f>IFERROR(VLOOKUP(I88,[1]INFO_LOCALES!$B:$E,4,FALSE),"")</f>
        <v>3735</v>
      </c>
      <c r="O88" s="5" t="str">
        <f>VLOOKUP(Tabla2[[#This Row],[TIENDA]],[1]INFO_LOCALES!$B:$J,9,0)</f>
        <v>SIN CONVENIO</v>
      </c>
      <c r="P88" s="5" t="str">
        <f>IFERROR(VLOOKUP(I88,[1]INFO_LOCALES!$B:$F,5,FALSE),"")</f>
        <v>AGUAS MAGALLANES S.A.</v>
      </c>
      <c r="Q88" s="5" t="s">
        <v>71</v>
      </c>
      <c r="R88" s="5" t="s">
        <v>86</v>
      </c>
      <c r="S88" s="6" t="s">
        <v>87</v>
      </c>
      <c r="T88" s="5" t="s">
        <v>119</v>
      </c>
      <c r="U88" s="6">
        <v>45348</v>
      </c>
      <c r="V88" s="5" t="s">
        <v>59</v>
      </c>
      <c r="W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8" s="7">
        <f t="shared" si="3"/>
        <v>1</v>
      </c>
      <c r="Y88" s="5">
        <v>8.3000000000000007</v>
      </c>
      <c r="Z88" s="5">
        <v>6.55</v>
      </c>
      <c r="AA88" s="5">
        <v>2</v>
      </c>
      <c r="AB88" s="5">
        <v>11.4</v>
      </c>
      <c r="AC88" s="5">
        <v>131</v>
      </c>
      <c r="AD88" s="5">
        <v>3.6</v>
      </c>
      <c r="AE88" s="5">
        <v>6.1</v>
      </c>
      <c r="AF88" s="5">
        <v>0.1</v>
      </c>
      <c r="AG88" s="5">
        <v>117</v>
      </c>
      <c r="AH88" s="5">
        <v>3.49</v>
      </c>
      <c r="AI88" s="5">
        <f t="shared" si="2"/>
        <v>104.7</v>
      </c>
    </row>
    <row r="89" spans="1:52" x14ac:dyDescent="0.25">
      <c r="A89" s="5" t="s">
        <v>52</v>
      </c>
      <c r="B89" s="5" t="e">
        <v>#N/A</v>
      </c>
      <c r="C89" s="5" t="e">
        <v>#N/A</v>
      </c>
      <c r="F89" s="5" t="s">
        <v>55</v>
      </c>
      <c r="G89" s="5" t="s">
        <v>61</v>
      </c>
      <c r="H89" s="5" t="s">
        <v>57</v>
      </c>
      <c r="I89" s="5">
        <v>9139</v>
      </c>
      <c r="J89" s="5" t="str">
        <f>IFERROR(VLOOKUP(I89,[1]INFO_LOCALES!$B:$C,2,FALSE),"")</f>
        <v>CD LO AGUIRRE</v>
      </c>
      <c r="K89" s="5" t="str">
        <f>IFERROR(VLOOKUP(Tabla2[[#This Row],[TIENDA]],[1]INFO_LOCALES!$B:$D,3,FALSE),"")</f>
        <v>RM - Santiago</v>
      </c>
      <c r="L89" s="5" t="str">
        <f>IFERROR(VLOOKUP(I89,[1]INFO_LOCALES!$B:$I,8,FALSE),"")</f>
        <v>Pudahuel</v>
      </c>
      <c r="M89" s="5" t="str">
        <f>IFERROR(VLOOKUP(I89,[1]INFO_LOCALES!$B:$H,7,FALSE),"")</f>
        <v>CAMINO LO AGUIRRE SUR 537</v>
      </c>
      <c r="N89" s="5">
        <f>IFERROR(VLOOKUP(I89,[1]INFO_LOCALES!$B:$E,4,FALSE),"")</f>
        <v>3552</v>
      </c>
      <c r="O89" s="5" t="str">
        <f>VLOOKUP(Tabla2[[#This Row],[TIENDA]],[1]INFO_LOCALES!$B:$J,9,0)</f>
        <v>SIN CONVENIO</v>
      </c>
      <c r="P89" s="5" t="str">
        <f>IFERROR(VLOOKUP(I89,[1]INFO_LOCALES!$B:$F,5,FALSE),"")</f>
        <v>AGUAS IZARRA</v>
      </c>
      <c r="Q89" s="5" t="s">
        <v>85</v>
      </c>
      <c r="R89" s="5" t="s">
        <v>86</v>
      </c>
      <c r="S89" s="6" t="s">
        <v>87</v>
      </c>
      <c r="T89" s="5" t="s">
        <v>119</v>
      </c>
      <c r="U89" s="6">
        <v>45348</v>
      </c>
      <c r="V89" s="5" t="s">
        <v>59</v>
      </c>
      <c r="W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9" s="7">
        <f t="shared" si="3"/>
        <v>1</v>
      </c>
      <c r="Y89" s="5">
        <v>12.4</v>
      </c>
      <c r="Z89" s="5">
        <v>7.49</v>
      </c>
      <c r="AA89" s="5">
        <v>2</v>
      </c>
      <c r="AB89" s="5">
        <v>23</v>
      </c>
      <c r="AC89" s="5">
        <v>152</v>
      </c>
      <c r="AD89" s="5">
        <v>4</v>
      </c>
      <c r="AE89" s="5">
        <v>9.6</v>
      </c>
      <c r="AF89" s="5">
        <v>1</v>
      </c>
      <c r="AG89" s="5">
        <v>47</v>
      </c>
      <c r="AH89" s="5">
        <v>250.9</v>
      </c>
      <c r="AI89" s="5">
        <f t="shared" si="2"/>
        <v>7527</v>
      </c>
      <c r="AS89" s="5">
        <v>10</v>
      </c>
    </row>
    <row r="90" spans="1:52" x14ac:dyDescent="0.25">
      <c r="A90" s="5" t="s">
        <v>60</v>
      </c>
      <c r="B90" s="5" t="e">
        <v>#N/A</v>
      </c>
      <c r="C90" s="5" t="e">
        <v>#N/A</v>
      </c>
      <c r="F90" s="5" t="s">
        <v>55</v>
      </c>
      <c r="G90" s="5" t="s">
        <v>61</v>
      </c>
      <c r="H90" s="5" t="s">
        <v>57</v>
      </c>
      <c r="I90" s="5">
        <v>3014</v>
      </c>
      <c r="J90" s="5" t="str">
        <f>IFERROR(VLOOKUP(I90,[1]INFO_LOCALES!$B:$C,2,FALSE),"")</f>
        <v>M10 SAN FERNANDO</v>
      </c>
      <c r="K90" s="5" t="str">
        <f>IFERROR(VLOOKUP(Tabla2[[#This Row],[TIENDA]],[1]INFO_LOCALES!$B:$D,3,FALSE),"")</f>
        <v>VI - O'Higgins</v>
      </c>
      <c r="L90" s="5" t="str">
        <f>IFERROR(VLOOKUP(I90,[1]INFO_LOCALES!$B:$I,8,FALSE),"")</f>
        <v>San Fernando</v>
      </c>
      <c r="M90" s="5" t="str">
        <f>IFERROR(VLOOKUP(I90,[1]INFO_LOCALES!$B:$H,7,FALSE),"")</f>
        <v>Chillan 745</v>
      </c>
      <c r="N90" s="5">
        <f>IFERROR(VLOOKUP(I90,[1]INFO_LOCALES!$B:$E,4,FALSE),"")</f>
        <v>1298</v>
      </c>
      <c r="O90" s="5" t="str">
        <f>VLOOKUP(Tabla2[[#This Row],[TIENDA]],[1]INFO_LOCALES!$B:$J,9,0)</f>
        <v>TERMINADO</v>
      </c>
      <c r="P90" s="5" t="str">
        <f>IFERROR(VLOOKUP(I90,[1]INFO_LOCALES!$B:$F,5,FALSE),"")</f>
        <v>ESSBIO S.A.</v>
      </c>
      <c r="Q90" s="5" t="s">
        <v>85</v>
      </c>
      <c r="R90" s="5" t="s">
        <v>86</v>
      </c>
      <c r="S90" s="6" t="s">
        <v>87</v>
      </c>
      <c r="T90" s="5" t="s">
        <v>119</v>
      </c>
      <c r="U90" s="6">
        <v>45349</v>
      </c>
      <c r="V90" s="5" t="s">
        <v>59</v>
      </c>
      <c r="W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0" s="7">
        <f t="shared" si="3"/>
        <v>1</v>
      </c>
      <c r="Y90" s="5">
        <v>27.9</v>
      </c>
      <c r="Z90" s="5">
        <v>7.2</v>
      </c>
      <c r="AA90" s="5">
        <v>2</v>
      </c>
      <c r="AB90" s="5">
        <v>21.8</v>
      </c>
      <c r="AC90" s="5">
        <v>271</v>
      </c>
      <c r="AD90" s="5">
        <v>13.7</v>
      </c>
      <c r="AE90" s="5">
        <v>47</v>
      </c>
      <c r="AF90" s="5">
        <v>1.5</v>
      </c>
      <c r="AG90" s="5">
        <v>144</v>
      </c>
      <c r="AH90" s="5">
        <v>5.8</v>
      </c>
      <c r="AI90" s="5">
        <f t="shared" si="2"/>
        <v>174</v>
      </c>
    </row>
    <row r="91" spans="1:52" x14ac:dyDescent="0.25">
      <c r="A91" s="5" t="s">
        <v>52</v>
      </c>
      <c r="B91" s="5" t="s">
        <v>69</v>
      </c>
      <c r="C91" s="5" t="s">
        <v>70</v>
      </c>
      <c r="F91" s="5" t="s">
        <v>55</v>
      </c>
      <c r="G91" s="5" t="s">
        <v>65</v>
      </c>
      <c r="H91" s="5" t="s">
        <v>57</v>
      </c>
      <c r="I91" s="5">
        <v>980</v>
      </c>
      <c r="J91" s="5" t="str">
        <f>IFERROR(VLOOKUP(I91,[1]INFO_LOCALES!$B:$C,2,FALSE),"")</f>
        <v>MAIPU EL ROSAL</v>
      </c>
      <c r="K91" s="5" t="str">
        <f>IFERROR(VLOOKUP(Tabla2[[#This Row],[TIENDA]],[1]INFO_LOCALES!$B:$D,3,FALSE),"")</f>
        <v>RM - Santiago</v>
      </c>
      <c r="L91" s="5" t="str">
        <f>IFERROR(VLOOKUP(I91,[1]INFO_LOCALES!$B:$I,8,FALSE),"")</f>
        <v>Maipú</v>
      </c>
      <c r="M91" s="5" t="str">
        <f>IFERROR(VLOOKUP(I91,[1]INFO_LOCALES!$B:$H,7,FALSE),"")</f>
        <v>Av. El Rosal 6361</v>
      </c>
      <c r="N91" s="5">
        <f>IFERROR(VLOOKUP(I91,[1]INFO_LOCALES!$B:$E,4,FALSE),"")</f>
        <v>0</v>
      </c>
      <c r="O91" s="5" t="str">
        <f>VLOOKUP(Tabla2[[#This Row],[TIENDA]],[1]INFO_LOCALES!$B:$J,9,0)</f>
        <v>SIN CONVENIO</v>
      </c>
      <c r="P91" s="5" t="str">
        <f>IFERROR(VLOOKUP(I91,[1]INFO_LOCALES!$B:$F,5,FALSE),"")</f>
        <v>SMAPA</v>
      </c>
      <c r="Q91" s="5" t="s">
        <v>71</v>
      </c>
      <c r="R91" s="5" t="s">
        <v>58</v>
      </c>
      <c r="S91" s="6">
        <v>45412</v>
      </c>
      <c r="T91" s="5" t="s">
        <v>119</v>
      </c>
      <c r="U91" s="6">
        <v>45349</v>
      </c>
      <c r="V91" s="5" t="s">
        <v>59</v>
      </c>
      <c r="W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1" s="7">
        <f t="shared" si="3"/>
        <v>1</v>
      </c>
      <c r="Y91" s="5">
        <v>0.5</v>
      </c>
      <c r="Z91" s="5">
        <v>5.12</v>
      </c>
      <c r="AA91" s="5">
        <v>0.2</v>
      </c>
      <c r="AB91" s="5">
        <v>25</v>
      </c>
      <c r="AC91" s="5">
        <v>209</v>
      </c>
      <c r="AD91" s="5">
        <v>4.9000000000000004</v>
      </c>
      <c r="AE91" s="5">
        <v>33.6</v>
      </c>
      <c r="AF91" s="5">
        <v>0.1</v>
      </c>
      <c r="AG91" s="5">
        <v>158</v>
      </c>
      <c r="AH91" s="5">
        <v>0</v>
      </c>
      <c r="AI91" s="5">
        <f t="shared" si="2"/>
        <v>0</v>
      </c>
    </row>
    <row r="92" spans="1:52" x14ac:dyDescent="0.25">
      <c r="A92" s="5" t="s">
        <v>52</v>
      </c>
      <c r="B92" s="5" t="s">
        <v>76</v>
      </c>
      <c r="C92" s="5" t="s">
        <v>77</v>
      </c>
      <c r="F92" s="5" t="s">
        <v>55</v>
      </c>
      <c r="G92" s="5" t="s">
        <v>61</v>
      </c>
      <c r="H92" s="5" t="s">
        <v>57</v>
      </c>
      <c r="I92" s="5">
        <v>103</v>
      </c>
      <c r="J92" s="5" t="str">
        <f>IFERROR(VLOOKUP(I92,[1]INFO_LOCALES!$B:$C,2,FALSE),"")</f>
        <v>VIVAR</v>
      </c>
      <c r="K92" s="5" t="str">
        <f>IFERROR(VLOOKUP(Tabla2[[#This Row],[TIENDA]],[1]INFO_LOCALES!$B:$D,3,FALSE),"")</f>
        <v>I - Tarapacá</v>
      </c>
      <c r="L92" s="5" t="str">
        <f>IFERROR(VLOOKUP(I92,[1]INFO_LOCALES!$B:$I,8,FALSE),"")</f>
        <v>Iquique</v>
      </c>
      <c r="M92" s="5" t="str">
        <f>IFERROR(VLOOKUP(I92,[1]INFO_LOCALES!$B:$H,7,FALSE),"")</f>
        <v>Vivar 786</v>
      </c>
      <c r="N92" s="5">
        <f>IFERROR(VLOOKUP(I92,[1]INFO_LOCALES!$B:$E,4,FALSE),"")</f>
        <v>4420</v>
      </c>
      <c r="O92" s="5" t="str">
        <f>VLOOKUP(Tabla2[[#This Row],[TIENDA]],[1]INFO_LOCALES!$B:$J,9,0)</f>
        <v>CONVENIO</v>
      </c>
      <c r="P92" s="5" t="str">
        <f>IFERROR(VLOOKUP(I92,[1]INFO_LOCALES!$B:$F,5,FALSE),"")</f>
        <v>AGUAS DEL ALTIPLANO S.A.</v>
      </c>
      <c r="Q92" s="5" t="s">
        <v>78</v>
      </c>
      <c r="R92" s="5" t="s">
        <v>58</v>
      </c>
      <c r="S92" s="6">
        <v>45595</v>
      </c>
      <c r="T92" s="5" t="s">
        <v>119</v>
      </c>
      <c r="U92" s="6">
        <v>45350</v>
      </c>
      <c r="V92" s="5" t="s">
        <v>59</v>
      </c>
      <c r="W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2" s="7">
        <f t="shared" si="3"/>
        <v>1</v>
      </c>
      <c r="Y92" s="5">
        <v>7</v>
      </c>
      <c r="Z92" s="5">
        <v>6.86</v>
      </c>
      <c r="AA92" s="5">
        <v>2</v>
      </c>
      <c r="AB92" s="5">
        <v>25.67</v>
      </c>
      <c r="AC92" s="5">
        <v>60</v>
      </c>
      <c r="AD92" s="5">
        <v>6.1</v>
      </c>
      <c r="AE92" s="5">
        <v>6.31</v>
      </c>
      <c r="AF92" s="5">
        <v>4.5</v>
      </c>
      <c r="AG92" s="5">
        <v>138</v>
      </c>
      <c r="AH92" s="5">
        <v>1.9</v>
      </c>
      <c r="AI92" s="5">
        <f t="shared" si="2"/>
        <v>57</v>
      </c>
      <c r="AZ92" s="8" t="s">
        <v>129</v>
      </c>
    </row>
    <row r="93" spans="1:52" x14ac:dyDescent="0.25">
      <c r="A93" s="5" t="s">
        <v>52</v>
      </c>
      <c r="B93" s="5" t="s">
        <v>76</v>
      </c>
      <c r="C93" s="5" t="s">
        <v>77</v>
      </c>
      <c r="F93" s="5" t="s">
        <v>55</v>
      </c>
      <c r="G93" s="5" t="s">
        <v>65</v>
      </c>
      <c r="H93" s="5" t="s">
        <v>57</v>
      </c>
      <c r="I93" s="5">
        <v>85</v>
      </c>
      <c r="J93" s="5" t="str">
        <f>IFERROR(VLOOKUP(I93,[1]INFO_LOCALES!$B:$C,2,FALSE),"")</f>
        <v>AMUNATEGUI</v>
      </c>
      <c r="K93" s="5" t="str">
        <f>IFERROR(VLOOKUP(Tabla2[[#This Row],[TIENDA]],[1]INFO_LOCALES!$B:$D,3,FALSE),"")</f>
        <v>I - Tarapacá</v>
      </c>
      <c r="L93" s="5" t="str">
        <f>IFERROR(VLOOKUP(I93,[1]INFO_LOCALES!$B:$I,8,FALSE),"")</f>
        <v>Iquique</v>
      </c>
      <c r="M93" s="5" t="str">
        <f>IFERROR(VLOOKUP(I93,[1]INFO_LOCALES!$B:$H,7,FALSE),"")</f>
        <v>Amunategui 902</v>
      </c>
      <c r="N93" s="5">
        <f>IFERROR(VLOOKUP(I93,[1]INFO_LOCALES!$B:$E,4,FALSE),"")</f>
        <v>0</v>
      </c>
      <c r="O93" s="5" t="str">
        <f>VLOOKUP(Tabla2[[#This Row],[TIENDA]],[1]INFO_LOCALES!$B:$J,9,0)</f>
        <v>CONVENIO</v>
      </c>
      <c r="P93" s="5" t="str">
        <f>IFERROR(VLOOKUP(I93,[1]INFO_LOCALES!$B:$F,5,FALSE),"")</f>
        <v>AGUAS DEL ALTIPLANO S.A.</v>
      </c>
      <c r="Q93" s="5" t="s">
        <v>78</v>
      </c>
      <c r="R93" s="5" t="s">
        <v>58</v>
      </c>
      <c r="S93" s="6">
        <v>45595</v>
      </c>
      <c r="T93" s="5" t="s">
        <v>119</v>
      </c>
      <c r="U93" s="6">
        <v>45350</v>
      </c>
      <c r="V93" s="5" t="s">
        <v>59</v>
      </c>
      <c r="W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" s="7">
        <f t="shared" si="3"/>
        <v>1</v>
      </c>
      <c r="Y93" s="5">
        <v>6</v>
      </c>
      <c r="Z93" s="5">
        <v>6.68</v>
      </c>
      <c r="AA93" s="5">
        <v>2</v>
      </c>
      <c r="AB93" s="5">
        <v>25.25</v>
      </c>
      <c r="AC93" s="5">
        <v>151</v>
      </c>
      <c r="AD93" s="5">
        <v>2.5</v>
      </c>
      <c r="AE93" s="5">
        <v>4.91</v>
      </c>
      <c r="AF93" s="5">
        <v>2.5</v>
      </c>
      <c r="AG93" s="5">
        <v>163</v>
      </c>
      <c r="AH93" s="5">
        <v>3.9</v>
      </c>
      <c r="AI93" s="5">
        <f t="shared" si="2"/>
        <v>117</v>
      </c>
      <c r="AZ93" s="8" t="s">
        <v>130</v>
      </c>
    </row>
    <row r="94" spans="1:52" x14ac:dyDescent="0.25">
      <c r="A94" s="5" t="s">
        <v>52</v>
      </c>
      <c r="B94" s="5" t="s">
        <v>93</v>
      </c>
      <c r="C94" s="5" t="s">
        <v>81</v>
      </c>
      <c r="F94" s="5" t="s">
        <v>55</v>
      </c>
      <c r="G94" s="5" t="s">
        <v>61</v>
      </c>
      <c r="H94" s="5" t="s">
        <v>57</v>
      </c>
      <c r="I94" s="5">
        <v>576</v>
      </c>
      <c r="J94" s="5" t="str">
        <f>IFERROR(VLOOKUP(I94,[1]INFO_LOCALES!$B:$C,2,FALSE),"")</f>
        <v>CASTRO I</v>
      </c>
      <c r="K94" s="5" t="str">
        <f>IFERROR(VLOOKUP(Tabla2[[#This Row],[TIENDA]],[1]INFO_LOCALES!$B:$D,3,FALSE),"")</f>
        <v>X - Los Lagos</v>
      </c>
      <c r="L94" s="5" t="str">
        <f>IFERROR(VLOOKUP(I94,[1]INFO_LOCALES!$B:$I,8,FALSE),"")</f>
        <v>Castro</v>
      </c>
      <c r="M94" s="5" t="str">
        <f>IFERROR(VLOOKUP(I94,[1]INFO_LOCALES!$B:$H,7,FALSE),"")</f>
        <v>O'Higgins 711</v>
      </c>
      <c r="N94" s="5">
        <f>IFERROR(VLOOKUP(I94,[1]INFO_LOCALES!$B:$E,4,FALSE),"")</f>
        <v>3875</v>
      </c>
      <c r="O94" s="5" t="str">
        <f>VLOOKUP(Tabla2[[#This Row],[TIENDA]],[1]INFO_LOCALES!$B:$J,9,0)</f>
        <v>SIN CONVENIO</v>
      </c>
      <c r="P94" s="5" t="str">
        <f>IFERROR(VLOOKUP(I94,[1]INFO_LOCALES!$B:$F,5,FALSE),"")</f>
        <v>SURALIS</v>
      </c>
      <c r="Q94" s="5" t="s">
        <v>105</v>
      </c>
      <c r="R94" s="5" t="s">
        <v>58</v>
      </c>
      <c r="S94" s="6">
        <v>45379</v>
      </c>
      <c r="T94" s="5" t="s">
        <v>119</v>
      </c>
      <c r="U94" s="6">
        <v>45351</v>
      </c>
      <c r="V94" s="5" t="s">
        <v>59</v>
      </c>
      <c r="W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4" s="7">
        <f t="shared" si="3"/>
        <v>2</v>
      </c>
      <c r="Y94" s="5">
        <v>92</v>
      </c>
      <c r="Z94" s="5">
        <v>7.81</v>
      </c>
      <c r="AA94" s="5">
        <v>2</v>
      </c>
      <c r="AB94" s="5">
        <v>19.3</v>
      </c>
      <c r="AC94" s="5">
        <v>459</v>
      </c>
      <c r="AD94" s="5">
        <v>12</v>
      </c>
      <c r="AE94" s="5">
        <v>26.26</v>
      </c>
      <c r="AF94" s="5">
        <v>0.6</v>
      </c>
      <c r="AG94" s="5">
        <v>433</v>
      </c>
      <c r="AH94" s="5">
        <v>5.7</v>
      </c>
      <c r="AI94" s="5">
        <f t="shared" si="2"/>
        <v>171</v>
      </c>
      <c r="AZ94" s="8" t="s">
        <v>131</v>
      </c>
    </row>
    <row r="95" spans="1:52" x14ac:dyDescent="0.25">
      <c r="A95" s="5" t="s">
        <v>52</v>
      </c>
      <c r="B95" s="5" t="s">
        <v>76</v>
      </c>
      <c r="C95" s="5" t="s">
        <v>77</v>
      </c>
      <c r="F95" s="5" t="s">
        <v>55</v>
      </c>
      <c r="G95" s="5" t="s">
        <v>56</v>
      </c>
      <c r="H95" s="5" t="s">
        <v>57</v>
      </c>
      <c r="I95" s="5">
        <v>106</v>
      </c>
      <c r="J95" s="5" t="str">
        <f>IFERROR(VLOOKUP(I95,[1]INFO_LOCALES!$B:$C,2,FALSE),"")</f>
        <v>LOS MOLLES</v>
      </c>
      <c r="K95" s="5" t="str">
        <f>IFERROR(VLOOKUP(Tabla2[[#This Row],[TIENDA]],[1]INFO_LOCALES!$B:$D,3,FALSE),"")</f>
        <v>I - Tarapacá</v>
      </c>
      <c r="L95" s="5" t="str">
        <f>IFERROR(VLOOKUP(I95,[1]INFO_LOCALES!$B:$I,8,FALSE),"")</f>
        <v>Iquique</v>
      </c>
      <c r="M95" s="5" t="str">
        <f>IFERROR(VLOOKUP(I95,[1]INFO_LOCALES!$B:$H,7,FALSE),"")</f>
        <v>Santiago Polanco 2251</v>
      </c>
      <c r="N95" s="5">
        <f>IFERROR(VLOOKUP(I95,[1]INFO_LOCALES!$B:$E,4,FALSE),"")</f>
        <v>4050</v>
      </c>
      <c r="O95" s="5" t="str">
        <f>VLOOKUP(Tabla2[[#This Row],[TIENDA]],[1]INFO_LOCALES!$B:$J,9,0)</f>
        <v>CONVENIO</v>
      </c>
      <c r="P95" s="5" t="str">
        <f>IFERROR(VLOOKUP(I95,[1]INFO_LOCALES!$B:$F,5,FALSE),"")</f>
        <v>AGUAS DEL ALTIPLANO S.A.</v>
      </c>
      <c r="Q95" s="5" t="s">
        <v>78</v>
      </c>
      <c r="R95" s="5" t="s">
        <v>58</v>
      </c>
      <c r="S95" s="6">
        <v>45443</v>
      </c>
      <c r="T95" s="5" t="s">
        <v>132</v>
      </c>
      <c r="U95" s="6">
        <v>45355</v>
      </c>
      <c r="V95" s="5" t="s">
        <v>59</v>
      </c>
      <c r="W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95" s="7">
        <f t="shared" si="3"/>
        <v>3</v>
      </c>
      <c r="Y95" s="5">
        <v>7</v>
      </c>
      <c r="Z95" s="5">
        <v>6.56</v>
      </c>
      <c r="AA95" s="5">
        <v>20</v>
      </c>
      <c r="AB95" s="5">
        <v>23.58</v>
      </c>
      <c r="AC95" s="5">
        <v>647</v>
      </c>
      <c r="AD95" s="5">
        <v>6</v>
      </c>
      <c r="AE95" s="5">
        <v>26.05</v>
      </c>
      <c r="AF95" s="5">
        <v>1</v>
      </c>
      <c r="AG95" s="5">
        <v>137</v>
      </c>
      <c r="AH95" s="5">
        <v>3.1</v>
      </c>
      <c r="AI95" s="5">
        <f t="shared" si="2"/>
        <v>93</v>
      </c>
      <c r="AZ95" s="8" t="s">
        <v>133</v>
      </c>
    </row>
    <row r="96" spans="1:52" x14ac:dyDescent="0.25">
      <c r="A96" s="5" t="s">
        <v>52</v>
      </c>
      <c r="B96" s="5" t="s">
        <v>76</v>
      </c>
      <c r="C96" s="5" t="s">
        <v>77</v>
      </c>
      <c r="F96" s="5" t="s">
        <v>55</v>
      </c>
      <c r="G96" s="5" t="s">
        <v>56</v>
      </c>
      <c r="H96" s="5" t="s">
        <v>57</v>
      </c>
      <c r="I96" s="5">
        <v>86</v>
      </c>
      <c r="J96" s="5" t="str">
        <f>IFERROR(VLOOKUP(I96,[1]INFO_LOCALES!$B:$C,2,FALSE),"")</f>
        <v>BILBAO</v>
      </c>
      <c r="K96" s="5" t="str">
        <f>IFERROR(VLOOKUP(Tabla2[[#This Row],[TIENDA]],[1]INFO_LOCALES!$B:$D,3,FALSE),"")</f>
        <v>I - Tarapacá</v>
      </c>
      <c r="L96" s="5" t="str">
        <f>IFERROR(VLOOKUP(I96,[1]INFO_LOCALES!$B:$I,8,FALSE),"")</f>
        <v>Iquique</v>
      </c>
      <c r="M96" s="5" t="str">
        <f>IFERROR(VLOOKUP(I96,[1]INFO_LOCALES!$B:$H,7,FALSE),"")</f>
        <v>Fco.Bilbao 3545</v>
      </c>
      <c r="N96" s="5">
        <f>IFERROR(VLOOKUP(I96,[1]INFO_LOCALES!$B:$E,4,FALSE),"")</f>
        <v>4049</v>
      </c>
      <c r="O96" s="5" t="str">
        <f>VLOOKUP(Tabla2[[#This Row],[TIENDA]],[1]INFO_LOCALES!$B:$J,9,0)</f>
        <v>CONVENIO</v>
      </c>
      <c r="P96" s="5" t="str">
        <f>IFERROR(VLOOKUP(I96,[1]INFO_LOCALES!$B:$F,5,FALSE),"")</f>
        <v>AGUAS DEL ALTIPLANO S.A.</v>
      </c>
      <c r="Q96" s="5" t="s">
        <v>78</v>
      </c>
      <c r="R96" s="5" t="s">
        <v>58</v>
      </c>
      <c r="S96" s="6">
        <v>45595</v>
      </c>
      <c r="T96" s="5" t="s">
        <v>132</v>
      </c>
      <c r="U96" s="6">
        <v>45355</v>
      </c>
      <c r="V96" s="5" t="s">
        <v>59</v>
      </c>
      <c r="W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96" s="7">
        <f t="shared" si="3"/>
        <v>3</v>
      </c>
      <c r="Y96" s="5">
        <v>9</v>
      </c>
      <c r="Z96" s="5">
        <v>7.16</v>
      </c>
      <c r="AA96" s="5">
        <v>5</v>
      </c>
      <c r="AB96" s="5">
        <v>29.14</v>
      </c>
      <c r="AC96" s="5">
        <v>659</v>
      </c>
      <c r="AD96" s="5">
        <v>6.7</v>
      </c>
      <c r="AE96" s="5">
        <v>13.18</v>
      </c>
      <c r="AF96" s="5">
        <v>1</v>
      </c>
      <c r="AG96" s="5">
        <v>148</v>
      </c>
      <c r="AH96" s="5">
        <v>12.8</v>
      </c>
      <c r="AI96" s="5">
        <f t="shared" si="2"/>
        <v>384</v>
      </c>
      <c r="AZ96" s="8" t="s">
        <v>134</v>
      </c>
    </row>
    <row r="97" spans="1:52" x14ac:dyDescent="0.25">
      <c r="A97" s="5" t="s">
        <v>52</v>
      </c>
      <c r="B97" s="5" t="s">
        <v>82</v>
      </c>
      <c r="C97" s="5" t="s">
        <v>77</v>
      </c>
      <c r="F97" s="5" t="s">
        <v>55</v>
      </c>
      <c r="G97" s="5" t="s">
        <v>61</v>
      </c>
      <c r="H97" s="5" t="s">
        <v>57</v>
      </c>
      <c r="I97" s="5">
        <v>22</v>
      </c>
      <c r="J97" s="5" t="str">
        <f>IFERROR(VLOOKUP(I97,[1]INFO_LOCALES!$B:$C,2,FALSE),"")</f>
        <v>ATACAMA</v>
      </c>
      <c r="K97" s="5" t="str">
        <f>IFERROR(VLOOKUP(Tabla2[[#This Row],[TIENDA]],[1]INFO_LOCALES!$B:$D,3,FALSE),"")</f>
        <v>III - Atacama</v>
      </c>
      <c r="L97" s="5" t="str">
        <f>IFERROR(VLOOKUP(I97,[1]INFO_LOCALES!$B:$I,8,FALSE),"")</f>
        <v>Copiapó</v>
      </c>
      <c r="M97" s="5" t="str">
        <f>IFERROR(VLOOKUP(I97,[1]INFO_LOCALES!$B:$H,7,FALSE),"")</f>
        <v>Los Carreras 2242</v>
      </c>
      <c r="N97" s="5">
        <f>IFERROR(VLOOKUP(I97,[1]INFO_LOCALES!$B:$E,4,FALSE),"")</f>
        <v>2666</v>
      </c>
      <c r="O97" s="5" t="str">
        <f>VLOOKUP(Tabla2[[#This Row],[TIENDA]],[1]INFO_LOCALES!$B:$J,9,0)</f>
        <v>CONVENIO</v>
      </c>
      <c r="P97" s="5" t="str">
        <f>IFERROR(VLOOKUP(I97,[1]INFO_LOCALES!$B:$F,5,FALSE),"")</f>
        <v>NUEVA ATACAMA</v>
      </c>
      <c r="Q97" s="5" t="s">
        <v>85</v>
      </c>
      <c r="R97" s="5" t="s">
        <v>86</v>
      </c>
      <c r="S97" s="6" t="s">
        <v>87</v>
      </c>
      <c r="T97" s="5" t="s">
        <v>132</v>
      </c>
      <c r="U97" s="6">
        <v>45362</v>
      </c>
      <c r="V97" s="5" t="s">
        <v>118</v>
      </c>
      <c r="W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7" s="7">
        <f t="shared" si="3"/>
        <v>2</v>
      </c>
      <c r="Y97" s="5">
        <v>13.4</v>
      </c>
      <c r="Z97" s="5">
        <v>7.7</v>
      </c>
      <c r="AA97" s="5">
        <v>10</v>
      </c>
      <c r="AB97" s="5">
        <v>24.1</v>
      </c>
      <c r="AC97" s="5">
        <v>481</v>
      </c>
      <c r="AD97" s="5">
        <v>13.4</v>
      </c>
      <c r="AE97" s="5">
        <v>67</v>
      </c>
      <c r="AF97" s="5">
        <v>1.5</v>
      </c>
      <c r="AG97" s="5">
        <v>142</v>
      </c>
      <c r="AH97" s="5">
        <v>12.2</v>
      </c>
      <c r="AI97" s="5">
        <f t="shared" ref="AI97:AI160" si="4">AH97*30</f>
        <v>366</v>
      </c>
      <c r="AJ97" s="5">
        <v>0.68689999999999996</v>
      </c>
      <c r="AK97" s="5">
        <v>3.0000000000000001E-3</v>
      </c>
      <c r="AL97" s="5">
        <v>1.8409</v>
      </c>
      <c r="AM97" s="5">
        <v>0.01</v>
      </c>
      <c r="AN97" s="5">
        <v>0.1</v>
      </c>
      <c r="AO97" s="5">
        <v>0.30790000000000001</v>
      </c>
      <c r="AP97" s="5">
        <v>9.8900000000000002E-2</v>
      </c>
      <c r="AQ97" s="5">
        <v>0.05</v>
      </c>
      <c r="AR97" s="5">
        <v>0.05</v>
      </c>
      <c r="AS97" s="5">
        <v>10</v>
      </c>
      <c r="AT97" s="5">
        <v>5.79E-2</v>
      </c>
      <c r="AU97" s="5">
        <v>1E-3</v>
      </c>
      <c r="AV97" s="5">
        <v>0.05</v>
      </c>
      <c r="AW97" s="5">
        <v>0.05</v>
      </c>
      <c r="AX97" s="5">
        <v>234</v>
      </c>
      <c r="AY97" s="5">
        <v>3.93</v>
      </c>
    </row>
    <row r="98" spans="1:52" x14ac:dyDescent="0.25">
      <c r="A98" s="5" t="s">
        <v>52</v>
      </c>
      <c r="B98" s="5" t="s">
        <v>74</v>
      </c>
      <c r="C98" s="5" t="s">
        <v>74</v>
      </c>
      <c r="F98" s="5" t="s">
        <v>55</v>
      </c>
      <c r="G98" s="5" t="s">
        <v>61</v>
      </c>
      <c r="H98" s="5" t="s">
        <v>57</v>
      </c>
      <c r="I98" s="5">
        <v>465</v>
      </c>
      <c r="J98" s="5" t="str">
        <f>IFERROR(VLOOKUP(I98,[1]INFO_LOCALES!$B:$C,2,FALSE),"")</f>
        <v>PUERTO NATALES</v>
      </c>
      <c r="K98" s="5" t="str">
        <f>IFERROR(VLOOKUP(Tabla2[[#This Row],[TIENDA]],[1]INFO_LOCALES!$B:$D,3,FALSE),"")</f>
        <v>XII - Magallanes</v>
      </c>
      <c r="L98" s="5" t="str">
        <f>IFERROR(VLOOKUP(I98,[1]INFO_LOCALES!$B:$I,8,FALSE),"")</f>
        <v>Puerto Natales</v>
      </c>
      <c r="M98" s="5" t="str">
        <f>IFERROR(VLOOKUP(I98,[1]INFO_LOCALES!$B:$H,7,FALSE),"")</f>
        <v>Bulnes 742</v>
      </c>
      <c r="N98" s="5">
        <f>IFERROR(VLOOKUP(I98,[1]INFO_LOCALES!$B:$E,4,FALSE),"")</f>
        <v>1133</v>
      </c>
      <c r="O98" s="5" t="str">
        <f>VLOOKUP(Tabla2[[#This Row],[TIENDA]],[1]INFO_LOCALES!$B:$J,9,0)</f>
        <v>SIN CONVENIO</v>
      </c>
      <c r="P98" s="5" t="str">
        <f>IFERROR(VLOOKUP(I98,[1]INFO_LOCALES!$B:$F,5,FALSE),"")</f>
        <v>AGUAS MAGALLANES S.A.</v>
      </c>
      <c r="Q98" s="5" t="s">
        <v>71</v>
      </c>
      <c r="R98" s="5" t="s">
        <v>86</v>
      </c>
      <c r="S98" s="6" t="s">
        <v>87</v>
      </c>
      <c r="T98" s="5" t="s">
        <v>132</v>
      </c>
      <c r="U98" s="6">
        <v>45362</v>
      </c>
      <c r="V98" s="5" t="s">
        <v>135</v>
      </c>
      <c r="W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8" s="7">
        <f t="shared" si="3"/>
        <v>1</v>
      </c>
      <c r="AH98" s="5">
        <v>44</v>
      </c>
      <c r="AI98" s="5">
        <f t="shared" si="4"/>
        <v>1320</v>
      </c>
    </row>
    <row r="99" spans="1:52" x14ac:dyDescent="0.25">
      <c r="A99" s="5" t="s">
        <v>52</v>
      </c>
      <c r="B99" s="5" t="s">
        <v>76</v>
      </c>
      <c r="C99" s="5" t="s">
        <v>77</v>
      </c>
      <c r="F99" s="5" t="s">
        <v>55</v>
      </c>
      <c r="G99" s="5" t="s">
        <v>61</v>
      </c>
      <c r="H99" s="5" t="s">
        <v>57</v>
      </c>
      <c r="I99" s="5">
        <v>86</v>
      </c>
      <c r="J99" s="5" t="str">
        <f>IFERROR(VLOOKUP(I99,[1]INFO_LOCALES!$B:$C,2,FALSE),"")</f>
        <v>BILBAO</v>
      </c>
      <c r="K99" s="5" t="str">
        <f>IFERROR(VLOOKUP(Tabla2[[#This Row],[TIENDA]],[1]INFO_LOCALES!$B:$D,3,FALSE),"")</f>
        <v>I - Tarapacá</v>
      </c>
      <c r="L99" s="5" t="str">
        <f>IFERROR(VLOOKUP(I99,[1]INFO_LOCALES!$B:$I,8,FALSE),"")</f>
        <v>Iquique</v>
      </c>
      <c r="M99" s="5" t="str">
        <f>IFERROR(VLOOKUP(I99,[1]INFO_LOCALES!$B:$H,7,FALSE),"")</f>
        <v>Fco.Bilbao 3545</v>
      </c>
      <c r="N99" s="5">
        <f>IFERROR(VLOOKUP(I99,[1]INFO_LOCALES!$B:$E,4,FALSE),"")</f>
        <v>4049</v>
      </c>
      <c r="O99" s="5" t="str">
        <f>VLOOKUP(Tabla2[[#This Row],[TIENDA]],[1]INFO_LOCALES!$B:$J,9,0)</f>
        <v>CONVENIO</v>
      </c>
      <c r="P99" s="5" t="str">
        <f>IFERROR(VLOOKUP(I99,[1]INFO_LOCALES!$B:$F,5,FALSE),"")</f>
        <v>AGUAS DEL ALTIPLANO S.A.</v>
      </c>
      <c r="Q99" s="5" t="s">
        <v>78</v>
      </c>
      <c r="R99" s="5" t="s">
        <v>58</v>
      </c>
      <c r="S99" s="6">
        <v>45595</v>
      </c>
      <c r="T99" s="5" t="s">
        <v>132</v>
      </c>
      <c r="U99" s="6">
        <v>45362</v>
      </c>
      <c r="V99" s="5" t="s">
        <v>59</v>
      </c>
      <c r="W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9" s="7">
        <f t="shared" si="3"/>
        <v>2</v>
      </c>
      <c r="Y99" s="5">
        <v>3</v>
      </c>
      <c r="Z99" s="5">
        <v>6.96</v>
      </c>
      <c r="AA99" s="5">
        <v>3</v>
      </c>
      <c r="AB99" s="5">
        <v>26.14</v>
      </c>
      <c r="AC99" s="5">
        <v>385</v>
      </c>
      <c r="AD99" s="5">
        <v>8.8000000000000007</v>
      </c>
      <c r="AE99" s="5">
        <v>15.52</v>
      </c>
      <c r="AF99" s="5">
        <v>1.5</v>
      </c>
      <c r="AG99" s="5">
        <v>70</v>
      </c>
      <c r="AH99" s="5">
        <v>38.5</v>
      </c>
      <c r="AI99" s="5">
        <f t="shared" si="4"/>
        <v>1155</v>
      </c>
      <c r="AZ99" s="8" t="s">
        <v>136</v>
      </c>
    </row>
    <row r="100" spans="1:52" x14ac:dyDescent="0.25">
      <c r="A100" s="5" t="s">
        <v>52</v>
      </c>
      <c r="B100" s="5" t="s">
        <v>74</v>
      </c>
      <c r="C100" s="5" t="s">
        <v>74</v>
      </c>
      <c r="F100" s="5" t="s">
        <v>55</v>
      </c>
      <c r="G100" s="5" t="s">
        <v>61</v>
      </c>
      <c r="H100" s="5" t="s">
        <v>57</v>
      </c>
      <c r="I100" s="5">
        <v>459</v>
      </c>
      <c r="J100" s="5" t="str">
        <f>IFERROR(VLOOKUP(I100,[1]INFO_LOCALES!$B:$C,2,FALSE),"")</f>
        <v>ALLENDE AUSTRAL</v>
      </c>
      <c r="K100" s="5" t="str">
        <f>IFERROR(VLOOKUP(Tabla2[[#This Row],[TIENDA]],[1]INFO_LOCALES!$B:$D,3,FALSE),"")</f>
        <v>XII - Magallanes</v>
      </c>
      <c r="L100" s="5" t="str">
        <f>IFERROR(VLOOKUP(I100,[1]INFO_LOCALES!$B:$I,8,FALSE),"")</f>
        <v>Punta Arenas</v>
      </c>
      <c r="M100" s="5" t="str">
        <f>IFERROR(VLOOKUP(I100,[1]INFO_LOCALES!$B:$H,7,FALSE),"")</f>
        <v>Salvador Allende 0399</v>
      </c>
      <c r="N100" s="5">
        <f>IFERROR(VLOOKUP(I100,[1]INFO_LOCALES!$B:$E,4,FALSE),"")</f>
        <v>3735</v>
      </c>
      <c r="O100" s="5" t="str">
        <f>VLOOKUP(Tabla2[[#This Row],[TIENDA]],[1]INFO_LOCALES!$B:$J,9,0)</f>
        <v>SIN CONVENIO</v>
      </c>
      <c r="P100" s="5" t="str">
        <f>IFERROR(VLOOKUP(I100,[1]INFO_LOCALES!$B:$F,5,FALSE),"")</f>
        <v>AGUAS MAGALLANES S.A.</v>
      </c>
      <c r="Q100" s="5" t="s">
        <v>71</v>
      </c>
      <c r="R100" s="5" t="s">
        <v>86</v>
      </c>
      <c r="S100" s="6" t="s">
        <v>87</v>
      </c>
      <c r="T100" s="5" t="s">
        <v>132</v>
      </c>
      <c r="U100" s="6">
        <v>45363</v>
      </c>
      <c r="V100" s="5" t="s">
        <v>59</v>
      </c>
      <c r="W1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" s="7">
        <f t="shared" si="3"/>
        <v>1</v>
      </c>
      <c r="Y100" s="5">
        <v>6.59</v>
      </c>
      <c r="Z100" s="5">
        <v>6.19</v>
      </c>
      <c r="AA100" s="5">
        <v>2</v>
      </c>
      <c r="AB100" s="5">
        <v>9.3000000000000007</v>
      </c>
      <c r="AC100" s="5">
        <v>239</v>
      </c>
      <c r="AD100" s="5">
        <v>5.4</v>
      </c>
      <c r="AE100" s="5">
        <v>5.42</v>
      </c>
      <c r="AF100" s="5">
        <v>0.1</v>
      </c>
      <c r="AG100" s="5">
        <v>83</v>
      </c>
      <c r="AH100" s="5">
        <v>4.84</v>
      </c>
      <c r="AI100" s="5">
        <f t="shared" si="4"/>
        <v>145.19999999999999</v>
      </c>
    </row>
    <row r="101" spans="1:52" x14ac:dyDescent="0.25">
      <c r="A101" s="5" t="s">
        <v>52</v>
      </c>
      <c r="B101" s="5" t="s">
        <v>76</v>
      </c>
      <c r="C101" s="5" t="s">
        <v>77</v>
      </c>
      <c r="F101" s="5" t="s">
        <v>55</v>
      </c>
      <c r="G101" s="5" t="s">
        <v>65</v>
      </c>
      <c r="H101" s="5" t="s">
        <v>57</v>
      </c>
      <c r="I101" s="5">
        <v>87</v>
      </c>
      <c r="J101" s="5" t="str">
        <f>IFERROR(VLOOKUP(I101,[1]INFO_LOCALES!$B:$C,2,FALSE),"")</f>
        <v>JUAN MARTINEZ</v>
      </c>
      <c r="K101" s="5" t="str">
        <f>IFERROR(VLOOKUP(Tabla2[[#This Row],[TIENDA]],[1]INFO_LOCALES!$B:$D,3,FALSE),"")</f>
        <v>I - Tarapacá</v>
      </c>
      <c r="L101" s="5" t="str">
        <f>IFERROR(VLOOKUP(I101,[1]INFO_LOCALES!$B:$I,8,FALSE),"")</f>
        <v>Iquique</v>
      </c>
      <c r="M101" s="5" t="str">
        <f>IFERROR(VLOOKUP(I101,[1]INFO_LOCALES!$B:$H,7,FALSE),"")</f>
        <v>M. Rodriguez 964</v>
      </c>
      <c r="N101" s="5">
        <f>IFERROR(VLOOKUP(I101,[1]INFO_LOCALES!$B:$E,4,FALSE),"")</f>
        <v>0</v>
      </c>
      <c r="O101" s="5" t="str">
        <f>VLOOKUP(Tabla2[[#This Row],[TIENDA]],[1]INFO_LOCALES!$B:$J,9,0)</f>
        <v>CONVENIO</v>
      </c>
      <c r="P101" s="5" t="str">
        <f>IFERROR(VLOOKUP(I101,[1]INFO_LOCALES!$B:$F,5,FALSE),"")</f>
        <v>AGUAS DEL ALTIPLANO S.A.</v>
      </c>
      <c r="Q101" s="5" t="s">
        <v>78</v>
      </c>
      <c r="R101" s="5" t="s">
        <v>58</v>
      </c>
      <c r="S101" s="6">
        <v>45443</v>
      </c>
      <c r="T101" s="5" t="s">
        <v>132</v>
      </c>
      <c r="U101" s="6">
        <v>45363</v>
      </c>
      <c r="V101" s="5" t="s">
        <v>59</v>
      </c>
      <c r="W1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01" s="7">
        <f t="shared" si="3"/>
        <v>2</v>
      </c>
      <c r="Y101" s="5">
        <v>9</v>
      </c>
      <c r="Z101" s="5">
        <v>6.76</v>
      </c>
      <c r="AA101" s="5">
        <v>10</v>
      </c>
      <c r="AB101" s="5">
        <v>23.22</v>
      </c>
      <c r="AC101" s="5">
        <v>566</v>
      </c>
      <c r="AD101" s="5">
        <v>12.4</v>
      </c>
      <c r="AE101" s="5">
        <v>25.9</v>
      </c>
      <c r="AF101" s="5">
        <v>6.5</v>
      </c>
      <c r="AG101" s="5">
        <v>258</v>
      </c>
      <c r="AH101" s="5">
        <v>12</v>
      </c>
      <c r="AI101" s="5">
        <f t="shared" si="4"/>
        <v>360</v>
      </c>
      <c r="AZ101" s="8" t="s">
        <v>137</v>
      </c>
    </row>
    <row r="102" spans="1:52" x14ac:dyDescent="0.25">
      <c r="A102" s="5" t="s">
        <v>52</v>
      </c>
      <c r="B102" s="5" t="s">
        <v>76</v>
      </c>
      <c r="C102" s="5" t="s">
        <v>77</v>
      </c>
      <c r="F102" s="5" t="s">
        <v>55</v>
      </c>
      <c r="G102" s="5" t="s">
        <v>65</v>
      </c>
      <c r="H102" s="5" t="s">
        <v>57</v>
      </c>
      <c r="I102" s="5">
        <v>85</v>
      </c>
      <c r="J102" s="5" t="str">
        <f>IFERROR(VLOOKUP(I102,[1]INFO_LOCALES!$B:$C,2,FALSE),"")</f>
        <v>AMUNATEGUI</v>
      </c>
      <c r="K102" s="5" t="str">
        <f>IFERROR(VLOOKUP(Tabla2[[#This Row],[TIENDA]],[1]INFO_LOCALES!$B:$D,3,FALSE),"")</f>
        <v>I - Tarapacá</v>
      </c>
      <c r="L102" s="5" t="str">
        <f>IFERROR(VLOOKUP(I102,[1]INFO_LOCALES!$B:$I,8,FALSE),"")</f>
        <v>Iquique</v>
      </c>
      <c r="M102" s="5" t="str">
        <f>IFERROR(VLOOKUP(I102,[1]INFO_LOCALES!$B:$H,7,FALSE),"")</f>
        <v>Amunategui 902</v>
      </c>
      <c r="N102" s="5">
        <f>IFERROR(VLOOKUP(I102,[1]INFO_LOCALES!$B:$E,4,FALSE),"")</f>
        <v>0</v>
      </c>
      <c r="O102" s="5" t="str">
        <f>VLOOKUP(Tabla2[[#This Row],[TIENDA]],[1]INFO_LOCALES!$B:$J,9,0)</f>
        <v>CONVENIO</v>
      </c>
      <c r="P102" s="5" t="str">
        <f>IFERROR(VLOOKUP(I102,[1]INFO_LOCALES!$B:$F,5,FALSE),"")</f>
        <v>AGUAS DEL ALTIPLANO S.A.</v>
      </c>
      <c r="Q102" s="5" t="s">
        <v>78</v>
      </c>
      <c r="R102" s="5" t="s">
        <v>58</v>
      </c>
      <c r="S102" s="6">
        <v>45595</v>
      </c>
      <c r="T102" s="5" t="s">
        <v>132</v>
      </c>
      <c r="U102" s="6">
        <v>45363</v>
      </c>
      <c r="V102" s="5" t="s">
        <v>59</v>
      </c>
      <c r="W1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" s="7">
        <f t="shared" si="3"/>
        <v>1</v>
      </c>
      <c r="Y102" s="5">
        <v>8</v>
      </c>
      <c r="Z102" s="5">
        <v>7.06</v>
      </c>
      <c r="AA102" s="5">
        <v>3</v>
      </c>
      <c r="AB102" s="5">
        <v>23.69</v>
      </c>
      <c r="AC102" s="5">
        <v>117</v>
      </c>
      <c r="AD102" s="5">
        <v>3.3</v>
      </c>
      <c r="AE102" s="5">
        <v>61.31</v>
      </c>
      <c r="AF102" s="5">
        <v>1.3</v>
      </c>
      <c r="AG102" s="5">
        <v>118</v>
      </c>
      <c r="AH102" s="5">
        <v>2.9</v>
      </c>
      <c r="AI102" s="5">
        <f t="shared" si="4"/>
        <v>87</v>
      </c>
      <c r="AZ102" s="8" t="s">
        <v>138</v>
      </c>
    </row>
    <row r="103" spans="1:52" x14ac:dyDescent="0.25">
      <c r="A103" s="5" t="s">
        <v>52</v>
      </c>
      <c r="B103" s="5" t="s">
        <v>82</v>
      </c>
      <c r="C103" s="5" t="s">
        <v>77</v>
      </c>
      <c r="F103" s="5" t="s">
        <v>55</v>
      </c>
      <c r="G103" s="5" t="s">
        <v>61</v>
      </c>
      <c r="H103" s="5" t="s">
        <v>57</v>
      </c>
      <c r="I103" s="5">
        <v>25</v>
      </c>
      <c r="J103" s="5" t="str">
        <f>IFERROR(VLOOKUP(I103,[1]INFO_LOCALES!$B:$C,2,FALSE),"")</f>
        <v>EL PALOMAR</v>
      </c>
      <c r="K103" s="5" t="str">
        <f>IFERROR(VLOOKUP(Tabla2[[#This Row],[TIENDA]],[1]INFO_LOCALES!$B:$D,3,FALSE),"")</f>
        <v>III - Atacama</v>
      </c>
      <c r="L103" s="5" t="str">
        <f>IFERROR(VLOOKUP(I103,[1]INFO_LOCALES!$B:$I,8,FALSE),"")</f>
        <v>Copiapó</v>
      </c>
      <c r="M103" s="5" t="str">
        <f>IFERROR(VLOOKUP(I103,[1]INFO_LOCALES!$B:$H,7,FALSE),"")</f>
        <v>Av. Palomar 1525</v>
      </c>
      <c r="N103" s="5">
        <f>IFERROR(VLOOKUP(I103,[1]INFO_LOCALES!$B:$E,4,FALSE),"")</f>
        <v>3868</v>
      </c>
      <c r="O103" s="5" t="str">
        <f>VLOOKUP(Tabla2[[#This Row],[TIENDA]],[1]INFO_LOCALES!$B:$J,9,0)</f>
        <v>TERMINADO</v>
      </c>
      <c r="P103" s="5" t="str">
        <f>IFERROR(VLOOKUP(I103,[1]INFO_LOCALES!$B:$F,5,FALSE),"")</f>
        <v>NUEVA ATACAMA</v>
      </c>
      <c r="Q103" s="5" t="s">
        <v>85</v>
      </c>
      <c r="R103" s="5" t="s">
        <v>86</v>
      </c>
      <c r="S103" s="6" t="s">
        <v>87</v>
      </c>
      <c r="T103" s="5" t="s">
        <v>132</v>
      </c>
      <c r="U103" s="6">
        <v>45364</v>
      </c>
      <c r="V103" s="5" t="s">
        <v>118</v>
      </c>
      <c r="W1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03" s="7">
        <f t="shared" si="3"/>
        <v>2</v>
      </c>
      <c r="Y103" s="5">
        <v>123</v>
      </c>
      <c r="Z103" s="5">
        <v>7.08</v>
      </c>
      <c r="AA103" s="5">
        <v>2</v>
      </c>
      <c r="AB103" s="5">
        <v>24.7</v>
      </c>
      <c r="AC103" s="5">
        <v>223</v>
      </c>
      <c r="AD103" s="5">
        <v>7.2</v>
      </c>
      <c r="AE103" s="5">
        <v>78</v>
      </c>
      <c r="AF103" s="5">
        <v>3</v>
      </c>
      <c r="AG103" s="5">
        <v>88</v>
      </c>
      <c r="AH103" s="5">
        <v>17.2</v>
      </c>
      <c r="AI103" s="5">
        <f t="shared" si="4"/>
        <v>516</v>
      </c>
      <c r="AJ103" s="5">
        <v>0.97619999999999996</v>
      </c>
      <c r="AK103" s="5">
        <v>4.0000000000000001E-3</v>
      </c>
      <c r="AL103" s="5">
        <v>1.5684</v>
      </c>
      <c r="AM103" s="5">
        <v>0.01</v>
      </c>
      <c r="AN103" s="5">
        <v>0.1</v>
      </c>
      <c r="AO103" s="5">
        <v>0.5655</v>
      </c>
      <c r="AP103" s="5">
        <v>0.1081</v>
      </c>
      <c r="AQ103" s="5">
        <v>0.05</v>
      </c>
      <c r="AR103" s="5">
        <v>0.05</v>
      </c>
      <c r="AS103" s="5">
        <v>21.5</v>
      </c>
      <c r="AT103" s="5">
        <v>6.5699999999999995E-2</v>
      </c>
      <c r="AU103" s="5">
        <v>1E-3</v>
      </c>
      <c r="AV103" s="5">
        <v>0.05</v>
      </c>
      <c r="AW103" s="5">
        <v>0.05</v>
      </c>
      <c r="AX103" s="5">
        <v>155</v>
      </c>
      <c r="AY103" s="5">
        <v>1.48</v>
      </c>
    </row>
    <row r="104" spans="1:52" x14ac:dyDescent="0.25">
      <c r="A104" s="5" t="s">
        <v>52</v>
      </c>
      <c r="B104" s="5" t="s">
        <v>90</v>
      </c>
      <c r="C104" s="5" t="s">
        <v>81</v>
      </c>
      <c r="F104" s="5" t="s">
        <v>55</v>
      </c>
      <c r="G104" s="5" t="s">
        <v>61</v>
      </c>
      <c r="H104" s="5" t="s">
        <v>57</v>
      </c>
      <c r="I104" s="5">
        <v>777</v>
      </c>
      <c r="J104" s="5" t="str">
        <f>IFERROR(VLOOKUP(I104,[1]INFO_LOCALES!$B:$C,2,FALSE),"")</f>
        <v>CENTRAL</v>
      </c>
      <c r="K104" s="5" t="str">
        <f>IFERROR(VLOOKUP(Tabla2[[#This Row],[TIENDA]],[1]INFO_LOCALES!$B:$D,3,FALSE),"")</f>
        <v>X - Los Lagos</v>
      </c>
      <c r="L104" s="5" t="str">
        <f>IFERROR(VLOOKUP(I104,[1]INFO_LOCALES!$B:$I,8,FALSE),"")</f>
        <v>Osorno</v>
      </c>
      <c r="M104" s="5" t="str">
        <f>IFERROR(VLOOKUP(I104,[1]INFO_LOCALES!$B:$H,7,FALSE),"")</f>
        <v>Patricio Lynch 1278</v>
      </c>
      <c r="N104" s="5">
        <f>IFERROR(VLOOKUP(I104,[1]INFO_LOCALES!$B:$E,4,FALSE),"")</f>
        <v>3684</v>
      </c>
      <c r="O104" s="5" t="str">
        <f>VLOOKUP(Tabla2[[#This Row],[TIENDA]],[1]INFO_LOCALES!$B:$J,9,0)</f>
        <v>CONVENIO</v>
      </c>
      <c r="P104" s="5" t="str">
        <f>IFERROR(VLOOKUP(I104,[1]INFO_LOCALES!$B:$F,5,FALSE),"")</f>
        <v>SURALIS</v>
      </c>
      <c r="Q104" s="5" t="s">
        <v>105</v>
      </c>
      <c r="R104" s="5" t="s">
        <v>58</v>
      </c>
      <c r="S104" s="6">
        <v>45412</v>
      </c>
      <c r="T104" s="5" t="s">
        <v>132</v>
      </c>
      <c r="U104" s="6">
        <v>45364</v>
      </c>
      <c r="V104" s="5" t="s">
        <v>59</v>
      </c>
      <c r="W1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" s="7">
        <f t="shared" si="3"/>
        <v>1</v>
      </c>
      <c r="Y104" s="5">
        <v>14</v>
      </c>
      <c r="Z104" s="5">
        <v>7.66</v>
      </c>
      <c r="AA104" s="5">
        <v>3</v>
      </c>
      <c r="AB104" s="5">
        <v>16.2</v>
      </c>
      <c r="AC104" s="5">
        <v>246</v>
      </c>
      <c r="AD104" s="5">
        <v>10.199999999999999</v>
      </c>
      <c r="AE104" s="5">
        <v>1.86</v>
      </c>
      <c r="AF104" s="5">
        <v>3</v>
      </c>
      <c r="AG104" s="5">
        <v>48</v>
      </c>
      <c r="AH104" s="5">
        <v>2.2000000000000002</v>
      </c>
      <c r="AI104" s="5">
        <f t="shared" si="4"/>
        <v>66</v>
      </c>
      <c r="AZ104" s="8" t="s">
        <v>139</v>
      </c>
    </row>
    <row r="105" spans="1:52" x14ac:dyDescent="0.25">
      <c r="A105" s="5" t="s">
        <v>52</v>
      </c>
      <c r="B105" s="5" t="s">
        <v>140</v>
      </c>
      <c r="C105" s="5" t="s">
        <v>70</v>
      </c>
      <c r="F105" s="5" t="s">
        <v>55</v>
      </c>
      <c r="G105" s="5" t="s">
        <v>61</v>
      </c>
      <c r="H105" s="5" t="s">
        <v>57</v>
      </c>
      <c r="I105" s="5">
        <v>903</v>
      </c>
      <c r="J105" s="5" t="str">
        <f>IFERROR(VLOOKUP(I105,[1]INFO_LOCALES!$B:$C,2,FALSE),"")</f>
        <v>HUECHURABA FONTOVA</v>
      </c>
      <c r="K105" s="5" t="str">
        <f>IFERROR(VLOOKUP(Tabla2[[#This Row],[TIENDA]],[1]INFO_LOCALES!$B:$D,3,FALSE),"")</f>
        <v>RM - Santiago</v>
      </c>
      <c r="L105" s="5" t="str">
        <f>IFERROR(VLOOKUP(I105,[1]INFO_LOCALES!$B:$I,8,FALSE),"")</f>
        <v>Huechuraba</v>
      </c>
      <c r="M105" s="5" t="str">
        <f>IFERROR(VLOOKUP(I105,[1]INFO_LOCALES!$B:$H,7,FALSE),"")</f>
        <v>Pedro Fontova 7626</v>
      </c>
      <c r="N105" s="5">
        <f>IFERROR(VLOOKUP(I105,[1]INFO_LOCALES!$B:$E,4,FALSE),"")</f>
        <v>0</v>
      </c>
      <c r="O105" s="5" t="str">
        <f>VLOOKUP(Tabla2[[#This Row],[TIENDA]],[1]INFO_LOCALES!$B:$J,9,0)</f>
        <v>SIN CONVENIO</v>
      </c>
      <c r="P105" s="5" t="str">
        <f>IFERROR(VLOOKUP(I105,[1]INFO_LOCALES!$B:$F,5,FALSE),"")</f>
        <v>AGUAS ANDINAS S.A.</v>
      </c>
      <c r="Q105" s="5" t="s">
        <v>113</v>
      </c>
      <c r="R105" s="5" t="s">
        <v>58</v>
      </c>
      <c r="S105" s="6">
        <v>45415</v>
      </c>
      <c r="T105" s="5" t="s">
        <v>132</v>
      </c>
      <c r="U105" s="6">
        <v>45364</v>
      </c>
      <c r="V105" s="5" t="s">
        <v>59</v>
      </c>
      <c r="W1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05" s="7">
        <f t="shared" si="3"/>
        <v>3</v>
      </c>
      <c r="Y105" s="5">
        <v>37</v>
      </c>
      <c r="Z105" s="5">
        <v>6.77</v>
      </c>
      <c r="AA105" s="5">
        <v>18.7</v>
      </c>
      <c r="AB105" s="5">
        <v>27.8</v>
      </c>
      <c r="AC105" s="5">
        <v>545</v>
      </c>
      <c r="AD105" s="5">
        <v>8.68</v>
      </c>
      <c r="AE105" s="5">
        <v>13.16</v>
      </c>
      <c r="AF105" s="5">
        <v>0.4</v>
      </c>
      <c r="AG105" s="5">
        <v>352</v>
      </c>
      <c r="AH105" s="5">
        <v>4</v>
      </c>
      <c r="AI105" s="5">
        <f t="shared" si="4"/>
        <v>120</v>
      </c>
    </row>
    <row r="106" spans="1:52" x14ac:dyDescent="0.25">
      <c r="A106" s="5" t="s">
        <v>52</v>
      </c>
      <c r="B106" s="5" t="s">
        <v>76</v>
      </c>
      <c r="C106" s="5" t="s">
        <v>77</v>
      </c>
      <c r="F106" s="5" t="s">
        <v>55</v>
      </c>
      <c r="G106" s="5" t="s">
        <v>61</v>
      </c>
      <c r="H106" s="5" t="s">
        <v>57</v>
      </c>
      <c r="I106" s="5">
        <v>87</v>
      </c>
      <c r="J106" s="5" t="str">
        <f>IFERROR(VLOOKUP(I106,[1]INFO_LOCALES!$B:$C,2,FALSE),"")</f>
        <v>JUAN MARTINEZ</v>
      </c>
      <c r="K106" s="5" t="str">
        <f>IFERROR(VLOOKUP(Tabla2[[#This Row],[TIENDA]],[1]INFO_LOCALES!$B:$D,3,FALSE),"")</f>
        <v>I - Tarapacá</v>
      </c>
      <c r="L106" s="5" t="str">
        <f>IFERROR(VLOOKUP(I106,[1]INFO_LOCALES!$B:$I,8,FALSE),"")</f>
        <v>Iquique</v>
      </c>
      <c r="M106" s="5" t="str">
        <f>IFERROR(VLOOKUP(I106,[1]INFO_LOCALES!$B:$H,7,FALSE),"")</f>
        <v>M. Rodriguez 964</v>
      </c>
      <c r="N106" s="5">
        <f>IFERROR(VLOOKUP(I106,[1]INFO_LOCALES!$B:$E,4,FALSE),"")</f>
        <v>0</v>
      </c>
      <c r="O106" s="5" t="str">
        <f>VLOOKUP(Tabla2[[#This Row],[TIENDA]],[1]INFO_LOCALES!$B:$J,9,0)</f>
        <v>CONVENIO</v>
      </c>
      <c r="P106" s="5" t="str">
        <f>IFERROR(VLOOKUP(I106,[1]INFO_LOCALES!$B:$F,5,FALSE),"")</f>
        <v>AGUAS DEL ALTIPLANO S.A.</v>
      </c>
      <c r="Q106" s="5" t="s">
        <v>78</v>
      </c>
      <c r="R106" s="5" t="s">
        <v>58</v>
      </c>
      <c r="S106" s="6">
        <v>45443</v>
      </c>
      <c r="T106" s="5" t="s">
        <v>132</v>
      </c>
      <c r="U106" s="6">
        <v>45364</v>
      </c>
      <c r="V106" s="5" t="s">
        <v>59</v>
      </c>
      <c r="W1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06" s="7">
        <f t="shared" si="3"/>
        <v>3</v>
      </c>
      <c r="Y106" s="5">
        <v>6</v>
      </c>
      <c r="Z106" s="5">
        <v>7.06</v>
      </c>
      <c r="AA106" s="5">
        <v>15</v>
      </c>
      <c r="AB106" s="5">
        <v>24.7</v>
      </c>
      <c r="AC106" s="5">
        <v>103</v>
      </c>
      <c r="AD106" s="5">
        <v>2.4</v>
      </c>
      <c r="AE106" s="5">
        <v>22.85</v>
      </c>
      <c r="AF106" s="5">
        <v>0.5</v>
      </c>
      <c r="AG106" s="5">
        <v>29</v>
      </c>
      <c r="AH106" s="5">
        <v>6.5</v>
      </c>
      <c r="AI106" s="5">
        <f t="shared" si="4"/>
        <v>195</v>
      </c>
      <c r="AZ106" s="8" t="s">
        <v>141</v>
      </c>
    </row>
    <row r="107" spans="1:52" x14ac:dyDescent="0.25">
      <c r="A107" s="5" t="s">
        <v>52</v>
      </c>
      <c r="B107" s="5" t="s">
        <v>76</v>
      </c>
      <c r="C107" s="5" t="s">
        <v>77</v>
      </c>
      <c r="F107" s="5" t="s">
        <v>55</v>
      </c>
      <c r="G107" s="5" t="s">
        <v>65</v>
      </c>
      <c r="H107" s="5" t="s">
        <v>57</v>
      </c>
      <c r="I107" s="5">
        <v>85</v>
      </c>
      <c r="J107" s="5" t="str">
        <f>IFERROR(VLOOKUP(I107,[1]INFO_LOCALES!$B:$C,2,FALSE),"")</f>
        <v>AMUNATEGUI</v>
      </c>
      <c r="K107" s="5" t="str">
        <f>IFERROR(VLOOKUP(Tabla2[[#This Row],[TIENDA]],[1]INFO_LOCALES!$B:$D,3,FALSE),"")</f>
        <v>I - Tarapacá</v>
      </c>
      <c r="L107" s="5" t="str">
        <f>IFERROR(VLOOKUP(I107,[1]INFO_LOCALES!$B:$I,8,FALSE),"")</f>
        <v>Iquique</v>
      </c>
      <c r="M107" s="5" t="str">
        <f>IFERROR(VLOOKUP(I107,[1]INFO_LOCALES!$B:$H,7,FALSE),"")</f>
        <v>Amunategui 902</v>
      </c>
      <c r="N107" s="5">
        <f>IFERROR(VLOOKUP(I107,[1]INFO_LOCALES!$B:$E,4,FALSE),"")</f>
        <v>0</v>
      </c>
      <c r="O107" s="5" t="str">
        <f>VLOOKUP(Tabla2[[#This Row],[TIENDA]],[1]INFO_LOCALES!$B:$J,9,0)</f>
        <v>CONVENIO</v>
      </c>
      <c r="P107" s="5" t="str">
        <f>IFERROR(VLOOKUP(I107,[1]INFO_LOCALES!$B:$F,5,FALSE),"")</f>
        <v>AGUAS DEL ALTIPLANO S.A.</v>
      </c>
      <c r="Q107" s="5" t="s">
        <v>78</v>
      </c>
      <c r="R107" s="5" t="s">
        <v>58</v>
      </c>
      <c r="S107" s="6">
        <v>45595</v>
      </c>
      <c r="T107" s="5" t="s">
        <v>132</v>
      </c>
      <c r="U107" s="6">
        <v>45364</v>
      </c>
      <c r="V107" s="5" t="s">
        <v>59</v>
      </c>
      <c r="W1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07" s="7">
        <f t="shared" si="3"/>
        <v>2</v>
      </c>
      <c r="Y107" s="5">
        <v>7</v>
      </c>
      <c r="Z107" s="5">
        <v>6.36</v>
      </c>
      <c r="AA107" s="5">
        <v>9</v>
      </c>
      <c r="AB107" s="5">
        <v>24.23</v>
      </c>
      <c r="AC107" s="5">
        <v>96</v>
      </c>
      <c r="AD107" s="5">
        <v>1.2</v>
      </c>
      <c r="AE107" s="5">
        <v>27.14</v>
      </c>
      <c r="AF107" s="5">
        <v>1.8</v>
      </c>
      <c r="AG107" s="5">
        <v>47</v>
      </c>
      <c r="AH107" s="5">
        <v>5.7</v>
      </c>
      <c r="AI107" s="5">
        <f t="shared" si="4"/>
        <v>171</v>
      </c>
      <c r="AZ107" s="8" t="s">
        <v>142</v>
      </c>
    </row>
    <row r="108" spans="1:52" x14ac:dyDescent="0.25">
      <c r="A108" s="5" t="s">
        <v>52</v>
      </c>
      <c r="B108" s="5" t="s">
        <v>90</v>
      </c>
      <c r="C108" s="5" t="s">
        <v>81</v>
      </c>
      <c r="F108" s="5" t="s">
        <v>55</v>
      </c>
      <c r="G108" s="5" t="s">
        <v>61</v>
      </c>
      <c r="H108" s="5" t="s">
        <v>57</v>
      </c>
      <c r="I108" s="5">
        <v>375</v>
      </c>
      <c r="J108" s="5" t="str">
        <f>IFERROR(VLOOKUP(I108,[1]INFO_LOCALES!$B:$C,2,FALSE),"")</f>
        <v>ARAUCO</v>
      </c>
      <c r="K108" s="5" t="str">
        <f>IFERROR(VLOOKUP(Tabla2[[#This Row],[TIENDA]],[1]INFO_LOCALES!$B:$D,3,FALSE),"")</f>
        <v>XIV - Los Ríos</v>
      </c>
      <c r="L108" s="5" t="str">
        <f>IFERROR(VLOOKUP(I108,[1]INFO_LOCALES!$B:$I,8,FALSE),"")</f>
        <v>Valdivia</v>
      </c>
      <c r="M108" s="5" t="str">
        <f>IFERROR(VLOOKUP(I108,[1]INFO_LOCALES!$B:$H,7,FALSE),"")</f>
        <v>Arauco 697</v>
      </c>
      <c r="N108" s="5">
        <f>IFERROR(VLOOKUP(I108,[1]INFO_LOCALES!$B:$E,4,FALSE),"")</f>
        <v>3420</v>
      </c>
      <c r="O108" s="5" t="str">
        <f>VLOOKUP(Tabla2[[#This Row],[TIENDA]],[1]INFO_LOCALES!$B:$J,9,0)</f>
        <v>CONVENIO</v>
      </c>
      <c r="P108" s="5" t="str">
        <f>IFERROR(VLOOKUP(I108,[1]INFO_LOCALES!$B:$F,5,FALSE),"")</f>
        <v>AGUAS DECIMA S A</v>
      </c>
      <c r="Q108" s="5" t="s">
        <v>85</v>
      </c>
      <c r="R108" s="5" t="s">
        <v>86</v>
      </c>
      <c r="S108" s="6" t="s">
        <v>87</v>
      </c>
      <c r="T108" s="5" t="s">
        <v>132</v>
      </c>
      <c r="U108" s="6">
        <v>45369</v>
      </c>
      <c r="V108" s="5" t="s">
        <v>59</v>
      </c>
      <c r="W1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08" s="7">
        <f t="shared" si="3"/>
        <v>3</v>
      </c>
      <c r="Y108" s="5">
        <v>14.8</v>
      </c>
      <c r="Z108" s="5">
        <v>6.8</v>
      </c>
      <c r="AA108" s="5">
        <v>17</v>
      </c>
      <c r="AB108" s="5">
        <v>19.7</v>
      </c>
      <c r="AC108" s="5">
        <v>243</v>
      </c>
      <c r="AD108" s="5">
        <v>10.199999999999999</v>
      </c>
      <c r="AE108" s="5">
        <v>41.4</v>
      </c>
      <c r="AF108" s="5">
        <v>3</v>
      </c>
      <c r="AG108" s="5">
        <v>159</v>
      </c>
      <c r="AH108" s="5">
        <v>11</v>
      </c>
      <c r="AI108" s="5">
        <f t="shared" si="4"/>
        <v>330</v>
      </c>
      <c r="AZ108" s="8" t="s">
        <v>143</v>
      </c>
    </row>
    <row r="109" spans="1:52" x14ac:dyDescent="0.25">
      <c r="A109" s="5" t="s">
        <v>52</v>
      </c>
      <c r="B109" s="5" t="s">
        <v>90</v>
      </c>
      <c r="C109" s="5" t="s">
        <v>81</v>
      </c>
      <c r="F109" s="5" t="s">
        <v>55</v>
      </c>
      <c r="G109" s="5" t="s">
        <v>61</v>
      </c>
      <c r="H109" s="5" t="s">
        <v>57</v>
      </c>
      <c r="I109" s="5">
        <v>375</v>
      </c>
      <c r="J109" s="5" t="str">
        <f>IFERROR(VLOOKUP(I109,[1]INFO_LOCALES!$B:$C,2,FALSE),"")</f>
        <v>ARAUCO</v>
      </c>
      <c r="K109" s="5" t="str">
        <f>IFERROR(VLOOKUP(Tabla2[[#This Row],[TIENDA]],[1]INFO_LOCALES!$B:$D,3,FALSE),"")</f>
        <v>XIV - Los Ríos</v>
      </c>
      <c r="L109" s="5" t="str">
        <f>IFERROR(VLOOKUP(I109,[1]INFO_LOCALES!$B:$I,8,FALSE),"")</f>
        <v>Valdivia</v>
      </c>
      <c r="M109" s="5" t="str">
        <f>IFERROR(VLOOKUP(I109,[1]INFO_LOCALES!$B:$H,7,FALSE),"")</f>
        <v>Arauco 697</v>
      </c>
      <c r="N109" s="5">
        <f>IFERROR(VLOOKUP(I109,[1]INFO_LOCALES!$B:$E,4,FALSE),"")</f>
        <v>3420</v>
      </c>
      <c r="O109" s="5" t="str">
        <f>VLOOKUP(Tabla2[[#This Row],[TIENDA]],[1]INFO_LOCALES!$B:$J,9,0)</f>
        <v>CONVENIO</v>
      </c>
      <c r="P109" s="5" t="str">
        <f>IFERROR(VLOOKUP(I109,[1]INFO_LOCALES!$B:$F,5,FALSE),"")</f>
        <v>AGUAS DECIMA S A</v>
      </c>
      <c r="Q109" s="5" t="s">
        <v>85</v>
      </c>
      <c r="R109" s="5" t="s">
        <v>86</v>
      </c>
      <c r="S109" s="6" t="s">
        <v>87</v>
      </c>
      <c r="T109" s="5" t="s">
        <v>132</v>
      </c>
      <c r="U109" s="6">
        <v>45369</v>
      </c>
      <c r="V109" s="5" t="s">
        <v>59</v>
      </c>
      <c r="W1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09" s="7">
        <f t="shared" si="3"/>
        <v>3</v>
      </c>
      <c r="Y109" s="5">
        <v>26.3</v>
      </c>
      <c r="Z109" s="5">
        <v>7.1</v>
      </c>
      <c r="AA109" s="5">
        <v>26</v>
      </c>
      <c r="AB109" s="5">
        <v>18.3</v>
      </c>
      <c r="AC109" s="5">
        <v>199</v>
      </c>
      <c r="AD109" s="5">
        <v>10.8</v>
      </c>
      <c r="AE109" s="5">
        <v>42.2</v>
      </c>
      <c r="AF109" s="5">
        <v>1.2</v>
      </c>
      <c r="AG109" s="5">
        <v>133</v>
      </c>
      <c r="AH109" s="5">
        <v>11</v>
      </c>
      <c r="AI109" s="5">
        <f t="shared" si="4"/>
        <v>330</v>
      </c>
    </row>
    <row r="110" spans="1:52" x14ac:dyDescent="0.25">
      <c r="A110" s="5" t="s">
        <v>52</v>
      </c>
      <c r="B110" s="5" t="s">
        <v>93</v>
      </c>
      <c r="C110" s="5" t="s">
        <v>81</v>
      </c>
      <c r="F110" s="5" t="s">
        <v>55</v>
      </c>
      <c r="G110" s="5" t="s">
        <v>61</v>
      </c>
      <c r="H110" s="5" t="s">
        <v>57</v>
      </c>
      <c r="I110" s="5">
        <v>576</v>
      </c>
      <c r="J110" s="5" t="str">
        <f>IFERROR(VLOOKUP(I110,[1]INFO_LOCALES!$B:$C,2,FALSE),"")</f>
        <v>CASTRO I</v>
      </c>
      <c r="K110" s="5" t="str">
        <f>IFERROR(VLOOKUP(Tabla2[[#This Row],[TIENDA]],[1]INFO_LOCALES!$B:$D,3,FALSE),"")</f>
        <v>X - Los Lagos</v>
      </c>
      <c r="L110" s="5" t="str">
        <f>IFERROR(VLOOKUP(I110,[1]INFO_LOCALES!$B:$I,8,FALSE),"")</f>
        <v>Castro</v>
      </c>
      <c r="M110" s="5" t="str">
        <f>IFERROR(VLOOKUP(I110,[1]INFO_LOCALES!$B:$H,7,FALSE),"")</f>
        <v>O'Higgins 711</v>
      </c>
      <c r="N110" s="5">
        <f>IFERROR(VLOOKUP(I110,[1]INFO_LOCALES!$B:$E,4,FALSE),"")</f>
        <v>3875</v>
      </c>
      <c r="O110" s="5" t="str">
        <f>VLOOKUP(Tabla2[[#This Row],[TIENDA]],[1]INFO_LOCALES!$B:$J,9,0)</f>
        <v>SIN CONVENIO</v>
      </c>
      <c r="P110" s="5" t="str">
        <f>IFERROR(VLOOKUP(I110,[1]INFO_LOCALES!$B:$F,5,FALSE),"")</f>
        <v>SURALIS</v>
      </c>
      <c r="Q110" s="5" t="s">
        <v>85</v>
      </c>
      <c r="R110" s="5" t="s">
        <v>86</v>
      </c>
      <c r="S110" s="6" t="s">
        <v>87</v>
      </c>
      <c r="T110" s="5" t="s">
        <v>132</v>
      </c>
      <c r="U110" s="6">
        <v>45370</v>
      </c>
      <c r="V110" s="5" t="s">
        <v>59</v>
      </c>
      <c r="W1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10" s="7">
        <f t="shared" si="3"/>
        <v>2</v>
      </c>
      <c r="Y110" s="5">
        <v>3.94</v>
      </c>
      <c r="Z110" s="5">
        <v>7.05</v>
      </c>
      <c r="AA110" s="5">
        <v>8</v>
      </c>
      <c r="AB110" s="5">
        <v>15</v>
      </c>
      <c r="AC110" s="5">
        <v>182</v>
      </c>
      <c r="AD110" s="5">
        <v>14.1</v>
      </c>
      <c r="AE110" s="5">
        <v>58.2</v>
      </c>
      <c r="AF110" s="5">
        <v>0.5</v>
      </c>
      <c r="AG110" s="5">
        <v>111</v>
      </c>
      <c r="AH110" s="5">
        <v>3</v>
      </c>
      <c r="AI110" s="5">
        <f t="shared" si="4"/>
        <v>90</v>
      </c>
    </row>
    <row r="111" spans="1:52" x14ac:dyDescent="0.25">
      <c r="A111" s="5" t="s">
        <v>60</v>
      </c>
      <c r="B111" s="5" t="e">
        <v>#N/A</v>
      </c>
      <c r="C111" s="5" t="e">
        <v>#N/A</v>
      </c>
      <c r="F111" s="5" t="s">
        <v>55</v>
      </c>
      <c r="I111" s="5">
        <v>3557</v>
      </c>
      <c r="J111" s="5" t="str">
        <f>IFERROR(VLOOKUP(I111,[1]INFO_LOCALES!$B:$C,2,FALSE),"")</f>
        <v/>
      </c>
      <c r="K111" s="5" t="str">
        <f>IFERROR(VLOOKUP(Tabla2[[#This Row],[TIENDA]],[1]INFO_LOCALES!$B:$D,3,FALSE),"")</f>
        <v/>
      </c>
      <c r="L111" s="5" t="str">
        <f>IFERROR(VLOOKUP(I111,[1]INFO_LOCALES!$B:$I,8,FALSE),"")</f>
        <v/>
      </c>
      <c r="M111" s="5" t="str">
        <f>IFERROR(VLOOKUP(I111,[1]INFO_LOCALES!$B:$H,7,FALSE),"")</f>
        <v/>
      </c>
      <c r="N111" s="5" t="str">
        <f>IFERROR(VLOOKUP(I111,[1]INFO_LOCALES!$B:$E,4,FALSE),"")</f>
        <v/>
      </c>
      <c r="O111" s="5" t="e">
        <f>VLOOKUP(Tabla2[[#This Row],[TIENDA]],[1]INFO_LOCALES!$B:$J,9,0)</f>
        <v>#N/A</v>
      </c>
      <c r="P111" s="5" t="str">
        <f>IFERROR(VLOOKUP(I111,[1]INFO_LOCALES!$B:$F,5,FALSE),"")</f>
        <v/>
      </c>
      <c r="Q111" s="5" t="s">
        <v>85</v>
      </c>
      <c r="R111" s="5" t="s">
        <v>86</v>
      </c>
      <c r="S111" s="6" t="s">
        <v>87</v>
      </c>
      <c r="T111" s="5" t="s">
        <v>132</v>
      </c>
      <c r="U111" s="6">
        <v>45370</v>
      </c>
      <c r="V111" s="5" t="s">
        <v>59</v>
      </c>
      <c r="W1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11" s="7">
        <f t="shared" si="3"/>
        <v>2</v>
      </c>
      <c r="Y111" s="5">
        <v>41.3</v>
      </c>
      <c r="Z111" s="5">
        <v>6.67</v>
      </c>
      <c r="AA111" s="5">
        <v>2</v>
      </c>
      <c r="AB111" s="5">
        <v>17.190000000000001</v>
      </c>
      <c r="AC111" s="5">
        <v>307</v>
      </c>
      <c r="AD111" s="5">
        <v>17.2</v>
      </c>
      <c r="AE111" s="5">
        <v>61.5</v>
      </c>
      <c r="AF111" s="5">
        <v>0.8</v>
      </c>
      <c r="AG111" s="5">
        <v>244</v>
      </c>
      <c r="AH111" s="5">
        <v>6.2</v>
      </c>
      <c r="AI111" s="5">
        <f t="shared" si="4"/>
        <v>186</v>
      </c>
    </row>
    <row r="112" spans="1:52" x14ac:dyDescent="0.25">
      <c r="A112" s="5" t="s">
        <v>52</v>
      </c>
      <c r="B112" s="5" t="s">
        <v>74</v>
      </c>
      <c r="C112" s="5" t="s">
        <v>74</v>
      </c>
      <c r="F112" s="5" t="s">
        <v>55</v>
      </c>
      <c r="G112" s="5" t="s">
        <v>61</v>
      </c>
      <c r="H112" s="5" t="s">
        <v>57</v>
      </c>
      <c r="I112" s="5">
        <v>463</v>
      </c>
      <c r="J112" s="5" t="str">
        <f>IFERROR(VLOOKUP(I112,[1]INFO_LOCALES!$B:$C,2,FALSE),"")</f>
        <v>BORIES AUSTRAL</v>
      </c>
      <c r="K112" s="5" t="str">
        <f>IFERROR(VLOOKUP(Tabla2[[#This Row],[TIENDA]],[1]INFO_LOCALES!$B:$D,3,FALSE),"")</f>
        <v>XII - Magallanes</v>
      </c>
      <c r="L112" s="5" t="str">
        <f>IFERROR(VLOOKUP(I112,[1]INFO_LOCALES!$B:$I,8,FALSE),"")</f>
        <v>Punta Arenas</v>
      </c>
      <c r="M112" s="5" t="str">
        <f>IFERROR(VLOOKUP(I112,[1]INFO_LOCALES!$B:$H,7,FALSE),"")</f>
        <v>Gobernador Bories 647</v>
      </c>
      <c r="N112" s="5">
        <f>IFERROR(VLOOKUP(I112,[1]INFO_LOCALES!$B:$E,4,FALSE),"")</f>
        <v>3739</v>
      </c>
      <c r="O112" s="5" t="str">
        <f>VLOOKUP(Tabla2[[#This Row],[TIENDA]],[1]INFO_LOCALES!$B:$J,9,0)</f>
        <v>SIN CONVENIO</v>
      </c>
      <c r="P112" s="5" t="str">
        <f>IFERROR(VLOOKUP(I112,[1]INFO_LOCALES!$B:$F,5,FALSE),"")</f>
        <v>AGUAS MAGALLANES S.A.</v>
      </c>
      <c r="Q112" s="5" t="s">
        <v>71</v>
      </c>
      <c r="R112" s="5" t="s">
        <v>86</v>
      </c>
      <c r="S112" s="6" t="s">
        <v>87</v>
      </c>
      <c r="T112" s="5" t="s">
        <v>132</v>
      </c>
      <c r="U112" s="6">
        <v>45370</v>
      </c>
      <c r="V112" s="5" t="s">
        <v>59</v>
      </c>
      <c r="W1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12" s="7">
        <f t="shared" si="3"/>
        <v>3</v>
      </c>
      <c r="Y112" s="5">
        <v>2.2999999999999998</v>
      </c>
      <c r="Z112" s="5">
        <v>5.57</v>
      </c>
      <c r="AA112" s="5">
        <v>2</v>
      </c>
      <c r="AB112" s="5">
        <v>9</v>
      </c>
      <c r="AC112" s="5">
        <v>647</v>
      </c>
      <c r="AD112" s="5">
        <v>12.3</v>
      </c>
      <c r="AE112" s="5">
        <v>1.86</v>
      </c>
      <c r="AF112" s="5">
        <v>0.2</v>
      </c>
      <c r="AG112" s="5">
        <v>36</v>
      </c>
      <c r="AH112" s="5">
        <v>6.5</v>
      </c>
      <c r="AI112" s="5">
        <f t="shared" si="4"/>
        <v>195</v>
      </c>
    </row>
    <row r="113" spans="1:52" x14ac:dyDescent="0.25">
      <c r="A113" s="5" t="s">
        <v>52</v>
      </c>
      <c r="B113" s="5" t="s">
        <v>74</v>
      </c>
      <c r="C113" s="5" t="s">
        <v>74</v>
      </c>
      <c r="F113" s="5" t="s">
        <v>55</v>
      </c>
      <c r="G113" s="5" t="s">
        <v>61</v>
      </c>
      <c r="H113" s="5" t="s">
        <v>57</v>
      </c>
      <c r="I113" s="5">
        <v>461</v>
      </c>
      <c r="J113" s="5" t="str">
        <f>IFERROR(VLOOKUP(I113,[1]INFO_LOCALES!$B:$C,2,FALSE),"")</f>
        <v>ZENTENO AUSTRAL</v>
      </c>
      <c r="K113" s="5" t="str">
        <f>IFERROR(VLOOKUP(Tabla2[[#This Row],[TIENDA]],[1]INFO_LOCALES!$B:$D,3,FALSE),"")</f>
        <v>XII - Magallanes</v>
      </c>
      <c r="L113" s="5" t="str">
        <f>IFERROR(VLOOKUP(I113,[1]INFO_LOCALES!$B:$I,8,FALSE),"")</f>
        <v>Punta Arenas</v>
      </c>
      <c r="M113" s="5" t="str">
        <f>IFERROR(VLOOKUP(I113,[1]INFO_LOCALES!$B:$H,7,FALSE),"")</f>
        <v>Capitan Guillermo 05</v>
      </c>
      <c r="N113" s="5">
        <f>IFERROR(VLOOKUP(I113,[1]INFO_LOCALES!$B:$E,4,FALSE),"")</f>
        <v>3736</v>
      </c>
      <c r="O113" s="5" t="str">
        <f>VLOOKUP(Tabla2[[#This Row],[TIENDA]],[1]INFO_LOCALES!$B:$J,9,0)</f>
        <v>SIN CONVENIO</v>
      </c>
      <c r="P113" s="5" t="str">
        <f>IFERROR(VLOOKUP(I113,[1]INFO_LOCALES!$B:$F,5,FALSE),"")</f>
        <v>AGUAS MAGALLANES S.A.</v>
      </c>
      <c r="Q113" s="5" t="s">
        <v>71</v>
      </c>
      <c r="R113" s="5" t="s">
        <v>86</v>
      </c>
      <c r="S113" s="6" t="s">
        <v>87</v>
      </c>
      <c r="T113" s="5" t="s">
        <v>132</v>
      </c>
      <c r="U113" s="6">
        <v>45370</v>
      </c>
      <c r="V113" s="5" t="s">
        <v>59</v>
      </c>
      <c r="W1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" s="7">
        <f t="shared" si="3"/>
        <v>1</v>
      </c>
      <c r="Y113" s="5">
        <v>0.92700000000000005</v>
      </c>
      <c r="Z113" s="5">
        <v>6.54</v>
      </c>
      <c r="AA113" s="5">
        <v>2</v>
      </c>
      <c r="AB113" s="5">
        <v>7.9</v>
      </c>
      <c r="AC113" s="5">
        <v>300</v>
      </c>
      <c r="AD113" s="5">
        <v>7.3</v>
      </c>
      <c r="AE113" s="5">
        <v>14.9</v>
      </c>
      <c r="AF113" s="5">
        <v>0.5</v>
      </c>
      <c r="AG113" s="5">
        <v>41</v>
      </c>
      <c r="AH113" s="5">
        <v>5.23</v>
      </c>
      <c r="AI113" s="5">
        <f t="shared" si="4"/>
        <v>156.9</v>
      </c>
    </row>
    <row r="114" spans="1:52" x14ac:dyDescent="0.25">
      <c r="A114" s="5" t="s">
        <v>52</v>
      </c>
      <c r="B114" s="5" t="s">
        <v>73</v>
      </c>
      <c r="C114" s="5" t="s">
        <v>74</v>
      </c>
      <c r="F114" s="5" t="s">
        <v>55</v>
      </c>
      <c r="G114" s="5" t="s">
        <v>56</v>
      </c>
      <c r="H114" s="5" t="s">
        <v>57</v>
      </c>
      <c r="I114" s="5">
        <v>442</v>
      </c>
      <c r="J114" s="5" t="str">
        <f>IFERROR(VLOOKUP(I114,[1]INFO_LOCALES!$B:$C,2,FALSE),"")</f>
        <v>COYHAIQUE</v>
      </c>
      <c r="K114" s="5" t="str">
        <f>IFERROR(VLOOKUP(Tabla2[[#This Row],[TIENDA]],[1]INFO_LOCALES!$B:$D,3,FALSE),"")</f>
        <v>XI - Aysén</v>
      </c>
      <c r="L114" s="5" t="str">
        <f>IFERROR(VLOOKUP(I114,[1]INFO_LOCALES!$B:$I,8,FALSE),"")</f>
        <v>Coyhaique</v>
      </c>
      <c r="M114" s="5" t="str">
        <f>IFERROR(VLOOKUP(I114,[1]INFO_LOCALES!$B:$H,7,FALSE),"")</f>
        <v>Lautaro 331</v>
      </c>
      <c r="N114" s="5">
        <f>IFERROR(VLOOKUP(I114,[1]INFO_LOCALES!$B:$E,4,FALSE),"")</f>
        <v>1320</v>
      </c>
      <c r="O114" s="5" t="str">
        <f>VLOOKUP(Tabla2[[#This Row],[TIENDA]],[1]INFO_LOCALES!$B:$J,9,0)</f>
        <v>SIN CONVENIO</v>
      </c>
      <c r="P114" s="5" t="str">
        <f>IFERROR(VLOOKUP(I114,[1]INFO_LOCALES!$B:$F,5,FALSE),"")</f>
        <v>AGUAS PATAGONIA</v>
      </c>
      <c r="Q114" s="5" t="s">
        <v>144</v>
      </c>
      <c r="R114" s="5" t="s">
        <v>58</v>
      </c>
      <c r="S114" s="6">
        <v>45427</v>
      </c>
      <c r="T114" s="5" t="s">
        <v>132</v>
      </c>
      <c r="U114" s="6">
        <v>45370</v>
      </c>
      <c r="V114" s="5" t="s">
        <v>59</v>
      </c>
      <c r="W1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14" s="7">
        <f t="shared" si="3"/>
        <v>3</v>
      </c>
      <c r="Y114" s="5">
        <v>155</v>
      </c>
      <c r="Z114" s="5">
        <v>8.76</v>
      </c>
      <c r="AA114" s="5">
        <v>2</v>
      </c>
      <c r="AB114" s="5">
        <v>9.9</v>
      </c>
      <c r="AC114" s="5">
        <v>683</v>
      </c>
      <c r="AD114" s="5">
        <v>19.600000000000001</v>
      </c>
      <c r="AE114" s="5">
        <v>48.8</v>
      </c>
      <c r="AF114" s="5">
        <v>17</v>
      </c>
      <c r="AG114" s="5">
        <v>548</v>
      </c>
      <c r="AH114" s="5">
        <v>6.7</v>
      </c>
      <c r="AI114" s="5">
        <f t="shared" si="4"/>
        <v>201</v>
      </c>
    </row>
    <row r="115" spans="1:52" x14ac:dyDescent="0.25">
      <c r="A115" s="5" t="s">
        <v>52</v>
      </c>
      <c r="B115" s="5" t="s">
        <v>74</v>
      </c>
      <c r="C115" s="5" t="s">
        <v>74</v>
      </c>
      <c r="F115" s="5" t="s">
        <v>55</v>
      </c>
      <c r="G115" s="5" t="s">
        <v>61</v>
      </c>
      <c r="H115" s="5" t="s">
        <v>57</v>
      </c>
      <c r="I115" s="9">
        <v>458</v>
      </c>
      <c r="J115" s="5" t="str">
        <f>IFERROR(VLOOKUP(I115,[1]INFO_LOCALES!$B:$C,2,FALSE),"")</f>
        <v>ESPAÑA AUSTRAL</v>
      </c>
      <c r="K115" s="5" t="str">
        <f>IFERROR(VLOOKUP(Tabla2[[#This Row],[TIENDA]],[1]INFO_LOCALES!$B:$D,3,FALSE),"")</f>
        <v>XII - Magallanes</v>
      </c>
      <c r="L115" s="5" t="str">
        <f>IFERROR(VLOOKUP(I115,[1]INFO_LOCALES!$B:$I,8,FALSE),"")</f>
        <v>Punta Arenas</v>
      </c>
      <c r="M115" s="5" t="str">
        <f>IFERROR(VLOOKUP(I115,[1]INFO_LOCALES!$B:$H,7,FALSE),"")</f>
        <v>Av. España 01375</v>
      </c>
      <c r="N115" s="5">
        <f>IFERROR(VLOOKUP(I115,[1]INFO_LOCALES!$B:$E,4,FALSE),"")</f>
        <v>1306</v>
      </c>
      <c r="O115" s="5" t="str">
        <f>VLOOKUP(Tabla2[[#This Row],[TIENDA]],[1]INFO_LOCALES!$B:$J,9,0)</f>
        <v>SIN CONVENIO</v>
      </c>
      <c r="P115" s="5" t="str">
        <f>IFERROR(VLOOKUP(I115,[1]INFO_LOCALES!$B:$F,5,FALSE),"")</f>
        <v>AGUAS MAGALLANES S.A.</v>
      </c>
      <c r="Q115" s="5" t="s">
        <v>71</v>
      </c>
      <c r="R115" s="5" t="s">
        <v>86</v>
      </c>
      <c r="S115" s="6" t="s">
        <v>87</v>
      </c>
      <c r="T115" s="5" t="s">
        <v>132</v>
      </c>
      <c r="U115" s="6">
        <v>45371</v>
      </c>
      <c r="V115" s="5" t="s">
        <v>59</v>
      </c>
      <c r="W1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15" s="7">
        <f t="shared" si="3"/>
        <v>2</v>
      </c>
      <c r="Y115" s="5">
        <v>32.6</v>
      </c>
      <c r="Z115" s="5">
        <v>8.25</v>
      </c>
      <c r="AA115" s="5">
        <v>2</v>
      </c>
      <c r="AB115" s="5">
        <v>8.6999999999999993</v>
      </c>
      <c r="AC115" s="5">
        <v>557</v>
      </c>
      <c r="AD115" s="5">
        <v>11</v>
      </c>
      <c r="AE115" s="5">
        <v>20.9</v>
      </c>
      <c r="AF115" s="5">
        <v>0.5</v>
      </c>
      <c r="AG115" s="5">
        <v>214</v>
      </c>
      <c r="AH115" s="5">
        <v>11.49</v>
      </c>
      <c r="AI115" s="5">
        <f t="shared" si="4"/>
        <v>344.7</v>
      </c>
    </row>
    <row r="116" spans="1:52" x14ac:dyDescent="0.25">
      <c r="A116" s="5" t="s">
        <v>52</v>
      </c>
      <c r="B116" s="5" t="s">
        <v>76</v>
      </c>
      <c r="C116" s="5" t="s">
        <v>77</v>
      </c>
      <c r="F116" s="5" t="s">
        <v>55</v>
      </c>
      <c r="G116" s="5" t="s">
        <v>61</v>
      </c>
      <c r="H116" s="5" t="s">
        <v>57</v>
      </c>
      <c r="I116" s="5">
        <v>103</v>
      </c>
      <c r="J116" s="5" t="str">
        <f>IFERROR(VLOOKUP(I116,[1]INFO_LOCALES!$B:$C,2,FALSE),"")</f>
        <v>VIVAR</v>
      </c>
      <c r="K116" s="5" t="str">
        <f>IFERROR(VLOOKUP(Tabla2[[#This Row],[TIENDA]],[1]INFO_LOCALES!$B:$D,3,FALSE),"")</f>
        <v>I - Tarapacá</v>
      </c>
      <c r="L116" s="5" t="str">
        <f>IFERROR(VLOOKUP(I116,[1]INFO_LOCALES!$B:$I,8,FALSE),"")</f>
        <v>Iquique</v>
      </c>
      <c r="M116" s="5" t="str">
        <f>IFERROR(VLOOKUP(I116,[1]INFO_LOCALES!$B:$H,7,FALSE),"")</f>
        <v>Vivar 786</v>
      </c>
      <c r="N116" s="5">
        <f>IFERROR(VLOOKUP(I116,[1]INFO_LOCALES!$B:$E,4,FALSE),"")</f>
        <v>4420</v>
      </c>
      <c r="O116" s="5" t="str">
        <f>VLOOKUP(Tabla2[[#This Row],[TIENDA]],[1]INFO_LOCALES!$B:$J,9,0)</f>
        <v>CONVENIO</v>
      </c>
      <c r="P116" s="5" t="str">
        <f>IFERROR(VLOOKUP(I116,[1]INFO_LOCALES!$B:$F,5,FALSE),"")</f>
        <v>AGUAS DEL ALTIPLANO S.A.</v>
      </c>
      <c r="Q116" s="5" t="s">
        <v>78</v>
      </c>
      <c r="R116" s="5" t="s">
        <v>58</v>
      </c>
      <c r="S116" s="6">
        <v>45595</v>
      </c>
      <c r="T116" s="5" t="s">
        <v>132</v>
      </c>
      <c r="U116" s="6">
        <v>45371</v>
      </c>
      <c r="V116" s="5" t="s">
        <v>59</v>
      </c>
      <c r="W1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" s="7">
        <f t="shared" si="3"/>
        <v>1</v>
      </c>
      <c r="Y116" s="5">
        <v>6</v>
      </c>
      <c r="Z116" s="5">
        <v>6.55</v>
      </c>
      <c r="AA116" s="5">
        <v>2</v>
      </c>
      <c r="AB116" s="5">
        <v>24.05</v>
      </c>
      <c r="AC116" s="5">
        <v>4</v>
      </c>
      <c r="AD116" s="5">
        <v>0.7</v>
      </c>
      <c r="AE116" s="5">
        <v>4.2699999999999996</v>
      </c>
      <c r="AF116" s="5">
        <v>0.5</v>
      </c>
      <c r="AG116" s="5">
        <v>4</v>
      </c>
      <c r="AH116" s="5">
        <v>5.8</v>
      </c>
      <c r="AI116" s="5">
        <f t="shared" si="4"/>
        <v>174</v>
      </c>
      <c r="AZ116" s="8" t="s">
        <v>145</v>
      </c>
    </row>
    <row r="117" spans="1:52" x14ac:dyDescent="0.25">
      <c r="A117" s="5" t="s">
        <v>52</v>
      </c>
      <c r="B117" s="5" t="s">
        <v>90</v>
      </c>
      <c r="C117" s="5" t="s">
        <v>81</v>
      </c>
      <c r="F117" s="5" t="s">
        <v>55</v>
      </c>
      <c r="G117" s="5" t="s">
        <v>61</v>
      </c>
      <c r="H117" s="5" t="s">
        <v>57</v>
      </c>
      <c r="I117" s="5">
        <v>778</v>
      </c>
      <c r="J117" s="5" t="str">
        <f>IFERROR(VLOOKUP(I117,[1]INFO_LOCALES!$B:$C,2,FALSE),"")</f>
        <v>ORIENTE</v>
      </c>
      <c r="K117" s="5" t="str">
        <f>IFERROR(VLOOKUP(Tabla2[[#This Row],[TIENDA]],[1]INFO_LOCALES!$B:$D,3,FALSE),"")</f>
        <v>X - Los Lagos</v>
      </c>
      <c r="L117" s="5" t="str">
        <f>IFERROR(VLOOKUP(I117,[1]INFO_LOCALES!$B:$I,8,FALSE),"")</f>
        <v>Osorno</v>
      </c>
      <c r="M117" s="5" t="str">
        <f>IFERROR(VLOOKUP(I117,[1]INFO_LOCALES!$B:$H,7,FALSE),"")</f>
        <v>Julio Buschman 2223</v>
      </c>
      <c r="N117" s="5">
        <f>IFERROR(VLOOKUP(I117,[1]INFO_LOCALES!$B:$E,4,FALSE),"")</f>
        <v>2867</v>
      </c>
      <c r="O117" s="5" t="str">
        <f>VLOOKUP(Tabla2[[#This Row],[TIENDA]],[1]INFO_LOCALES!$B:$J,9,0)</f>
        <v>CONVENIO</v>
      </c>
      <c r="P117" s="5" t="str">
        <f>IFERROR(VLOOKUP(I117,[1]INFO_LOCALES!$B:$F,5,FALSE),"")</f>
        <v>SURALIS</v>
      </c>
      <c r="Q117" s="5" t="s">
        <v>85</v>
      </c>
      <c r="R117" s="5" t="s">
        <v>86</v>
      </c>
      <c r="S117" s="6" t="s">
        <v>87</v>
      </c>
      <c r="T117" s="5" t="s">
        <v>132</v>
      </c>
      <c r="U117" s="6">
        <v>45372</v>
      </c>
      <c r="V117" s="5" t="s">
        <v>59</v>
      </c>
      <c r="W1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17" s="7">
        <f t="shared" si="3"/>
        <v>3</v>
      </c>
      <c r="Y117" s="5">
        <v>19.100000000000001</v>
      </c>
      <c r="Z117" s="5">
        <v>7</v>
      </c>
      <c r="AA117" s="5">
        <v>34</v>
      </c>
      <c r="AB117" s="5">
        <v>16.899999999999999</v>
      </c>
      <c r="AC117" s="5">
        <v>141</v>
      </c>
      <c r="AD117" s="5">
        <v>8.25</v>
      </c>
      <c r="AE117" s="5">
        <v>26.2</v>
      </c>
      <c r="AF117" s="5">
        <v>14</v>
      </c>
      <c r="AG117" s="5">
        <v>156</v>
      </c>
      <c r="AH117" s="5">
        <v>11</v>
      </c>
      <c r="AI117" s="5">
        <f t="shared" si="4"/>
        <v>330</v>
      </c>
    </row>
    <row r="118" spans="1:52" x14ac:dyDescent="0.25">
      <c r="A118" s="5" t="s">
        <v>52</v>
      </c>
      <c r="B118" s="5" t="s">
        <v>146</v>
      </c>
      <c r="C118" s="5" t="s">
        <v>70</v>
      </c>
      <c r="F118" s="5" t="s">
        <v>55</v>
      </c>
      <c r="G118" s="5" t="s">
        <v>65</v>
      </c>
      <c r="H118" s="5" t="s">
        <v>57</v>
      </c>
      <c r="I118" s="5">
        <v>905</v>
      </c>
      <c r="J118" s="5" t="str">
        <f>IFERROR(VLOOKUP(I118,[1]INFO_LOCALES!$B:$C,2,FALSE),"")</f>
        <v>VICENTE VALDES</v>
      </c>
      <c r="K118" s="5" t="str">
        <f>IFERROR(VLOOKUP(Tabla2[[#This Row],[TIENDA]],[1]INFO_LOCALES!$B:$D,3,FALSE),"")</f>
        <v>RM - Santiago</v>
      </c>
      <c r="L118" s="5" t="str">
        <f>IFERROR(VLOOKUP(I118,[1]INFO_LOCALES!$B:$I,8,FALSE),"")</f>
        <v>La Florida</v>
      </c>
      <c r="M118" s="5" t="str">
        <f>IFERROR(VLOOKUP(I118,[1]INFO_LOCALES!$B:$H,7,FALSE),"")</f>
        <v>Vicuña Mackenna 7802</v>
      </c>
      <c r="N118" s="5">
        <f>IFERROR(VLOOKUP(I118,[1]INFO_LOCALES!$B:$E,4,FALSE),"")</f>
        <v>0</v>
      </c>
      <c r="O118" s="5" t="str">
        <f>VLOOKUP(Tabla2[[#This Row],[TIENDA]],[1]INFO_LOCALES!$B:$J,9,0)</f>
        <v>SIN CONVENIO</v>
      </c>
      <c r="P118" s="5" t="str">
        <f>IFERROR(VLOOKUP(I118,[1]INFO_LOCALES!$B:$F,5,FALSE),"")</f>
        <v>AGUAS ANDINAS S.A.</v>
      </c>
      <c r="Q118" s="5" t="s">
        <v>113</v>
      </c>
      <c r="R118" s="5" t="s">
        <v>58</v>
      </c>
      <c r="S118" s="6">
        <v>45412</v>
      </c>
      <c r="T118" s="5" t="s">
        <v>132</v>
      </c>
      <c r="U118" s="6">
        <v>45372</v>
      </c>
      <c r="V118" s="5" t="s">
        <v>59</v>
      </c>
      <c r="W1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" s="7">
        <f t="shared" si="3"/>
        <v>1</v>
      </c>
      <c r="Y118" s="5">
        <v>31</v>
      </c>
      <c r="Z118" s="5">
        <v>8.61</v>
      </c>
      <c r="AA118" s="5">
        <v>0.8</v>
      </c>
      <c r="AB118" s="5">
        <v>26.9</v>
      </c>
      <c r="AC118" s="5">
        <v>216</v>
      </c>
      <c r="AD118" s="5">
        <v>2.58</v>
      </c>
      <c r="AE118" s="5">
        <v>21.93</v>
      </c>
      <c r="AF118" s="5">
        <v>2</v>
      </c>
      <c r="AG118" s="5">
        <v>107</v>
      </c>
      <c r="AH118" s="5">
        <v>10</v>
      </c>
      <c r="AI118" s="5">
        <f t="shared" si="4"/>
        <v>300</v>
      </c>
    </row>
    <row r="119" spans="1:52" x14ac:dyDescent="0.25">
      <c r="A119" s="5" t="s">
        <v>52</v>
      </c>
      <c r="B119" s="5" t="s">
        <v>76</v>
      </c>
      <c r="C119" s="5" t="s">
        <v>77</v>
      </c>
      <c r="F119" s="5" t="s">
        <v>55</v>
      </c>
      <c r="G119" s="5" t="s">
        <v>61</v>
      </c>
      <c r="H119" s="5" t="s">
        <v>57</v>
      </c>
      <c r="I119" s="5">
        <v>105</v>
      </c>
      <c r="J119" s="5" t="str">
        <f>IFERROR(VLOOKUP(I119,[1]INFO_LOCALES!$B:$C,2,FALSE),"")</f>
        <v>IQUIQUE CENTRO</v>
      </c>
      <c r="K119" s="5" t="str">
        <f>IFERROR(VLOOKUP(Tabla2[[#This Row],[TIENDA]],[1]INFO_LOCALES!$B:$D,3,FALSE),"")</f>
        <v>I - Tarapacá</v>
      </c>
      <c r="L119" s="5" t="str">
        <f>IFERROR(VLOOKUP(I119,[1]INFO_LOCALES!$B:$I,8,FALSE),"")</f>
        <v>Iquique</v>
      </c>
      <c r="M119" s="5" t="str">
        <f>IFERROR(VLOOKUP(I119,[1]INFO_LOCALES!$B:$H,7,FALSE),"")</f>
        <v>Tarapaca 579</v>
      </c>
      <c r="N119" s="5">
        <f>IFERROR(VLOOKUP(I119,[1]INFO_LOCALES!$B:$E,4,FALSE),"")</f>
        <v>4051</v>
      </c>
      <c r="O119" s="5" t="str">
        <f>VLOOKUP(Tabla2[[#This Row],[TIENDA]],[1]INFO_LOCALES!$B:$J,9,0)</f>
        <v>TERMINADO</v>
      </c>
      <c r="P119" s="5" t="str">
        <f>IFERROR(VLOOKUP(I119,[1]INFO_LOCALES!$B:$F,5,FALSE),"")</f>
        <v>AGUAS DEL ALTIPLANO S.A.</v>
      </c>
      <c r="Q119" s="5" t="s">
        <v>78</v>
      </c>
      <c r="R119" s="5" t="s">
        <v>58</v>
      </c>
      <c r="S119" s="6">
        <v>45443</v>
      </c>
      <c r="T119" s="5" t="s">
        <v>132</v>
      </c>
      <c r="U119" s="6">
        <v>45372</v>
      </c>
      <c r="V119" s="5" t="s">
        <v>59</v>
      </c>
      <c r="W1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" s="7">
        <f t="shared" si="3"/>
        <v>1</v>
      </c>
      <c r="Y119" s="5">
        <v>2</v>
      </c>
      <c r="Z119" s="5">
        <v>7.23</v>
      </c>
      <c r="AA119" s="5">
        <v>2</v>
      </c>
      <c r="AB119" s="5">
        <v>24.9</v>
      </c>
      <c r="AC119" s="5">
        <v>264</v>
      </c>
      <c r="AD119" s="5">
        <v>3.9</v>
      </c>
      <c r="AE119" s="5">
        <v>21.84</v>
      </c>
      <c r="AF119" s="5">
        <v>3</v>
      </c>
      <c r="AG119" s="5">
        <v>46</v>
      </c>
      <c r="AH119" s="5">
        <v>3.7</v>
      </c>
      <c r="AI119" s="5">
        <f t="shared" si="4"/>
        <v>111</v>
      </c>
      <c r="AZ119" s="8" t="s">
        <v>147</v>
      </c>
    </row>
    <row r="120" spans="1:52" x14ac:dyDescent="0.25">
      <c r="A120" s="5" t="s">
        <v>52</v>
      </c>
      <c r="B120" s="5" t="s">
        <v>90</v>
      </c>
      <c r="C120" s="5" t="s">
        <v>81</v>
      </c>
      <c r="F120" s="5" t="s">
        <v>55</v>
      </c>
      <c r="G120" s="5" t="s">
        <v>61</v>
      </c>
      <c r="H120" s="5" t="s">
        <v>57</v>
      </c>
      <c r="I120" s="5">
        <v>778</v>
      </c>
      <c r="J120" s="5" t="str">
        <f>IFERROR(VLOOKUP(I120,[1]INFO_LOCALES!$B:$C,2,FALSE),"")</f>
        <v>ORIENTE</v>
      </c>
      <c r="K120" s="5" t="str">
        <f>IFERROR(VLOOKUP(Tabla2[[#This Row],[TIENDA]],[1]INFO_LOCALES!$B:$D,3,FALSE),"")</f>
        <v>X - Los Lagos</v>
      </c>
      <c r="L120" s="5" t="str">
        <f>IFERROR(VLOOKUP(I120,[1]INFO_LOCALES!$B:$I,8,FALSE),"")</f>
        <v>Osorno</v>
      </c>
      <c r="M120" s="5" t="str">
        <f>IFERROR(VLOOKUP(I120,[1]INFO_LOCALES!$B:$H,7,FALSE),"")</f>
        <v>Julio Buschman 2223</v>
      </c>
      <c r="N120" s="5">
        <f>IFERROR(VLOOKUP(I120,[1]INFO_LOCALES!$B:$E,4,FALSE),"")</f>
        <v>2867</v>
      </c>
      <c r="O120" s="5" t="str">
        <f>VLOOKUP(Tabla2[[#This Row],[TIENDA]],[1]INFO_LOCALES!$B:$J,9,0)</f>
        <v>CONVENIO</v>
      </c>
      <c r="P120" s="5" t="str">
        <f>IFERROR(VLOOKUP(I120,[1]INFO_LOCALES!$B:$F,5,FALSE),"")</f>
        <v>SURALIS</v>
      </c>
      <c r="Q120" s="5" t="s">
        <v>105</v>
      </c>
      <c r="R120" s="5" t="s">
        <v>58</v>
      </c>
      <c r="S120" s="6">
        <v>45412</v>
      </c>
      <c r="T120" s="5" t="s">
        <v>132</v>
      </c>
      <c r="U120" s="6">
        <v>45375</v>
      </c>
      <c r="V120" s="5" t="s">
        <v>59</v>
      </c>
      <c r="W1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20" s="7">
        <f t="shared" si="3"/>
        <v>2</v>
      </c>
      <c r="Y120" s="5">
        <v>14</v>
      </c>
      <c r="Z120" s="5">
        <v>6.88</v>
      </c>
      <c r="AA120" s="5">
        <v>2</v>
      </c>
      <c r="AB120" s="5">
        <v>14.5</v>
      </c>
      <c r="AC120" s="5">
        <v>167</v>
      </c>
      <c r="AD120" s="5">
        <v>7.6</v>
      </c>
      <c r="AE120" s="5">
        <v>84.37</v>
      </c>
      <c r="AF120" s="5">
        <v>2</v>
      </c>
      <c r="AG120" s="5">
        <v>43</v>
      </c>
      <c r="AH120" s="5">
        <v>10</v>
      </c>
      <c r="AI120" s="5">
        <f t="shared" si="4"/>
        <v>300</v>
      </c>
      <c r="AZ120" s="8" t="s">
        <v>148</v>
      </c>
    </row>
    <row r="121" spans="1:52" x14ac:dyDescent="0.25">
      <c r="A121" s="5" t="s">
        <v>60</v>
      </c>
      <c r="B121" s="5" t="e">
        <v>#N/A</v>
      </c>
      <c r="C121" s="5" t="e">
        <v>#N/A</v>
      </c>
      <c r="F121" s="5" t="s">
        <v>55</v>
      </c>
      <c r="G121" s="5" t="s">
        <v>61</v>
      </c>
      <c r="H121" s="5" t="s">
        <v>57</v>
      </c>
      <c r="I121" s="5">
        <v>3143</v>
      </c>
      <c r="J121" s="5" t="str">
        <f>IFERROR(VLOOKUP(I121,[1]INFO_LOCALES!$B:$C,2,FALSE),"")</f>
        <v>M10 TEMUCO IV</v>
      </c>
      <c r="K121" s="5" t="str">
        <f>IFERROR(VLOOKUP(Tabla2[[#This Row],[TIENDA]],[1]INFO_LOCALES!$B:$D,3,FALSE),"")</f>
        <v>IX - Araucanía</v>
      </c>
      <c r="L121" s="5" t="str">
        <f>IFERROR(VLOOKUP(I121,[1]INFO_LOCALES!$B:$I,8,FALSE),"")</f>
        <v>Temuco</v>
      </c>
      <c r="M121" s="5" t="str">
        <f>IFERROR(VLOOKUP(I121,[1]INFO_LOCALES!$B:$H,7,FALSE),"")</f>
        <v>Francisco Salazar 01650</v>
      </c>
      <c r="N121" s="5">
        <f>IFERROR(VLOOKUP(I121,[1]INFO_LOCALES!$B:$E,4,FALSE),"")</f>
        <v>4422</v>
      </c>
      <c r="O121" s="5" t="str">
        <f>VLOOKUP(Tabla2[[#This Row],[TIENDA]],[1]INFO_LOCALES!$B:$J,9,0)</f>
        <v>CONVENIO</v>
      </c>
      <c r="P121" s="5" t="str">
        <f>IFERROR(VLOOKUP(I121,[1]INFO_LOCALES!$B:$F,5,FALSE),"")</f>
        <v>AGUAS ARAUCANIA S A</v>
      </c>
      <c r="Q121" s="5" t="s">
        <v>85</v>
      </c>
      <c r="R121" s="5" t="s">
        <v>86</v>
      </c>
      <c r="S121" s="6" t="s">
        <v>87</v>
      </c>
      <c r="T121" s="5" t="s">
        <v>132</v>
      </c>
      <c r="U121" s="6">
        <v>45376</v>
      </c>
      <c r="V121" s="5" t="s">
        <v>59</v>
      </c>
      <c r="W1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" s="7">
        <f t="shared" si="3"/>
        <v>1</v>
      </c>
      <c r="Y121" s="5">
        <v>8.7200000000000006</v>
      </c>
      <c r="Z121" s="5">
        <v>7.39</v>
      </c>
      <c r="AA121" s="5">
        <v>2</v>
      </c>
      <c r="AB121" s="5">
        <v>20</v>
      </c>
      <c r="AC121" s="5">
        <v>55</v>
      </c>
      <c r="AD121" s="5">
        <v>4.1900000000000004</v>
      </c>
      <c r="AE121" s="5">
        <v>30.5</v>
      </c>
      <c r="AF121" s="5">
        <v>0.5</v>
      </c>
      <c r="AG121" s="5">
        <v>49</v>
      </c>
      <c r="AH121" s="5">
        <v>1.6</v>
      </c>
      <c r="AI121" s="5">
        <f t="shared" si="4"/>
        <v>48</v>
      </c>
    </row>
    <row r="122" spans="1:52" x14ac:dyDescent="0.25">
      <c r="A122" s="5" t="s">
        <v>52</v>
      </c>
      <c r="B122" s="5" t="s">
        <v>128</v>
      </c>
      <c r="C122" s="5" t="s">
        <v>77</v>
      </c>
      <c r="F122" s="5" t="s">
        <v>55</v>
      </c>
      <c r="G122" s="5" t="s">
        <v>61</v>
      </c>
      <c r="H122" s="5" t="s">
        <v>57</v>
      </c>
      <c r="I122" s="5">
        <v>17</v>
      </c>
      <c r="J122" s="5" t="str">
        <f>IFERROR(VLOOKUP(I122,[1]INFO_LOCALES!$B:$C,2,FALSE),"")</f>
        <v>LOS ALAMOS</v>
      </c>
      <c r="K122" s="5" t="str">
        <f>IFERROR(VLOOKUP(Tabla2[[#This Row],[TIENDA]],[1]INFO_LOCALES!$B:$D,3,FALSE),"")</f>
        <v>IV - Coquimbo</v>
      </c>
      <c r="L122" s="5" t="str">
        <f>IFERROR(VLOOKUP(I122,[1]INFO_LOCALES!$B:$I,8,FALSE),"")</f>
        <v>Coquimbo</v>
      </c>
      <c r="M122" s="5" t="str">
        <f>IFERROR(VLOOKUP(I122,[1]INFO_LOCALES!$B:$H,7,FALSE),"")</f>
        <v>Los Alamos 580</v>
      </c>
      <c r="N122" s="5">
        <f>IFERROR(VLOOKUP(I122,[1]INFO_LOCALES!$B:$E,4,FALSE),"")</f>
        <v>2643</v>
      </c>
      <c r="O122" s="5" t="str">
        <f>VLOOKUP(Tabla2[[#This Row],[TIENDA]],[1]INFO_LOCALES!$B:$J,9,0)</f>
        <v>TERMINADO</v>
      </c>
      <c r="P122" s="5" t="str">
        <f>IFERROR(VLOOKUP(I122,[1]INFO_LOCALES!$B:$F,5,FALSE),"")</f>
        <v>AGUAS DEL VALLE S A</v>
      </c>
      <c r="Q122" s="5" t="s">
        <v>85</v>
      </c>
      <c r="R122" s="5" t="s">
        <v>86</v>
      </c>
      <c r="S122" s="6" t="s">
        <v>87</v>
      </c>
      <c r="T122" s="5" t="s">
        <v>132</v>
      </c>
      <c r="U122" s="6">
        <v>45376</v>
      </c>
      <c r="V122" s="5" t="s">
        <v>59</v>
      </c>
      <c r="W1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22" s="7">
        <f t="shared" si="3"/>
        <v>3</v>
      </c>
      <c r="Y122" s="5">
        <v>15.4</v>
      </c>
      <c r="Z122" s="5">
        <v>7.9</v>
      </c>
      <c r="AA122" s="5">
        <v>24</v>
      </c>
      <c r="AB122" s="5">
        <v>19.11</v>
      </c>
      <c r="AC122" s="5">
        <v>107</v>
      </c>
      <c r="AD122" s="5">
        <v>4.0999999999999996</v>
      </c>
      <c r="AE122" s="5">
        <v>21</v>
      </c>
      <c r="AF122" s="5">
        <v>0.5</v>
      </c>
      <c r="AG122" s="5">
        <v>47</v>
      </c>
      <c r="AH122" s="5">
        <v>1.1000000000000001</v>
      </c>
      <c r="AI122" s="5">
        <f t="shared" si="4"/>
        <v>33</v>
      </c>
    </row>
    <row r="123" spans="1:52" x14ac:dyDescent="0.25">
      <c r="A123" s="5" t="s">
        <v>52</v>
      </c>
      <c r="B123" s="5" t="s">
        <v>53</v>
      </c>
      <c r="C123" s="5" t="s">
        <v>54</v>
      </c>
      <c r="F123" s="5" t="s">
        <v>55</v>
      </c>
      <c r="G123" s="5" t="s">
        <v>61</v>
      </c>
      <c r="H123" s="5" t="s">
        <v>57</v>
      </c>
      <c r="I123" s="5">
        <v>344</v>
      </c>
      <c r="J123" s="5" t="str">
        <f>IFERROR(VLOOKUP(I123,[1]INFO_LOCALES!$B:$C,2,FALSE),"")</f>
        <v>CURICO ALAMEDA</v>
      </c>
      <c r="K123" s="5" t="str">
        <f>IFERROR(VLOOKUP(Tabla2[[#This Row],[TIENDA]],[1]INFO_LOCALES!$B:$D,3,FALSE),"")</f>
        <v>VII - Maule</v>
      </c>
      <c r="L123" s="5" t="str">
        <f>IFERROR(VLOOKUP(I123,[1]INFO_LOCALES!$B:$I,8,FALSE),"")</f>
        <v>Curicó</v>
      </c>
      <c r="M123" s="5" t="str">
        <f>IFERROR(VLOOKUP(I123,[1]INFO_LOCALES!$B:$H,7,FALSE),"")</f>
        <v>Estado 43</v>
      </c>
      <c r="N123" s="5">
        <f>IFERROR(VLOOKUP(I123,[1]INFO_LOCALES!$B:$E,4,FALSE),"")</f>
        <v>4530</v>
      </c>
      <c r="O123" s="5" t="str">
        <f>VLOOKUP(Tabla2[[#This Row],[TIENDA]],[1]INFO_LOCALES!$B:$J,9,0)</f>
        <v>SIN CONVENIO</v>
      </c>
      <c r="P123" s="5" t="str">
        <f>IFERROR(VLOOKUP(I123,[1]INFO_LOCALES!$B:$F,5,FALSE),"")</f>
        <v>NUEVOSUR S.A.</v>
      </c>
      <c r="Q123" s="5" t="s">
        <v>85</v>
      </c>
      <c r="R123" s="5" t="s">
        <v>86</v>
      </c>
      <c r="S123" s="6" t="s">
        <v>87</v>
      </c>
      <c r="T123" s="5" t="s">
        <v>132</v>
      </c>
      <c r="U123" s="6">
        <v>45377</v>
      </c>
      <c r="V123" s="5" t="s">
        <v>59</v>
      </c>
      <c r="W1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23" s="7">
        <f t="shared" si="3"/>
        <v>3</v>
      </c>
      <c r="Y123" s="5">
        <v>9.1</v>
      </c>
      <c r="Z123" s="5">
        <v>7.38</v>
      </c>
      <c r="AA123" s="5">
        <v>2</v>
      </c>
      <c r="AB123" s="5">
        <v>19.8</v>
      </c>
      <c r="AC123" s="5">
        <v>1301</v>
      </c>
      <c r="AD123" s="5">
        <v>18.2</v>
      </c>
      <c r="AE123" s="5">
        <v>53.3</v>
      </c>
      <c r="AF123" s="5">
        <v>0.5</v>
      </c>
      <c r="AG123" s="5">
        <v>62</v>
      </c>
      <c r="AH123" s="5">
        <v>0</v>
      </c>
      <c r="AI123" s="5">
        <f t="shared" si="4"/>
        <v>0</v>
      </c>
    </row>
    <row r="124" spans="1:52" x14ac:dyDescent="0.25">
      <c r="A124" s="5" t="s">
        <v>52</v>
      </c>
      <c r="B124" s="5" t="e">
        <v>#N/A</v>
      </c>
      <c r="C124" s="5" t="e">
        <v>#N/A</v>
      </c>
      <c r="F124" s="5" t="s">
        <v>55</v>
      </c>
      <c r="G124" s="5" t="s">
        <v>61</v>
      </c>
      <c r="H124" s="5" t="s">
        <v>57</v>
      </c>
      <c r="I124" s="5">
        <v>9139</v>
      </c>
      <c r="J124" s="5" t="str">
        <f>IFERROR(VLOOKUP(I124,[1]INFO_LOCALES!$B:$C,2,FALSE),"")</f>
        <v>CD LO AGUIRRE</v>
      </c>
      <c r="K124" s="5" t="str">
        <f>IFERROR(VLOOKUP(Tabla2[[#This Row],[TIENDA]],[1]INFO_LOCALES!$B:$D,3,FALSE),"")</f>
        <v>RM - Santiago</v>
      </c>
      <c r="L124" s="5" t="str">
        <f>IFERROR(VLOOKUP(I124,[1]INFO_LOCALES!$B:$I,8,FALSE),"")</f>
        <v>Pudahuel</v>
      </c>
      <c r="M124" s="5" t="str">
        <f>IFERROR(VLOOKUP(I124,[1]INFO_LOCALES!$B:$H,7,FALSE),"")</f>
        <v>CAMINO LO AGUIRRE SUR 537</v>
      </c>
      <c r="N124" s="5">
        <f>IFERROR(VLOOKUP(I124,[1]INFO_LOCALES!$B:$E,4,FALSE),"")</f>
        <v>3552</v>
      </c>
      <c r="O124" s="5" t="str">
        <f>VLOOKUP(Tabla2[[#This Row],[TIENDA]],[1]INFO_LOCALES!$B:$J,9,0)</f>
        <v>SIN CONVENIO</v>
      </c>
      <c r="P124" s="5" t="str">
        <f>IFERROR(VLOOKUP(I124,[1]INFO_LOCALES!$B:$F,5,FALSE),"")</f>
        <v>AGUAS IZARRA</v>
      </c>
      <c r="Q124" s="5" t="s">
        <v>85</v>
      </c>
      <c r="R124" s="5" t="s">
        <v>86</v>
      </c>
      <c r="S124" s="6" t="s">
        <v>87</v>
      </c>
      <c r="T124" s="5" t="s">
        <v>132</v>
      </c>
      <c r="U124" s="6">
        <v>45377</v>
      </c>
      <c r="V124" s="5" t="s">
        <v>59</v>
      </c>
      <c r="W1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" s="7">
        <f t="shared" si="3"/>
        <v>1</v>
      </c>
      <c r="Y124" s="5">
        <v>8.1999999999999993</v>
      </c>
      <c r="Z124" s="5">
        <v>5.9</v>
      </c>
      <c r="AA124" s="5">
        <v>2</v>
      </c>
      <c r="AB124" s="5">
        <v>20.29</v>
      </c>
      <c r="AC124" s="5">
        <v>31</v>
      </c>
      <c r="AD124" s="5">
        <v>1.4</v>
      </c>
      <c r="AE124" s="5">
        <v>6.49</v>
      </c>
      <c r="AF124" s="5">
        <v>1</v>
      </c>
      <c r="AG124" s="5">
        <v>25</v>
      </c>
      <c r="AH124" s="5">
        <v>29.9</v>
      </c>
      <c r="AI124" s="5">
        <f t="shared" si="4"/>
        <v>897</v>
      </c>
      <c r="AJ124" s="5">
        <v>0.21479999999999999</v>
      </c>
      <c r="AK124" s="5">
        <v>5.0000000000000001E-3</v>
      </c>
      <c r="AL124" s="5">
        <v>0.2833</v>
      </c>
      <c r="AM124" s="5">
        <v>0.01</v>
      </c>
      <c r="AN124" s="5">
        <v>0.1</v>
      </c>
      <c r="AO124" s="5">
        <v>0.18529999999999999</v>
      </c>
      <c r="AP124" s="5">
        <v>0.05</v>
      </c>
      <c r="AQ124" s="5">
        <v>0.05</v>
      </c>
      <c r="AR124" s="5">
        <v>0.05</v>
      </c>
      <c r="AS124" s="5">
        <v>10</v>
      </c>
      <c r="AT124" s="5">
        <v>2.29E-2</v>
      </c>
      <c r="AU124" s="5">
        <v>1E-3</v>
      </c>
      <c r="AV124" s="5">
        <v>0.05</v>
      </c>
      <c r="AW124" s="5">
        <v>0.05</v>
      </c>
      <c r="AX124" s="5">
        <v>29</v>
      </c>
      <c r="AY124" s="5">
        <v>0.5</v>
      </c>
    </row>
    <row r="125" spans="1:52" x14ac:dyDescent="0.25">
      <c r="A125" s="5" t="s">
        <v>60</v>
      </c>
      <c r="B125" s="5" t="e">
        <v>#N/A</v>
      </c>
      <c r="C125" s="5" t="e">
        <v>#N/A</v>
      </c>
      <c r="F125" s="5" t="s">
        <v>55</v>
      </c>
      <c r="G125" s="5" t="s">
        <v>61</v>
      </c>
      <c r="H125" s="5" t="s">
        <v>57</v>
      </c>
      <c r="I125" s="5">
        <v>3014</v>
      </c>
      <c r="J125" s="5" t="str">
        <f>IFERROR(VLOOKUP(I125,[1]INFO_LOCALES!$B:$C,2,FALSE),"")</f>
        <v>M10 SAN FERNANDO</v>
      </c>
      <c r="K125" s="5" t="str">
        <f>IFERROR(VLOOKUP(Tabla2[[#This Row],[TIENDA]],[1]INFO_LOCALES!$B:$D,3,FALSE),"")</f>
        <v>VI - O'Higgins</v>
      </c>
      <c r="L125" s="5" t="str">
        <f>IFERROR(VLOOKUP(I125,[1]INFO_LOCALES!$B:$I,8,FALSE),"")</f>
        <v>San Fernando</v>
      </c>
      <c r="M125" s="5" t="str">
        <f>IFERROR(VLOOKUP(I125,[1]INFO_LOCALES!$B:$H,7,FALSE),"")</f>
        <v>Chillan 745</v>
      </c>
      <c r="N125" s="5">
        <f>IFERROR(VLOOKUP(I125,[1]INFO_LOCALES!$B:$E,4,FALSE),"")</f>
        <v>1298</v>
      </c>
      <c r="O125" s="5" t="str">
        <f>VLOOKUP(Tabla2[[#This Row],[TIENDA]],[1]INFO_LOCALES!$B:$J,9,0)</f>
        <v>TERMINADO</v>
      </c>
      <c r="P125" s="5" t="str">
        <f>IFERROR(VLOOKUP(I125,[1]INFO_LOCALES!$B:$F,5,FALSE),"")</f>
        <v>ESSBIO S.A.</v>
      </c>
      <c r="Q125" s="5" t="s">
        <v>85</v>
      </c>
      <c r="R125" s="5" t="s">
        <v>86</v>
      </c>
      <c r="S125" s="6" t="s">
        <v>87</v>
      </c>
      <c r="T125" s="5" t="s">
        <v>132</v>
      </c>
      <c r="U125" s="6">
        <v>45377</v>
      </c>
      <c r="V125" s="5" t="s">
        <v>59</v>
      </c>
      <c r="W1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" s="7">
        <f t="shared" si="3"/>
        <v>1</v>
      </c>
      <c r="Y125" s="5">
        <v>8.1</v>
      </c>
      <c r="Z125" s="5">
        <v>7.2</v>
      </c>
      <c r="AA125" s="5">
        <v>4</v>
      </c>
      <c r="AB125" s="5">
        <v>21.59</v>
      </c>
      <c r="AC125" s="5">
        <v>140</v>
      </c>
      <c r="AD125" s="5">
        <v>6.4</v>
      </c>
      <c r="AE125" s="5">
        <v>15</v>
      </c>
      <c r="AF125" s="5">
        <v>0.5</v>
      </c>
      <c r="AG125" s="5">
        <v>31.2</v>
      </c>
      <c r="AH125" s="5">
        <v>1.3</v>
      </c>
      <c r="AI125" s="5">
        <f t="shared" si="4"/>
        <v>39</v>
      </c>
    </row>
    <row r="126" spans="1:52" x14ac:dyDescent="0.25">
      <c r="A126" s="5" t="s">
        <v>52</v>
      </c>
      <c r="B126" s="5" t="s">
        <v>149</v>
      </c>
      <c r="C126" s="5" t="s">
        <v>81</v>
      </c>
      <c r="F126" s="5" t="s">
        <v>55</v>
      </c>
      <c r="G126" s="5" t="s">
        <v>65</v>
      </c>
      <c r="H126" s="5" t="s">
        <v>57</v>
      </c>
      <c r="I126" s="5">
        <v>773</v>
      </c>
      <c r="J126" s="5" t="str">
        <f>IFERROR(VLOOKUP(I126,[1]INFO_LOCALES!$B:$C,2,FALSE),"")</f>
        <v>LLANQUIHUE</v>
      </c>
      <c r="K126" s="5" t="str">
        <f>IFERROR(VLOOKUP(Tabla2[[#This Row],[TIENDA]],[1]INFO_LOCALES!$B:$D,3,FALSE),"")</f>
        <v>X - Los Lagos</v>
      </c>
      <c r="L126" s="5" t="str">
        <f>IFERROR(VLOOKUP(I126,[1]INFO_LOCALES!$B:$I,8,FALSE),"")</f>
        <v>Llanquihue</v>
      </c>
      <c r="M126" s="5" t="str">
        <f>IFERROR(VLOOKUP(I126,[1]INFO_LOCALES!$B:$H,7,FALSE),"")</f>
        <v>Baquedano 612</v>
      </c>
      <c r="N126" s="5">
        <f>IFERROR(VLOOKUP(I126,[1]INFO_LOCALES!$B:$E,4,FALSE),"")</f>
        <v>0</v>
      </c>
      <c r="O126" s="5" t="str">
        <f>VLOOKUP(Tabla2[[#This Row],[TIENDA]],[1]INFO_LOCALES!$B:$J,9,0)</f>
        <v>SIN CONVENIO</v>
      </c>
      <c r="P126" s="5" t="str">
        <f>IFERROR(VLOOKUP(I126,[1]INFO_LOCALES!$B:$F,5,FALSE),"")</f>
        <v>SURALIS</v>
      </c>
      <c r="Q126" s="5" t="s">
        <v>105</v>
      </c>
      <c r="R126" s="5" t="s">
        <v>58</v>
      </c>
      <c r="S126" s="6">
        <v>45412</v>
      </c>
      <c r="T126" s="5" t="s">
        <v>132</v>
      </c>
      <c r="U126" s="6">
        <v>45377</v>
      </c>
      <c r="V126" s="5" t="s">
        <v>59</v>
      </c>
      <c r="W1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" s="7">
        <f t="shared" si="3"/>
        <v>1</v>
      </c>
      <c r="Y126" s="5">
        <v>14</v>
      </c>
      <c r="Z126" s="5">
        <v>6.72</v>
      </c>
      <c r="AA126" s="5">
        <v>2</v>
      </c>
      <c r="AB126" s="5">
        <v>11.4</v>
      </c>
      <c r="AC126" s="5">
        <v>166</v>
      </c>
      <c r="AD126" s="5">
        <v>3.1</v>
      </c>
      <c r="AE126" s="5">
        <v>4.72</v>
      </c>
      <c r="AF126" s="5">
        <v>0.5</v>
      </c>
      <c r="AG126" s="5">
        <v>70</v>
      </c>
      <c r="AH126" s="5">
        <v>11.6</v>
      </c>
      <c r="AI126" s="5">
        <f t="shared" si="4"/>
        <v>348</v>
      </c>
      <c r="AZ126" s="8" t="s">
        <v>150</v>
      </c>
    </row>
    <row r="127" spans="1:52" x14ac:dyDescent="0.25">
      <c r="A127" s="5" t="s">
        <v>52</v>
      </c>
      <c r="B127" s="5" t="s">
        <v>90</v>
      </c>
      <c r="C127" s="5" t="s">
        <v>81</v>
      </c>
      <c r="F127" s="5" t="s">
        <v>55</v>
      </c>
      <c r="G127" s="5" t="s">
        <v>61</v>
      </c>
      <c r="H127" s="5" t="s">
        <v>57</v>
      </c>
      <c r="I127" s="5">
        <v>777</v>
      </c>
      <c r="J127" s="5" t="str">
        <f>IFERROR(VLOOKUP(I127,[1]INFO_LOCALES!$B:$C,2,FALSE),"")</f>
        <v>CENTRAL</v>
      </c>
      <c r="K127" s="5" t="str">
        <f>IFERROR(VLOOKUP(Tabla2[[#This Row],[TIENDA]],[1]INFO_LOCALES!$B:$D,3,FALSE),"")</f>
        <v>X - Los Lagos</v>
      </c>
      <c r="L127" s="5" t="str">
        <f>IFERROR(VLOOKUP(I127,[1]INFO_LOCALES!$B:$I,8,FALSE),"")</f>
        <v>Osorno</v>
      </c>
      <c r="M127" s="5" t="str">
        <f>IFERROR(VLOOKUP(I127,[1]INFO_LOCALES!$B:$H,7,FALSE),"")</f>
        <v>Patricio Lynch 1278</v>
      </c>
      <c r="N127" s="5">
        <f>IFERROR(VLOOKUP(I127,[1]INFO_LOCALES!$B:$E,4,FALSE),"")</f>
        <v>3684</v>
      </c>
      <c r="O127" s="5" t="str">
        <f>VLOOKUP(Tabla2[[#This Row],[TIENDA]],[1]INFO_LOCALES!$B:$J,9,0)</f>
        <v>CONVENIO</v>
      </c>
      <c r="P127" s="5" t="str">
        <f>IFERROR(VLOOKUP(I127,[1]INFO_LOCALES!$B:$F,5,FALSE),"")</f>
        <v>SURALIS</v>
      </c>
      <c r="Q127" s="5" t="s">
        <v>85</v>
      </c>
      <c r="R127" s="5" t="s">
        <v>86</v>
      </c>
      <c r="S127" s="6" t="s">
        <v>87</v>
      </c>
      <c r="T127" s="5" t="s">
        <v>132</v>
      </c>
      <c r="U127" s="6">
        <v>45378</v>
      </c>
      <c r="V127" s="5" t="s">
        <v>59</v>
      </c>
      <c r="W1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27" s="7">
        <f t="shared" si="3"/>
        <v>3</v>
      </c>
      <c r="Y127" s="5">
        <v>32</v>
      </c>
      <c r="Z127" s="5">
        <v>6.64</v>
      </c>
      <c r="AA127" s="5">
        <v>26</v>
      </c>
      <c r="AB127" s="5">
        <v>23.8</v>
      </c>
      <c r="AC127" s="5">
        <v>338</v>
      </c>
      <c r="AD127" s="5">
        <v>14.9</v>
      </c>
      <c r="AE127" s="5">
        <v>5</v>
      </c>
      <c r="AF127" s="5">
        <v>0.5</v>
      </c>
      <c r="AG127" s="5">
        <v>113</v>
      </c>
      <c r="AH127" s="5">
        <v>3.6</v>
      </c>
      <c r="AI127" s="5">
        <f t="shared" si="4"/>
        <v>108</v>
      </c>
    </row>
    <row r="128" spans="1:52" x14ac:dyDescent="0.25">
      <c r="A128" s="5" t="s">
        <v>52</v>
      </c>
      <c r="B128" s="5" t="s">
        <v>90</v>
      </c>
      <c r="C128" s="5" t="s">
        <v>81</v>
      </c>
      <c r="F128" s="5" t="s">
        <v>55</v>
      </c>
      <c r="G128" s="5" t="s">
        <v>61</v>
      </c>
      <c r="H128" s="5" t="s">
        <v>57</v>
      </c>
      <c r="I128" s="5">
        <v>780</v>
      </c>
      <c r="J128" s="5" t="str">
        <f>IFERROR(VLOOKUP(I128,[1]INFO_LOCALES!$B:$C,2,FALSE),"")</f>
        <v>VICTORIA</v>
      </c>
      <c r="K128" s="5" t="str">
        <f>IFERROR(VLOOKUP(Tabla2[[#This Row],[TIENDA]],[1]INFO_LOCALES!$B:$D,3,FALSE),"")</f>
        <v>X - Los Lagos</v>
      </c>
      <c r="L128" s="5" t="str">
        <f>IFERROR(VLOOKUP(I128,[1]INFO_LOCALES!$B:$I,8,FALSE),"")</f>
        <v>Osorno</v>
      </c>
      <c r="M128" s="5" t="str">
        <f>IFERROR(VLOOKUP(I128,[1]INFO_LOCALES!$B:$H,7,FALSE),"")</f>
        <v>Victoria 367 Rahue Bajo</v>
      </c>
      <c r="N128" s="5">
        <f>IFERROR(VLOOKUP(I128,[1]INFO_LOCALES!$B:$E,4,FALSE),"")</f>
        <v>1362</v>
      </c>
      <c r="O128" s="5" t="str">
        <f>VLOOKUP(Tabla2[[#This Row],[TIENDA]],[1]INFO_LOCALES!$B:$J,9,0)</f>
        <v>SIN CONVENIO</v>
      </c>
      <c r="P128" s="5" t="str">
        <f>IFERROR(VLOOKUP(I128,[1]INFO_LOCALES!$B:$F,5,FALSE),"")</f>
        <v>SURALIS</v>
      </c>
      <c r="Q128" s="5" t="s">
        <v>85</v>
      </c>
      <c r="R128" s="5" t="s">
        <v>86</v>
      </c>
      <c r="S128" s="6" t="s">
        <v>87</v>
      </c>
      <c r="T128" s="5" t="s">
        <v>132</v>
      </c>
      <c r="U128" s="6">
        <v>45378</v>
      </c>
      <c r="V128" s="5" t="s">
        <v>59</v>
      </c>
      <c r="W1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28" s="7">
        <f t="shared" si="3"/>
        <v>3</v>
      </c>
      <c r="Y128" s="5">
        <v>22.3</v>
      </c>
      <c r="Z128" s="5">
        <v>7.12</v>
      </c>
      <c r="AA128" s="5">
        <v>21</v>
      </c>
      <c r="AB128" s="5">
        <v>21.8</v>
      </c>
      <c r="AC128" s="5">
        <v>260</v>
      </c>
      <c r="AD128" s="5">
        <v>16.600000000000001</v>
      </c>
      <c r="AE128" s="5">
        <v>36.1</v>
      </c>
      <c r="AF128" s="5">
        <v>0.5</v>
      </c>
      <c r="AG128" s="5">
        <v>216.3</v>
      </c>
      <c r="AI128" s="5">
        <f t="shared" si="4"/>
        <v>0</v>
      </c>
    </row>
    <row r="129" spans="1:52" x14ac:dyDescent="0.25">
      <c r="A129" s="5" t="s">
        <v>52</v>
      </c>
      <c r="B129" s="5" t="s">
        <v>149</v>
      </c>
      <c r="C129" s="5" t="s">
        <v>81</v>
      </c>
      <c r="F129" s="5" t="s">
        <v>55</v>
      </c>
      <c r="G129" s="5" t="s">
        <v>61</v>
      </c>
      <c r="H129" s="5" t="s">
        <v>57</v>
      </c>
      <c r="I129" s="5">
        <v>771</v>
      </c>
      <c r="J129" s="5" t="str">
        <f>IFERROR(VLOOKUP(I129,[1]INFO_LOCALES!$B:$C,2,FALSE),"")</f>
        <v>MIRASOL</v>
      </c>
      <c r="K129" s="5" t="str">
        <f>IFERROR(VLOOKUP(Tabla2[[#This Row],[TIENDA]],[1]INFO_LOCALES!$B:$D,3,FALSE),"")</f>
        <v>X - Los Lagos</v>
      </c>
      <c r="L129" s="5" t="str">
        <f>IFERROR(VLOOKUP(I129,[1]INFO_LOCALES!$B:$I,8,FALSE),"")</f>
        <v>Puerto Montt</v>
      </c>
      <c r="M129" s="5" t="str">
        <f>IFERROR(VLOOKUP(I129,[1]INFO_LOCALES!$B:$H,7,FALSE),"")</f>
        <v>Av. La Cruz 2006</v>
      </c>
      <c r="N129" s="5">
        <f>IFERROR(VLOOKUP(I129,[1]INFO_LOCALES!$B:$E,4,FALSE),"")</f>
        <v>3723</v>
      </c>
      <c r="O129" s="5" t="str">
        <f>VLOOKUP(Tabla2[[#This Row],[TIENDA]],[1]INFO_LOCALES!$B:$J,9,0)</f>
        <v>SIN CONVENIO</v>
      </c>
      <c r="P129" s="5" t="str">
        <f>IFERROR(VLOOKUP(I129,[1]INFO_LOCALES!$B:$F,5,FALSE),"")</f>
        <v>SURALIS</v>
      </c>
      <c r="Q129" s="5" t="s">
        <v>85</v>
      </c>
      <c r="R129" s="5" t="s">
        <v>86</v>
      </c>
      <c r="S129" s="6" t="s">
        <v>87</v>
      </c>
      <c r="T129" s="5" t="s">
        <v>132</v>
      </c>
      <c r="U129" s="6">
        <v>45378</v>
      </c>
      <c r="V129" s="5" t="s">
        <v>59</v>
      </c>
      <c r="W1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29" s="7">
        <f t="shared" si="3"/>
        <v>3</v>
      </c>
      <c r="Y129" s="5">
        <v>40.4</v>
      </c>
      <c r="Z129" s="5">
        <v>7.38</v>
      </c>
      <c r="AA129" s="5">
        <v>15</v>
      </c>
      <c r="AB129" s="5">
        <v>16.399999999999999</v>
      </c>
      <c r="AC129" s="5">
        <v>261</v>
      </c>
      <c r="AD129" s="5">
        <v>7.48</v>
      </c>
      <c r="AE129" s="5">
        <v>6.5</v>
      </c>
      <c r="AF129" s="5">
        <v>2</v>
      </c>
      <c r="AG129" s="5">
        <v>248</v>
      </c>
      <c r="AH129" s="5">
        <v>4</v>
      </c>
      <c r="AI129" s="5">
        <f t="shared" si="4"/>
        <v>120</v>
      </c>
    </row>
    <row r="130" spans="1:52" x14ac:dyDescent="0.25">
      <c r="A130" s="5" t="s">
        <v>52</v>
      </c>
      <c r="B130" s="5" t="s">
        <v>149</v>
      </c>
      <c r="C130" s="5" t="s">
        <v>81</v>
      </c>
      <c r="F130" s="5" t="s">
        <v>55</v>
      </c>
      <c r="G130" s="5" t="s">
        <v>61</v>
      </c>
      <c r="H130" s="5" t="s">
        <v>57</v>
      </c>
      <c r="I130" s="5">
        <v>789</v>
      </c>
      <c r="J130" s="5" t="str">
        <f>IFERROR(VLOOKUP(I130,[1]INFO_LOCALES!$B:$C,2,FALSE),"")</f>
        <v>FRUTILLAR III</v>
      </c>
      <c r="K130" s="5" t="str">
        <f>IFERROR(VLOOKUP(Tabla2[[#This Row],[TIENDA]],[1]INFO_LOCALES!$B:$D,3,FALSE),"")</f>
        <v>X - Los Lagos</v>
      </c>
      <c r="L130" s="5" t="str">
        <f>IFERROR(VLOOKUP(I130,[1]INFO_LOCALES!$B:$I,8,FALSE),"")</f>
        <v>Frutillar</v>
      </c>
      <c r="M130" s="5" t="str">
        <f>IFERROR(VLOOKUP(I130,[1]INFO_LOCALES!$B:$H,7,FALSE),"")</f>
        <v>Arturo Alessandri 381</v>
      </c>
      <c r="N130" s="5">
        <f>IFERROR(VLOOKUP(I130,[1]INFO_LOCALES!$B:$E,4,FALSE),"")</f>
        <v>0</v>
      </c>
      <c r="O130" s="5" t="str">
        <f>VLOOKUP(Tabla2[[#This Row],[TIENDA]],[1]INFO_LOCALES!$B:$J,9,0)</f>
        <v>SIN CONVENIO</v>
      </c>
      <c r="P130" s="5" t="str">
        <f>IFERROR(VLOOKUP(I130,[1]INFO_LOCALES!$B:$F,5,FALSE),"")</f>
        <v>SURALIS</v>
      </c>
      <c r="Q130" s="5" t="s">
        <v>105</v>
      </c>
      <c r="R130" s="5" t="s">
        <v>58</v>
      </c>
      <c r="S130" s="6">
        <v>45412</v>
      </c>
      <c r="T130" s="5" t="s">
        <v>132</v>
      </c>
      <c r="U130" s="6">
        <v>45378</v>
      </c>
      <c r="V130" s="5" t="s">
        <v>59</v>
      </c>
      <c r="W1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30" s="7">
        <f t="shared" ref="X130:X193" si="5">IF(W130="CUMPLE",1,IF(W130="CUMPLE CON TOLERANCIA",2,IF(W130="NO CUMPLE",3)))</f>
        <v>3</v>
      </c>
      <c r="Y130" s="5">
        <v>70</v>
      </c>
      <c r="Z130" s="5">
        <v>6.83</v>
      </c>
      <c r="AA130" s="5">
        <v>4</v>
      </c>
      <c r="AB130" s="5">
        <v>15.2</v>
      </c>
      <c r="AC130" s="5">
        <v>1948</v>
      </c>
      <c r="AD130" s="5">
        <v>13.1</v>
      </c>
      <c r="AE130" s="5">
        <v>26.45</v>
      </c>
      <c r="AF130" s="5">
        <v>1.5</v>
      </c>
      <c r="AG130" s="5">
        <v>598</v>
      </c>
      <c r="AH130" s="5">
        <v>68</v>
      </c>
      <c r="AI130" s="5">
        <f t="shared" si="4"/>
        <v>2040</v>
      </c>
      <c r="AZ130" s="8" t="s">
        <v>151</v>
      </c>
    </row>
    <row r="131" spans="1:52" x14ac:dyDescent="0.25">
      <c r="A131" s="5" t="s">
        <v>52</v>
      </c>
      <c r="B131" s="5" t="s">
        <v>104</v>
      </c>
      <c r="C131" s="5" t="s">
        <v>54</v>
      </c>
      <c r="F131" s="5" t="s">
        <v>55</v>
      </c>
      <c r="G131" s="5" t="s">
        <v>61</v>
      </c>
      <c r="H131" s="5" t="s">
        <v>57</v>
      </c>
      <c r="I131" s="5">
        <v>645</v>
      </c>
      <c r="J131" s="5" t="str">
        <f>IFERROR(VLOOKUP(I131,[1]INFO_LOCALES!$B:$C,2,FALSE),"")</f>
        <v>MEMBRILLAR</v>
      </c>
      <c r="K131" s="5" t="str">
        <f>IFERROR(VLOOKUP(Tabla2[[#This Row],[TIENDA]],[1]INFO_LOCALES!$B:$D,3,FALSE),"")</f>
        <v>VI - O'Higgins</v>
      </c>
      <c r="L131" s="5" t="str">
        <f>IFERROR(VLOOKUP(I131,[1]INFO_LOCALES!$B:$I,8,FALSE),"")</f>
        <v>Rancagua</v>
      </c>
      <c r="M131" s="5" t="str">
        <f>IFERROR(VLOOKUP(I131,[1]INFO_LOCALES!$B:$H,7,FALSE),"")</f>
        <v>Av. Membrillar 10</v>
      </c>
      <c r="N131" s="5">
        <f>IFERROR(VLOOKUP(I131,[1]INFO_LOCALES!$B:$E,4,FALSE),"")</f>
        <v>84</v>
      </c>
      <c r="O131" s="5" t="str">
        <f>VLOOKUP(Tabla2[[#This Row],[TIENDA]],[1]INFO_LOCALES!$B:$J,9,0)</f>
        <v>SIN CONVENIO</v>
      </c>
      <c r="P131" s="5" t="str">
        <f>IFERROR(VLOOKUP(I131,[1]INFO_LOCALES!$B:$F,5,FALSE),"")</f>
        <v>ESSBIO S.A.</v>
      </c>
      <c r="Q131" s="5" t="s">
        <v>85</v>
      </c>
      <c r="R131" s="5" t="s">
        <v>86</v>
      </c>
      <c r="S131" s="6" t="s">
        <v>87</v>
      </c>
      <c r="T131" s="5" t="s">
        <v>132</v>
      </c>
      <c r="U131" s="6">
        <v>45379</v>
      </c>
      <c r="V131" s="5" t="s">
        <v>59</v>
      </c>
      <c r="W1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31" s="7">
        <f t="shared" si="5"/>
        <v>2</v>
      </c>
      <c r="Y131" s="5">
        <v>60.9</v>
      </c>
      <c r="Z131" s="5">
        <v>5.8</v>
      </c>
      <c r="AA131" s="5">
        <v>3</v>
      </c>
      <c r="AB131" s="5">
        <v>20.5</v>
      </c>
      <c r="AC131" s="5">
        <v>462</v>
      </c>
      <c r="AD131" s="5">
        <v>10.8</v>
      </c>
      <c r="AE131" s="5">
        <v>33</v>
      </c>
      <c r="AF131" s="5">
        <v>9.5</v>
      </c>
      <c r="AG131" s="5">
        <v>150</v>
      </c>
      <c r="AH131" s="5">
        <v>1.2</v>
      </c>
      <c r="AI131" s="5">
        <f t="shared" si="4"/>
        <v>36</v>
      </c>
    </row>
    <row r="132" spans="1:52" x14ac:dyDescent="0.25">
      <c r="A132" s="5" t="s">
        <v>152</v>
      </c>
      <c r="B132" s="5" t="e">
        <v>#N/A</v>
      </c>
      <c r="C132" s="5" t="e">
        <v>#N/A</v>
      </c>
      <c r="F132" s="5" t="s">
        <v>58</v>
      </c>
      <c r="G132" s="5" t="s">
        <v>65</v>
      </c>
      <c r="H132" s="5" t="s">
        <v>57</v>
      </c>
      <c r="I132" s="5">
        <v>3086</v>
      </c>
      <c r="J132" s="5" t="str">
        <f>IFERROR(VLOOKUP(I132,[1]INFO_LOCALES!$B:$C,2,FALSE),"")</f>
        <v>ALVI TEMUCO</v>
      </c>
      <c r="K132" s="5" t="str">
        <f>IFERROR(VLOOKUP(Tabla2[[#This Row],[TIENDA]],[1]INFO_LOCALES!$B:$D,3,FALSE),"")</f>
        <v>IX - Araucanía</v>
      </c>
      <c r="L132" s="5" t="str">
        <f>IFERROR(VLOOKUP(I132,[1]INFO_LOCALES!$B:$I,8,FALSE),"")</f>
        <v>Temuco</v>
      </c>
      <c r="M132" s="5" t="str">
        <f>IFERROR(VLOOKUP(I132,[1]INFO_LOCALES!$B:$H,7,FALSE),"")</f>
        <v>Av. Balmaceda 1531</v>
      </c>
      <c r="N132" s="5">
        <f>IFERROR(VLOOKUP(I132,[1]INFO_LOCALES!$B:$E,4,FALSE),"")</f>
        <v>0</v>
      </c>
      <c r="O132" s="5" t="str">
        <f>VLOOKUP(Tabla2[[#This Row],[TIENDA]],[1]INFO_LOCALES!$B:$J,9,0)</f>
        <v>SIN CONVENIO</v>
      </c>
      <c r="P132" s="5" t="str">
        <f>IFERROR(VLOOKUP(I132,[1]INFO_LOCALES!$B:$F,5,FALSE),"")</f>
        <v>AGUAS ARAUCANIA S A</v>
      </c>
      <c r="Q132" s="5" t="s">
        <v>62</v>
      </c>
      <c r="R132" s="5" t="s">
        <v>58</v>
      </c>
      <c r="S132" s="6">
        <v>45434</v>
      </c>
      <c r="T132" s="5" t="s">
        <v>132</v>
      </c>
      <c r="U132" s="6">
        <v>45379</v>
      </c>
      <c r="V132" s="5" t="s">
        <v>59</v>
      </c>
      <c r="W1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" s="7">
        <f t="shared" si="5"/>
        <v>1</v>
      </c>
      <c r="Y132" s="5">
        <v>10.5</v>
      </c>
      <c r="Z132" s="5">
        <v>7.25</v>
      </c>
      <c r="AA132" s="5">
        <v>2</v>
      </c>
      <c r="AB132" s="5">
        <v>18.399999999999999</v>
      </c>
      <c r="AC132" s="5">
        <v>91.3</v>
      </c>
      <c r="AD132" s="5">
        <v>6.47</v>
      </c>
      <c r="AE132" s="5">
        <v>20.2</v>
      </c>
      <c r="AF132" s="5">
        <v>7</v>
      </c>
      <c r="AG132" s="5">
        <v>180</v>
      </c>
      <c r="AH132" s="5">
        <v>3.96</v>
      </c>
      <c r="AI132" s="5">
        <f t="shared" si="4"/>
        <v>118.8</v>
      </c>
    </row>
    <row r="133" spans="1:52" x14ac:dyDescent="0.25">
      <c r="A133" s="5" t="s">
        <v>52</v>
      </c>
      <c r="B133" s="5" t="s">
        <v>128</v>
      </c>
      <c r="C133" s="5" t="s">
        <v>77</v>
      </c>
      <c r="F133" s="5" t="s">
        <v>55</v>
      </c>
      <c r="G133" s="5" t="s">
        <v>61</v>
      </c>
      <c r="H133" s="5" t="s">
        <v>57</v>
      </c>
      <c r="I133" s="5">
        <v>5</v>
      </c>
      <c r="J133" s="5" t="str">
        <f>IFERROR(VLOOKUP(I133,[1]INFO_LOCALES!$B:$C,2,FALSE),"")</f>
        <v>LAS COMPAÑIAS</v>
      </c>
      <c r="K133" s="5" t="str">
        <f>IFERROR(VLOOKUP(Tabla2[[#This Row],[TIENDA]],[1]INFO_LOCALES!$B:$D,3,FALSE),"")</f>
        <v>IV - Coquimbo</v>
      </c>
      <c r="L133" s="5" t="str">
        <f>IFERROR(VLOOKUP(I133,[1]INFO_LOCALES!$B:$I,8,FALSE),"")</f>
        <v>La Serena</v>
      </c>
      <c r="M133" s="5" t="str">
        <f>IFERROR(VLOOKUP(I133,[1]INFO_LOCALES!$B:$H,7,FALSE),"")</f>
        <v>Nicaragua 1571</v>
      </c>
      <c r="N133" s="5">
        <f>IFERROR(VLOOKUP(I133,[1]INFO_LOCALES!$B:$E,4,FALSE),"")</f>
        <v>2644</v>
      </c>
      <c r="O133" s="5" t="str">
        <f>VLOOKUP(Tabla2[[#This Row],[TIENDA]],[1]INFO_LOCALES!$B:$J,9,0)</f>
        <v>SIN CONVENIO</v>
      </c>
      <c r="P133" s="5" t="str">
        <f>IFERROR(VLOOKUP(I133,[1]INFO_LOCALES!$B:$F,5,FALSE),"")</f>
        <v>AGUAS DEL VALLE S A</v>
      </c>
      <c r="Q133" s="5" t="s">
        <v>85</v>
      </c>
      <c r="R133" s="5" t="s">
        <v>86</v>
      </c>
      <c r="S133" s="6" t="s">
        <v>87</v>
      </c>
      <c r="T133" s="5" t="s">
        <v>132</v>
      </c>
      <c r="U133" s="6">
        <v>45383</v>
      </c>
      <c r="V133" s="5" t="s">
        <v>59</v>
      </c>
      <c r="W1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33" s="7">
        <f t="shared" si="5"/>
        <v>2</v>
      </c>
      <c r="Y133" s="5">
        <v>23.6</v>
      </c>
      <c r="Z133" s="5">
        <v>7.9</v>
      </c>
      <c r="AA133" s="5">
        <v>4</v>
      </c>
      <c r="AB133" s="5">
        <v>22.96</v>
      </c>
      <c r="AC133" s="5">
        <v>313</v>
      </c>
      <c r="AD133" s="5">
        <v>9.1</v>
      </c>
      <c r="AE133" s="5">
        <v>48</v>
      </c>
      <c r="AF133" s="5">
        <v>4</v>
      </c>
      <c r="AG133" s="5">
        <v>120.8</v>
      </c>
      <c r="AH133" s="5">
        <v>1.5</v>
      </c>
      <c r="AI133" s="5">
        <f t="shared" si="4"/>
        <v>45</v>
      </c>
    </row>
    <row r="134" spans="1:52" x14ac:dyDescent="0.25">
      <c r="A134" s="5" t="s">
        <v>52</v>
      </c>
      <c r="B134" s="5" t="s">
        <v>76</v>
      </c>
      <c r="C134" s="5" t="s">
        <v>77</v>
      </c>
      <c r="F134" s="5" t="s">
        <v>55</v>
      </c>
      <c r="G134" s="5" t="s">
        <v>56</v>
      </c>
      <c r="H134" s="5" t="s">
        <v>57</v>
      </c>
      <c r="I134" s="5">
        <v>86</v>
      </c>
      <c r="J134" s="5" t="str">
        <f>IFERROR(VLOOKUP(I134,[1]INFO_LOCALES!$B:$C,2,FALSE),"")</f>
        <v>BILBAO</v>
      </c>
      <c r="K134" s="5" t="str">
        <f>IFERROR(VLOOKUP(Tabla2[[#This Row],[TIENDA]],[1]INFO_LOCALES!$B:$D,3,FALSE),"")</f>
        <v>I - Tarapacá</v>
      </c>
      <c r="L134" s="5" t="str">
        <f>IFERROR(VLOOKUP(I134,[1]INFO_LOCALES!$B:$I,8,FALSE),"")</f>
        <v>Iquique</v>
      </c>
      <c r="M134" s="5" t="str">
        <f>IFERROR(VLOOKUP(I134,[1]INFO_LOCALES!$B:$H,7,FALSE),"")</f>
        <v>Fco.Bilbao 3545</v>
      </c>
      <c r="N134" s="5">
        <f>IFERROR(VLOOKUP(I134,[1]INFO_LOCALES!$B:$E,4,FALSE),"")</f>
        <v>4049</v>
      </c>
      <c r="O134" s="5" t="str">
        <f>VLOOKUP(Tabla2[[#This Row],[TIENDA]],[1]INFO_LOCALES!$B:$J,9,0)</f>
        <v>CONVENIO</v>
      </c>
      <c r="P134" s="5" t="str">
        <f>IFERROR(VLOOKUP(I134,[1]INFO_LOCALES!$B:$F,5,FALSE),"")</f>
        <v>AGUAS DEL ALTIPLANO S.A.</v>
      </c>
      <c r="Q134" s="5" t="s">
        <v>78</v>
      </c>
      <c r="R134" s="5" t="s">
        <v>58</v>
      </c>
      <c r="S134" s="6">
        <v>45482</v>
      </c>
      <c r="T134" s="5" t="s">
        <v>153</v>
      </c>
      <c r="U134" s="6">
        <v>45383</v>
      </c>
      <c r="V134" s="5" t="s">
        <v>59</v>
      </c>
      <c r="W1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34" s="7">
        <f t="shared" si="5"/>
        <v>3</v>
      </c>
      <c r="Y134" s="5">
        <v>6</v>
      </c>
      <c r="Z134" s="5">
        <v>6.78</v>
      </c>
      <c r="AA134" s="5">
        <v>33</v>
      </c>
      <c r="AB134" s="5">
        <v>25.15</v>
      </c>
      <c r="AC134" s="5">
        <v>834</v>
      </c>
      <c r="AD134" s="5">
        <v>6.2</v>
      </c>
      <c r="AE134" s="5">
        <v>27.82</v>
      </c>
      <c r="AF134" s="5">
        <v>0.5</v>
      </c>
      <c r="AG134" s="5">
        <v>54</v>
      </c>
      <c r="AH134" s="5">
        <v>21.4</v>
      </c>
      <c r="AI134" s="5">
        <f t="shared" si="4"/>
        <v>642</v>
      </c>
      <c r="AZ134" s="8" t="s">
        <v>154</v>
      </c>
    </row>
    <row r="135" spans="1:52" x14ac:dyDescent="0.25">
      <c r="A135" s="5" t="s">
        <v>52</v>
      </c>
      <c r="B135" s="5" t="s">
        <v>76</v>
      </c>
      <c r="C135" s="5" t="s">
        <v>77</v>
      </c>
      <c r="F135" s="5" t="s">
        <v>55</v>
      </c>
      <c r="G135" s="5" t="s">
        <v>56</v>
      </c>
      <c r="H135" s="5" t="s">
        <v>57</v>
      </c>
      <c r="I135" s="5">
        <v>106</v>
      </c>
      <c r="J135" s="5" t="str">
        <f>IFERROR(VLOOKUP(I135,[1]INFO_LOCALES!$B:$C,2,FALSE),"")</f>
        <v>LOS MOLLES</v>
      </c>
      <c r="K135" s="5" t="str">
        <f>IFERROR(VLOOKUP(Tabla2[[#This Row],[TIENDA]],[1]INFO_LOCALES!$B:$D,3,FALSE),"")</f>
        <v>I - Tarapacá</v>
      </c>
      <c r="L135" s="5" t="str">
        <f>IFERROR(VLOOKUP(I135,[1]INFO_LOCALES!$B:$I,8,FALSE),"")</f>
        <v>Iquique</v>
      </c>
      <c r="M135" s="5" t="str">
        <f>IFERROR(VLOOKUP(I135,[1]INFO_LOCALES!$B:$H,7,FALSE),"")</f>
        <v>Santiago Polanco 2251</v>
      </c>
      <c r="N135" s="5">
        <f>IFERROR(VLOOKUP(I135,[1]INFO_LOCALES!$B:$E,4,FALSE),"")</f>
        <v>4050</v>
      </c>
      <c r="O135" s="5" t="str">
        <f>VLOOKUP(Tabla2[[#This Row],[TIENDA]],[1]INFO_LOCALES!$B:$J,9,0)</f>
        <v>CONVENIO</v>
      </c>
      <c r="P135" s="5" t="str">
        <f>IFERROR(VLOOKUP(I135,[1]INFO_LOCALES!$B:$F,5,FALSE),"")</f>
        <v>AGUAS DEL ALTIPLANO S.A.</v>
      </c>
      <c r="Q135" s="5" t="s">
        <v>78</v>
      </c>
      <c r="R135" s="5" t="s">
        <v>58</v>
      </c>
      <c r="S135" s="6">
        <v>45503</v>
      </c>
      <c r="T135" s="5" t="s">
        <v>153</v>
      </c>
      <c r="U135" s="6">
        <v>45383</v>
      </c>
      <c r="V135" s="5" t="s">
        <v>59</v>
      </c>
      <c r="W1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35" s="7">
        <f t="shared" si="5"/>
        <v>3</v>
      </c>
      <c r="Y135" s="5">
        <v>7</v>
      </c>
      <c r="Z135" s="5">
        <v>6.9</v>
      </c>
      <c r="AA135" s="5">
        <v>18</v>
      </c>
      <c r="AB135" s="5">
        <v>23.95</v>
      </c>
      <c r="AC135" s="5">
        <v>242</v>
      </c>
      <c r="AD135" s="5">
        <v>7.4</v>
      </c>
      <c r="AE135" s="5">
        <v>7.96</v>
      </c>
      <c r="AF135" s="5">
        <v>0.5</v>
      </c>
      <c r="AG135" s="5">
        <v>74</v>
      </c>
      <c r="AH135" s="5">
        <v>6.2</v>
      </c>
      <c r="AI135" s="5">
        <f t="shared" si="4"/>
        <v>186</v>
      </c>
    </row>
    <row r="136" spans="1:52" x14ac:dyDescent="0.25">
      <c r="A136" s="5" t="s">
        <v>52</v>
      </c>
      <c r="B136" s="5" t="s">
        <v>76</v>
      </c>
      <c r="C136" s="5" t="s">
        <v>77</v>
      </c>
      <c r="F136" s="5" t="s">
        <v>55</v>
      </c>
      <c r="G136" s="5" t="s">
        <v>56</v>
      </c>
      <c r="H136" s="5" t="s">
        <v>57</v>
      </c>
      <c r="I136" s="5">
        <v>86</v>
      </c>
      <c r="J136" s="5" t="str">
        <f>IFERROR(VLOOKUP(I136,[1]INFO_LOCALES!$B:$C,2,FALSE),"")</f>
        <v>BILBAO</v>
      </c>
      <c r="K136" s="5" t="str">
        <f>IFERROR(VLOOKUP(Tabla2[[#This Row],[TIENDA]],[1]INFO_LOCALES!$B:$D,3,FALSE),"")</f>
        <v>I - Tarapacá</v>
      </c>
      <c r="L136" s="5" t="str">
        <f>IFERROR(VLOOKUP(I136,[1]INFO_LOCALES!$B:$I,8,FALSE),"")</f>
        <v>Iquique</v>
      </c>
      <c r="M136" s="5" t="str">
        <f>IFERROR(VLOOKUP(I136,[1]INFO_LOCALES!$B:$H,7,FALSE),"")</f>
        <v>Fco.Bilbao 3545</v>
      </c>
      <c r="N136" s="5">
        <f>IFERROR(VLOOKUP(I136,[1]INFO_LOCALES!$B:$E,4,FALSE),"")</f>
        <v>4049</v>
      </c>
      <c r="O136" s="5" t="str">
        <f>VLOOKUP(Tabla2[[#This Row],[TIENDA]],[1]INFO_LOCALES!$B:$J,9,0)</f>
        <v>CONVENIO</v>
      </c>
      <c r="P136" s="5" t="str">
        <f>IFERROR(VLOOKUP(I136,[1]INFO_LOCALES!$B:$F,5,FALSE),"")</f>
        <v>AGUAS DEL ALTIPLANO S.A.</v>
      </c>
      <c r="Q136" s="5" t="s">
        <v>78</v>
      </c>
      <c r="R136" s="5" t="s">
        <v>58</v>
      </c>
      <c r="S136" s="6">
        <v>45595</v>
      </c>
      <c r="T136" s="5" t="s">
        <v>153</v>
      </c>
      <c r="U136" s="6">
        <v>45383</v>
      </c>
      <c r="V136" s="5" t="s">
        <v>59</v>
      </c>
      <c r="W1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36" s="7">
        <f t="shared" si="5"/>
        <v>3</v>
      </c>
      <c r="Y136" s="5">
        <v>6</v>
      </c>
      <c r="Z136" s="5">
        <v>6.78</v>
      </c>
      <c r="AA136" s="5">
        <v>33</v>
      </c>
      <c r="AB136" s="5">
        <v>25.15</v>
      </c>
      <c r="AC136" s="5">
        <v>834</v>
      </c>
      <c r="AD136" s="5">
        <v>6.2</v>
      </c>
      <c r="AE136" s="5">
        <v>27.38</v>
      </c>
      <c r="AF136" s="5">
        <v>0.5</v>
      </c>
      <c r="AG136" s="5">
        <v>54</v>
      </c>
      <c r="AH136" s="5">
        <v>21.4</v>
      </c>
      <c r="AI136" s="5">
        <f t="shared" si="4"/>
        <v>642</v>
      </c>
      <c r="AZ136" s="8" t="s">
        <v>154</v>
      </c>
    </row>
    <row r="137" spans="1:52" x14ac:dyDescent="0.25">
      <c r="A137" s="5" t="s">
        <v>52</v>
      </c>
      <c r="B137" s="5" t="s">
        <v>76</v>
      </c>
      <c r="C137" s="5" t="s">
        <v>77</v>
      </c>
      <c r="F137" s="5" t="s">
        <v>55</v>
      </c>
      <c r="G137" s="5" t="s">
        <v>61</v>
      </c>
      <c r="H137" s="5" t="s">
        <v>57</v>
      </c>
      <c r="I137" s="5">
        <v>86</v>
      </c>
      <c r="J137" s="5" t="str">
        <f>IFERROR(VLOOKUP(I137,[1]INFO_LOCALES!$B:$C,2,FALSE),"")</f>
        <v>BILBAO</v>
      </c>
      <c r="K137" s="5" t="str">
        <f>IFERROR(VLOOKUP(Tabla2[[#This Row],[TIENDA]],[1]INFO_LOCALES!$B:$D,3,FALSE),"")</f>
        <v>I - Tarapacá</v>
      </c>
      <c r="L137" s="5" t="str">
        <f>IFERROR(VLOOKUP(I137,[1]INFO_LOCALES!$B:$I,8,FALSE),"")</f>
        <v>Iquique</v>
      </c>
      <c r="M137" s="5" t="str">
        <f>IFERROR(VLOOKUP(I137,[1]INFO_LOCALES!$B:$H,7,FALSE),"")</f>
        <v>Fco.Bilbao 3545</v>
      </c>
      <c r="N137" s="5">
        <f>IFERROR(VLOOKUP(I137,[1]INFO_LOCALES!$B:$E,4,FALSE),"")</f>
        <v>4049</v>
      </c>
      <c r="O137" s="5" t="str">
        <f>VLOOKUP(Tabla2[[#This Row],[TIENDA]],[1]INFO_LOCALES!$B:$J,9,0)</f>
        <v>CONVENIO</v>
      </c>
      <c r="P137" s="5" t="str">
        <f>IFERROR(VLOOKUP(I137,[1]INFO_LOCALES!$B:$F,5,FALSE),"")</f>
        <v>AGUAS DEL ALTIPLANO S.A.</v>
      </c>
      <c r="Q137" s="5" t="s">
        <v>85</v>
      </c>
      <c r="R137" s="5" t="s">
        <v>86</v>
      </c>
      <c r="S137" s="6" t="s">
        <v>87</v>
      </c>
      <c r="T137" s="5" t="s">
        <v>153</v>
      </c>
      <c r="U137" s="6">
        <v>45385</v>
      </c>
      <c r="V137" s="5" t="s">
        <v>59</v>
      </c>
      <c r="W1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" s="7">
        <f t="shared" si="5"/>
        <v>1</v>
      </c>
      <c r="Y137" s="5">
        <v>61</v>
      </c>
      <c r="Z137" s="5">
        <v>7.11</v>
      </c>
      <c r="AA137" s="5">
        <v>2</v>
      </c>
      <c r="AB137" s="5">
        <v>24.9</v>
      </c>
      <c r="AC137" s="5">
        <v>155</v>
      </c>
      <c r="AD137" s="5">
        <v>5.0999999999999996</v>
      </c>
      <c r="AE137" s="5">
        <v>11</v>
      </c>
      <c r="AF137" s="5">
        <v>4</v>
      </c>
      <c r="AG137" s="5">
        <v>110</v>
      </c>
      <c r="AH137" s="5">
        <v>2.2000000000000002</v>
      </c>
      <c r="AI137" s="5">
        <f t="shared" si="4"/>
        <v>66</v>
      </c>
    </row>
    <row r="138" spans="1:52" x14ac:dyDescent="0.25">
      <c r="A138" s="5" t="s">
        <v>52</v>
      </c>
      <c r="B138" s="5" t="s">
        <v>76</v>
      </c>
      <c r="C138" s="5" t="s">
        <v>77</v>
      </c>
      <c r="F138" s="5" t="s">
        <v>55</v>
      </c>
      <c r="G138" s="5" t="s">
        <v>61</v>
      </c>
      <c r="H138" s="5" t="s">
        <v>57</v>
      </c>
      <c r="I138" s="5">
        <v>106</v>
      </c>
      <c r="J138" s="5" t="str">
        <f>IFERROR(VLOOKUP(I138,[1]INFO_LOCALES!$B:$C,2,FALSE),"")</f>
        <v>LOS MOLLES</v>
      </c>
      <c r="K138" s="5" t="str">
        <f>IFERROR(VLOOKUP(Tabla2[[#This Row],[TIENDA]],[1]INFO_LOCALES!$B:$D,3,FALSE),"")</f>
        <v>I - Tarapacá</v>
      </c>
      <c r="L138" s="5" t="str">
        <f>IFERROR(VLOOKUP(I138,[1]INFO_LOCALES!$B:$I,8,FALSE),"")</f>
        <v>Iquique</v>
      </c>
      <c r="M138" s="5" t="str">
        <f>IFERROR(VLOOKUP(I138,[1]INFO_LOCALES!$B:$H,7,FALSE),"")</f>
        <v>Santiago Polanco 2251</v>
      </c>
      <c r="N138" s="5">
        <f>IFERROR(VLOOKUP(I138,[1]INFO_LOCALES!$B:$E,4,FALSE),"")</f>
        <v>4050</v>
      </c>
      <c r="O138" s="5" t="str">
        <f>VLOOKUP(Tabla2[[#This Row],[TIENDA]],[1]INFO_LOCALES!$B:$J,9,0)</f>
        <v>CONVENIO</v>
      </c>
      <c r="P138" s="5" t="str">
        <f>IFERROR(VLOOKUP(I138,[1]INFO_LOCALES!$B:$F,5,FALSE),"")</f>
        <v>AGUAS DEL ALTIPLANO S.A.</v>
      </c>
      <c r="Q138" s="5" t="s">
        <v>78</v>
      </c>
      <c r="R138" s="5" t="s">
        <v>58</v>
      </c>
      <c r="S138" s="6">
        <v>45503</v>
      </c>
      <c r="T138" s="5" t="s">
        <v>153</v>
      </c>
      <c r="U138" s="6">
        <v>45385</v>
      </c>
      <c r="V138" s="5" t="s">
        <v>59</v>
      </c>
      <c r="W1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38" s="7">
        <f t="shared" si="5"/>
        <v>2</v>
      </c>
      <c r="Y138" s="5">
        <v>7</v>
      </c>
      <c r="Z138" s="5">
        <v>6.82</v>
      </c>
      <c r="AA138" s="5">
        <v>9</v>
      </c>
      <c r="AB138" s="5">
        <v>23.69</v>
      </c>
      <c r="AC138" s="5">
        <v>159</v>
      </c>
      <c r="AD138" s="5">
        <v>8.1999999999999993</v>
      </c>
      <c r="AE138" s="5">
        <v>31.12</v>
      </c>
      <c r="AF138" s="5">
        <v>2</v>
      </c>
      <c r="AG138" s="5">
        <v>302</v>
      </c>
      <c r="AH138" s="5">
        <v>6.9</v>
      </c>
      <c r="AI138" s="5">
        <f t="shared" si="4"/>
        <v>207</v>
      </c>
    </row>
    <row r="139" spans="1:52" x14ac:dyDescent="0.25">
      <c r="A139" s="5" t="s">
        <v>52</v>
      </c>
      <c r="B139" s="5" t="s">
        <v>128</v>
      </c>
      <c r="C139" s="5" t="s">
        <v>77</v>
      </c>
      <c r="D139" s="5">
        <v>2024</v>
      </c>
      <c r="F139" s="5" t="s">
        <v>55</v>
      </c>
      <c r="G139" s="5" t="s">
        <v>61</v>
      </c>
      <c r="H139" s="5" t="s">
        <v>57</v>
      </c>
      <c r="I139" s="5">
        <v>954</v>
      </c>
      <c r="J139" s="5" t="str">
        <f>IFERROR(VLOOKUP(I139,[1]INFO_LOCALES!$B:$C,2,FALSE),"")</f>
        <v>REGIMIENTO ARICA</v>
      </c>
      <c r="K139" s="5" t="str">
        <f>IFERROR(VLOOKUP(Tabla2[[#This Row],[TIENDA]],[1]INFO_LOCALES!$B:$D,3,FALSE),"")</f>
        <v>IV - Coquimbo</v>
      </c>
      <c r="L139" s="5" t="str">
        <f>IFERROR(VLOOKUP(I139,[1]INFO_LOCALES!$B:$I,8,FALSE),"")</f>
        <v>La Serena</v>
      </c>
      <c r="M139" s="5" t="str">
        <f>IFERROR(VLOOKUP(I139,[1]INFO_LOCALES!$B:$H,7,FALSE),"")</f>
        <v>Regimiento Arica 6001</v>
      </c>
      <c r="N139" s="5">
        <f>IFERROR(VLOOKUP(I139,[1]INFO_LOCALES!$B:$E,4,FALSE),"")</f>
        <v>0</v>
      </c>
      <c r="O139" s="5" t="str">
        <f>VLOOKUP(Tabla2[[#This Row],[TIENDA]],[1]INFO_LOCALES!$B:$J,9,0)</f>
        <v>SIN CONVENIO</v>
      </c>
      <c r="P139" s="5" t="str">
        <f>IFERROR(VLOOKUP(I139,[1]INFO_LOCALES!$B:$F,5,FALSE),"")</f>
        <v>AGUAS DEL VALLE S A</v>
      </c>
      <c r="Q139" s="5" t="s">
        <v>66</v>
      </c>
      <c r="R139" s="5" t="s">
        <v>58</v>
      </c>
      <c r="S139" s="6">
        <v>45482</v>
      </c>
      <c r="T139" s="5" t="s">
        <v>153</v>
      </c>
      <c r="U139" s="6">
        <v>45386</v>
      </c>
      <c r="V139" s="5" t="s">
        <v>59</v>
      </c>
      <c r="W1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39" s="7">
        <f t="shared" si="5"/>
        <v>3</v>
      </c>
      <c r="Y139" s="5">
        <v>24.35</v>
      </c>
      <c r="Z139" s="5">
        <v>6.74</v>
      </c>
      <c r="AA139" s="5">
        <v>25.3</v>
      </c>
      <c r="AB139" s="5">
        <v>22.01</v>
      </c>
      <c r="AC139" s="5">
        <v>483</v>
      </c>
      <c r="AD139" s="5">
        <v>10.49</v>
      </c>
      <c r="AE139" s="5">
        <v>17.95</v>
      </c>
      <c r="AF139" s="5">
        <v>0.9</v>
      </c>
      <c r="AG139" s="5">
        <v>117.65</v>
      </c>
      <c r="AH139" s="5">
        <v>2.57</v>
      </c>
      <c r="AI139" s="5">
        <f t="shared" si="4"/>
        <v>77.099999999999994</v>
      </c>
    </row>
    <row r="140" spans="1:52" x14ac:dyDescent="0.25">
      <c r="A140" s="5" t="s">
        <v>52</v>
      </c>
      <c r="B140" s="5" t="s">
        <v>116</v>
      </c>
      <c r="C140" s="5" t="s">
        <v>70</v>
      </c>
      <c r="F140" s="5" t="s">
        <v>55</v>
      </c>
      <c r="G140" s="5" t="s">
        <v>61</v>
      </c>
      <c r="H140" s="5" t="s">
        <v>57</v>
      </c>
      <c r="I140" s="5">
        <v>477</v>
      </c>
      <c r="J140" s="5" t="str">
        <f>IFERROR(VLOOKUP(I140,[1]INFO_LOCALES!$B:$C,2,FALSE),"")</f>
        <v>CURAUMA</v>
      </c>
      <c r="K140" s="5" t="str">
        <f>IFERROR(VLOOKUP(Tabla2[[#This Row],[TIENDA]],[1]INFO_LOCALES!$B:$D,3,FALSE),"")</f>
        <v>V - Valparaiso</v>
      </c>
      <c r="L140" s="5" t="str">
        <f>IFERROR(VLOOKUP(I140,[1]INFO_LOCALES!$B:$I,8,FALSE),"")</f>
        <v>Valparaíso</v>
      </c>
      <c r="M140" s="5" t="str">
        <f>IFERROR(VLOOKUP(I140,[1]INFO_LOCALES!$B:$H,7,FALSE),"")</f>
        <v>Obispo Valdes 1170</v>
      </c>
      <c r="N140" s="5">
        <f>IFERROR(VLOOKUP(I140,[1]INFO_LOCALES!$B:$E,4,FALSE),"")</f>
        <v>2721</v>
      </c>
      <c r="O140" s="5" t="str">
        <f>VLOOKUP(Tabla2[[#This Row],[TIENDA]],[1]INFO_LOCALES!$B:$J,9,0)</f>
        <v>SIN CONVENIO</v>
      </c>
      <c r="P140" s="5" t="str">
        <f>IFERROR(VLOOKUP(I140,[1]INFO_LOCALES!$B:$F,5,FALSE),"")</f>
        <v>ESVAL S.A.</v>
      </c>
      <c r="Q140" s="5" t="s">
        <v>85</v>
      </c>
      <c r="R140" s="5" t="s">
        <v>86</v>
      </c>
      <c r="S140" s="6" t="s">
        <v>87</v>
      </c>
      <c r="T140" s="5" t="s">
        <v>153</v>
      </c>
      <c r="U140" s="6">
        <v>45387</v>
      </c>
      <c r="V140" s="5" t="s">
        <v>59</v>
      </c>
      <c r="W1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" s="7">
        <f t="shared" si="5"/>
        <v>1</v>
      </c>
      <c r="Y140" s="5">
        <v>5.4</v>
      </c>
      <c r="Z140" s="5">
        <v>7.51</v>
      </c>
      <c r="AA140" s="5">
        <v>3</v>
      </c>
      <c r="AB140" s="5">
        <v>19.5</v>
      </c>
      <c r="AC140" s="5">
        <v>57</v>
      </c>
      <c r="AD140" s="5">
        <v>3.2</v>
      </c>
      <c r="AE140" s="5">
        <v>7.49</v>
      </c>
      <c r="AF140" s="5">
        <v>0.5</v>
      </c>
      <c r="AG140" s="5">
        <v>40.700000000000003</v>
      </c>
      <c r="AH140" s="5">
        <v>3.9</v>
      </c>
      <c r="AI140" s="5">
        <f t="shared" si="4"/>
        <v>117</v>
      </c>
    </row>
    <row r="141" spans="1:52" x14ac:dyDescent="0.25">
      <c r="A141" s="5" t="s">
        <v>52</v>
      </c>
      <c r="B141" s="5" t="s">
        <v>90</v>
      </c>
      <c r="C141" s="5" t="s">
        <v>81</v>
      </c>
      <c r="F141" s="5" t="s">
        <v>55</v>
      </c>
      <c r="G141" s="5" t="s">
        <v>65</v>
      </c>
      <c r="H141" s="5" t="s">
        <v>57</v>
      </c>
      <c r="I141" s="5">
        <v>544</v>
      </c>
      <c r="J141" s="5" t="str">
        <f>IFERROR(VLOOKUP(I141,[1]INFO_LOCALES!$B:$C,2,FALSE),"")</f>
        <v>PURRANQUE</v>
      </c>
      <c r="K141" s="5" t="str">
        <f>IFERROR(VLOOKUP(Tabla2[[#This Row],[TIENDA]],[1]INFO_LOCALES!$B:$D,3,FALSE),"")</f>
        <v>X - Los Lagos</v>
      </c>
      <c r="L141" s="5" t="str">
        <f>IFERROR(VLOOKUP(I141,[1]INFO_LOCALES!$B:$I,8,FALSE),"")</f>
        <v>Purranque</v>
      </c>
      <c r="M141" s="5" t="str">
        <f>IFERROR(VLOOKUP(I141,[1]INFO_LOCALES!$B:$H,7,FALSE),"")</f>
        <v>Eleuterio Ramirez 549</v>
      </c>
      <c r="N141" s="5">
        <f>IFERROR(VLOOKUP(I141,[1]INFO_LOCALES!$B:$E,4,FALSE),"")</f>
        <v>0</v>
      </c>
      <c r="O141" s="5" t="str">
        <f>VLOOKUP(Tabla2[[#This Row],[TIENDA]],[1]INFO_LOCALES!$B:$J,9,0)</f>
        <v>SIN CONVENIO</v>
      </c>
      <c r="P141" s="5" t="str">
        <f>IFERROR(VLOOKUP(I141,[1]INFO_LOCALES!$B:$F,5,FALSE),"")</f>
        <v>SURALIS</v>
      </c>
      <c r="Q141" s="5" t="s">
        <v>105</v>
      </c>
      <c r="R141" s="5" t="s">
        <v>58</v>
      </c>
      <c r="S141" s="6">
        <v>45443</v>
      </c>
      <c r="T141" s="5" t="s">
        <v>153</v>
      </c>
      <c r="U141" s="6">
        <v>45387</v>
      </c>
      <c r="V141" s="5" t="s">
        <v>59</v>
      </c>
      <c r="W1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" s="7">
        <f t="shared" si="5"/>
        <v>1</v>
      </c>
      <c r="Y141" s="5">
        <v>14</v>
      </c>
      <c r="Z141" s="5">
        <v>7.5</v>
      </c>
      <c r="AA141" s="5">
        <v>2</v>
      </c>
      <c r="AB141" s="5">
        <v>14.8</v>
      </c>
      <c r="AC141" s="5">
        <v>53</v>
      </c>
      <c r="AD141" s="5">
        <v>1.3</v>
      </c>
      <c r="AE141" s="5">
        <v>5.69</v>
      </c>
      <c r="AF141" s="5">
        <v>0.5</v>
      </c>
      <c r="AG141" s="5">
        <v>50</v>
      </c>
      <c r="AH141" s="5">
        <v>11.8</v>
      </c>
      <c r="AI141" s="5">
        <f t="shared" si="4"/>
        <v>354</v>
      </c>
      <c r="AZ141" s="8" t="s">
        <v>155</v>
      </c>
    </row>
    <row r="142" spans="1:52" x14ac:dyDescent="0.25">
      <c r="A142" s="5" t="s">
        <v>60</v>
      </c>
      <c r="B142" s="5" t="e">
        <v>#N/A</v>
      </c>
      <c r="C142" s="5" t="e">
        <v>#N/A</v>
      </c>
      <c r="F142" s="5" t="s">
        <v>55</v>
      </c>
      <c r="G142" s="5" t="s">
        <v>61</v>
      </c>
      <c r="H142" s="5" t="s">
        <v>57</v>
      </c>
      <c r="I142" s="5">
        <v>3022</v>
      </c>
      <c r="J142" s="5" t="str">
        <f>IFERROR(VLOOKUP(I142,[1]INFO_LOCALES!$B:$C,2,FALSE),"")</f>
        <v>M10 TEMUCO II</v>
      </c>
      <c r="K142" s="5" t="str">
        <f>IFERROR(VLOOKUP(Tabla2[[#This Row],[TIENDA]],[1]INFO_LOCALES!$B:$D,3,FALSE),"")</f>
        <v>IX - Araucanía</v>
      </c>
      <c r="L142" s="5" t="str">
        <f>IFERROR(VLOOKUP(I142,[1]INFO_LOCALES!$B:$I,8,FALSE),"")</f>
        <v>Temuco</v>
      </c>
      <c r="M142" s="5" t="str">
        <f>IFERROR(VLOOKUP(I142,[1]INFO_LOCALES!$B:$H,7,FALSE),"")</f>
        <v>Pedro De Valdivia 2285</v>
      </c>
      <c r="N142" s="5">
        <f>IFERROR(VLOOKUP(I142,[1]INFO_LOCALES!$B:$E,4,FALSE),"")</f>
        <v>3721</v>
      </c>
      <c r="O142" s="5" t="str">
        <f>VLOOKUP(Tabla2[[#This Row],[TIENDA]],[1]INFO_LOCALES!$B:$J,9,0)</f>
        <v>CONVENIO</v>
      </c>
      <c r="P142" s="5" t="str">
        <f>IFERROR(VLOOKUP(I142,[1]INFO_LOCALES!$B:$F,5,FALSE),"")</f>
        <v>AGUAS ARAUCANIA S A</v>
      </c>
      <c r="Q142" s="5" t="s">
        <v>62</v>
      </c>
      <c r="R142" s="5" t="s">
        <v>58</v>
      </c>
      <c r="S142" s="6">
        <v>45476</v>
      </c>
      <c r="T142" s="5" t="s">
        <v>153</v>
      </c>
      <c r="U142" s="6">
        <v>45387</v>
      </c>
      <c r="V142" s="5" t="s">
        <v>59</v>
      </c>
      <c r="W1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" s="7">
        <f t="shared" si="5"/>
        <v>1</v>
      </c>
      <c r="Y142" s="5">
        <v>5.15</v>
      </c>
      <c r="Z142" s="5">
        <v>7.3</v>
      </c>
      <c r="AA142" s="5">
        <v>5</v>
      </c>
      <c r="AB142" s="5">
        <v>16.45</v>
      </c>
      <c r="AC142" s="5">
        <v>67.2</v>
      </c>
      <c r="AD142" s="5">
        <v>10.4</v>
      </c>
      <c r="AE142" s="5">
        <v>58.1</v>
      </c>
      <c r="AF142" s="5">
        <v>0.2</v>
      </c>
      <c r="AG142" s="5">
        <v>32</v>
      </c>
      <c r="AH142" s="5">
        <v>1.44</v>
      </c>
      <c r="AI142" s="5">
        <f t="shared" si="4"/>
        <v>43.199999999999996</v>
      </c>
    </row>
    <row r="143" spans="1:52" x14ac:dyDescent="0.25">
      <c r="A143" s="5" t="s">
        <v>60</v>
      </c>
      <c r="B143" s="5" t="e">
        <v>#N/A</v>
      </c>
      <c r="C143" s="5" t="e">
        <v>#N/A</v>
      </c>
      <c r="F143" s="5" t="s">
        <v>55</v>
      </c>
      <c r="G143" s="5" t="s">
        <v>61</v>
      </c>
      <c r="H143" s="5" t="s">
        <v>57</v>
      </c>
      <c r="I143" s="5">
        <v>3143</v>
      </c>
      <c r="J143" s="5" t="str">
        <f>IFERROR(VLOOKUP(I143,[1]INFO_LOCALES!$B:$C,2,FALSE),"")</f>
        <v>M10 TEMUCO IV</v>
      </c>
      <c r="K143" s="5" t="str">
        <f>IFERROR(VLOOKUP(Tabla2[[#This Row],[TIENDA]],[1]INFO_LOCALES!$B:$D,3,FALSE),"")</f>
        <v>IX - Araucanía</v>
      </c>
      <c r="L143" s="5" t="str">
        <f>IFERROR(VLOOKUP(I143,[1]INFO_LOCALES!$B:$I,8,FALSE),"")</f>
        <v>Temuco</v>
      </c>
      <c r="M143" s="5" t="str">
        <f>IFERROR(VLOOKUP(I143,[1]INFO_LOCALES!$B:$H,7,FALSE),"")</f>
        <v>Francisco Salazar 01650</v>
      </c>
      <c r="N143" s="5">
        <f>IFERROR(VLOOKUP(I143,[1]INFO_LOCALES!$B:$E,4,FALSE),"")</f>
        <v>4422</v>
      </c>
      <c r="O143" s="5" t="str">
        <f>VLOOKUP(Tabla2[[#This Row],[TIENDA]],[1]INFO_LOCALES!$B:$J,9,0)</f>
        <v>CONVENIO</v>
      </c>
      <c r="P143" s="5" t="str">
        <f>IFERROR(VLOOKUP(I143,[1]INFO_LOCALES!$B:$F,5,FALSE),"")</f>
        <v>AGUAS ARAUCANIA S A</v>
      </c>
      <c r="Q143" s="5" t="s">
        <v>62</v>
      </c>
      <c r="R143" s="5" t="s">
        <v>58</v>
      </c>
      <c r="S143" s="6">
        <v>45476</v>
      </c>
      <c r="T143" s="5" t="s">
        <v>153</v>
      </c>
      <c r="U143" s="6">
        <v>45387</v>
      </c>
      <c r="V143" s="5" t="s">
        <v>59</v>
      </c>
      <c r="W1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" s="7">
        <f t="shared" si="5"/>
        <v>1</v>
      </c>
      <c r="Y143" s="5">
        <v>2.2599999999999998</v>
      </c>
      <c r="Z143" s="5">
        <v>7.89</v>
      </c>
      <c r="AA143" s="5">
        <v>1</v>
      </c>
      <c r="AB143" s="5">
        <v>14.2</v>
      </c>
      <c r="AC143" s="5">
        <v>35.1</v>
      </c>
      <c r="AD143" s="5">
        <v>1.61</v>
      </c>
      <c r="AE143" s="5">
        <v>33.700000000000003</v>
      </c>
      <c r="AF143" s="5">
        <v>1</v>
      </c>
      <c r="AG143" s="5">
        <v>5</v>
      </c>
      <c r="AH143" s="5">
        <v>2.7</v>
      </c>
      <c r="AI143" s="5">
        <f t="shared" si="4"/>
        <v>81</v>
      </c>
    </row>
    <row r="144" spans="1:52" x14ac:dyDescent="0.25">
      <c r="A144" s="5" t="s">
        <v>52</v>
      </c>
      <c r="B144" s="5" t="s">
        <v>76</v>
      </c>
      <c r="C144" s="5" t="s">
        <v>77</v>
      </c>
      <c r="F144" s="5" t="s">
        <v>55</v>
      </c>
      <c r="G144" s="5" t="s">
        <v>56</v>
      </c>
      <c r="H144" s="5" t="s">
        <v>57</v>
      </c>
      <c r="I144" s="5">
        <v>86</v>
      </c>
      <c r="J144" s="5" t="str">
        <f>IFERROR(VLOOKUP(I144,[1]INFO_LOCALES!$B:$C,2,FALSE),"")</f>
        <v>BILBAO</v>
      </c>
      <c r="K144" s="5" t="str">
        <f>IFERROR(VLOOKUP(Tabla2[[#This Row],[TIENDA]],[1]INFO_LOCALES!$B:$D,3,FALSE),"")</f>
        <v>I - Tarapacá</v>
      </c>
      <c r="L144" s="5" t="str">
        <f>IFERROR(VLOOKUP(I144,[1]INFO_LOCALES!$B:$I,8,FALSE),"")</f>
        <v>Iquique</v>
      </c>
      <c r="M144" s="5" t="str">
        <f>IFERROR(VLOOKUP(I144,[1]INFO_LOCALES!$B:$H,7,FALSE),"")</f>
        <v>Fco.Bilbao 3545</v>
      </c>
      <c r="N144" s="5">
        <f>IFERROR(VLOOKUP(I144,[1]INFO_LOCALES!$B:$E,4,FALSE),"")</f>
        <v>4049</v>
      </c>
      <c r="O144" s="5" t="str">
        <f>VLOOKUP(Tabla2[[#This Row],[TIENDA]],[1]INFO_LOCALES!$B:$J,9,0)</f>
        <v>CONVENIO</v>
      </c>
      <c r="P144" s="5" t="str">
        <f>IFERROR(VLOOKUP(I144,[1]INFO_LOCALES!$B:$F,5,FALSE),"")</f>
        <v>AGUAS DEL ALTIPLANO S.A.</v>
      </c>
      <c r="Q144" s="5" t="s">
        <v>78</v>
      </c>
      <c r="R144" s="5" t="s">
        <v>58</v>
      </c>
      <c r="S144" s="6">
        <v>45595</v>
      </c>
      <c r="T144" s="5" t="s">
        <v>156</v>
      </c>
      <c r="U144" s="6">
        <v>45388</v>
      </c>
      <c r="V144" s="5" t="s">
        <v>59</v>
      </c>
      <c r="W1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44" s="7">
        <f t="shared" si="5"/>
        <v>3</v>
      </c>
      <c r="Y144" s="5">
        <v>9</v>
      </c>
      <c r="Z144" s="5">
        <v>6.97</v>
      </c>
      <c r="AA144" s="5">
        <v>31</v>
      </c>
      <c r="AB144" s="5">
        <v>22.78</v>
      </c>
      <c r="AC144" s="5">
        <v>287</v>
      </c>
      <c r="AD144" s="5">
        <v>4.2</v>
      </c>
      <c r="AE144" s="5">
        <v>15.6</v>
      </c>
      <c r="AF144" s="5">
        <v>0.5</v>
      </c>
      <c r="AG144" s="5">
        <v>65</v>
      </c>
      <c r="AH144" s="5">
        <v>2.7</v>
      </c>
      <c r="AI144" s="5">
        <f t="shared" si="4"/>
        <v>81</v>
      </c>
      <c r="AZ144" s="8" t="s">
        <v>157</v>
      </c>
    </row>
    <row r="145" spans="1:52" x14ac:dyDescent="0.25">
      <c r="A145" s="5" t="s">
        <v>52</v>
      </c>
      <c r="B145" s="5" t="s">
        <v>76</v>
      </c>
      <c r="C145" s="5" t="s">
        <v>77</v>
      </c>
      <c r="F145" s="5" t="s">
        <v>55</v>
      </c>
      <c r="G145" s="5" t="s">
        <v>56</v>
      </c>
      <c r="H145" s="5" t="s">
        <v>57</v>
      </c>
      <c r="I145" s="5">
        <v>106</v>
      </c>
      <c r="J145" s="5" t="str">
        <f>IFERROR(VLOOKUP(I145,[1]INFO_LOCALES!$B:$C,2,FALSE),"")</f>
        <v>LOS MOLLES</v>
      </c>
      <c r="K145" s="5" t="str">
        <f>IFERROR(VLOOKUP(Tabla2[[#This Row],[TIENDA]],[1]INFO_LOCALES!$B:$D,3,FALSE),"")</f>
        <v>I - Tarapacá</v>
      </c>
      <c r="L145" s="5" t="str">
        <f>IFERROR(VLOOKUP(I145,[1]INFO_LOCALES!$B:$I,8,FALSE),"")</f>
        <v>Iquique</v>
      </c>
      <c r="M145" s="5" t="str">
        <f>IFERROR(VLOOKUP(I145,[1]INFO_LOCALES!$B:$H,7,FALSE),"")</f>
        <v>Santiago Polanco 2251</v>
      </c>
      <c r="N145" s="5">
        <f>IFERROR(VLOOKUP(I145,[1]INFO_LOCALES!$B:$E,4,FALSE),"")</f>
        <v>4050</v>
      </c>
      <c r="O145" s="5" t="str">
        <f>VLOOKUP(Tabla2[[#This Row],[TIENDA]],[1]INFO_LOCALES!$B:$J,9,0)</f>
        <v>CONVENIO</v>
      </c>
      <c r="P145" s="5" t="str">
        <f>IFERROR(VLOOKUP(I145,[1]INFO_LOCALES!$B:$F,5,FALSE),"")</f>
        <v>AGUAS DEL ALTIPLANO S.A.</v>
      </c>
      <c r="Q145" s="5" t="s">
        <v>78</v>
      </c>
      <c r="R145" s="5" t="s">
        <v>58</v>
      </c>
      <c r="S145" s="6">
        <v>45503</v>
      </c>
      <c r="T145" s="5" t="s">
        <v>153</v>
      </c>
      <c r="U145" s="6">
        <v>45390</v>
      </c>
      <c r="V145" s="5" t="s">
        <v>59</v>
      </c>
      <c r="W1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45" s="7">
        <f t="shared" si="5"/>
        <v>3</v>
      </c>
      <c r="Y145" s="5">
        <v>7</v>
      </c>
      <c r="Z145" s="5">
        <v>6.8</v>
      </c>
      <c r="AA145" s="5">
        <v>18</v>
      </c>
      <c r="AB145" s="5">
        <v>25.69</v>
      </c>
      <c r="AC145" s="5">
        <v>208</v>
      </c>
      <c r="AD145" s="5">
        <v>6</v>
      </c>
      <c r="AE145" s="5">
        <v>45.47</v>
      </c>
      <c r="AF145" s="5">
        <v>1.6</v>
      </c>
      <c r="AG145" s="5">
        <v>106</v>
      </c>
      <c r="AH145" s="5">
        <v>5.0999999999999996</v>
      </c>
      <c r="AI145" s="5">
        <f t="shared" si="4"/>
        <v>153</v>
      </c>
    </row>
    <row r="146" spans="1:52" x14ac:dyDescent="0.25">
      <c r="A146" s="5" t="s">
        <v>52</v>
      </c>
      <c r="B146" s="5" t="s">
        <v>80</v>
      </c>
      <c r="C146" s="5" t="s">
        <v>81</v>
      </c>
      <c r="D146" s="5">
        <v>2024</v>
      </c>
      <c r="F146" s="5" t="s">
        <v>58</v>
      </c>
      <c r="G146" s="5" t="s">
        <v>65</v>
      </c>
      <c r="H146" s="5" t="s">
        <v>57</v>
      </c>
      <c r="I146" s="5">
        <v>519</v>
      </c>
      <c r="J146" s="5" t="str">
        <f>IFERROR(VLOOKUP(I146,[1]INFO_LOCALES!$B:$C,2,FALSE),"")</f>
        <v>TRAIGUEN</v>
      </c>
      <c r="K146" s="5" t="str">
        <f>IFERROR(VLOOKUP(Tabla2[[#This Row],[TIENDA]],[1]INFO_LOCALES!$B:$D,3,FALSE),"")</f>
        <v>IX - Araucanía</v>
      </c>
      <c r="L146" s="5" t="str">
        <f>IFERROR(VLOOKUP(I146,[1]INFO_LOCALES!$B:$I,8,FALSE),"")</f>
        <v>Traiguén</v>
      </c>
      <c r="M146" s="5" t="str">
        <f>IFERROR(VLOOKUP(I146,[1]INFO_LOCALES!$B:$H,7,FALSE),"")</f>
        <v>Santa Cruz 1170</v>
      </c>
      <c r="N146" s="5">
        <f>IFERROR(VLOOKUP(I146,[1]INFO_LOCALES!$B:$E,4,FALSE),"")</f>
        <v>0</v>
      </c>
      <c r="O146" s="5" t="str">
        <f>VLOOKUP(Tabla2[[#This Row],[TIENDA]],[1]INFO_LOCALES!$B:$J,9,0)</f>
        <v>CONVENIO</v>
      </c>
      <c r="P146" s="5" t="str">
        <f>IFERROR(VLOOKUP(I146,[1]INFO_LOCALES!$B:$F,5,FALSE),"")</f>
        <v>AGUAS ARAUCANIA S A</v>
      </c>
      <c r="Q146" s="5" t="s">
        <v>62</v>
      </c>
      <c r="R146" s="5" t="s">
        <v>58</v>
      </c>
      <c r="S146" s="6">
        <v>45476</v>
      </c>
      <c r="T146" s="5" t="s">
        <v>153</v>
      </c>
      <c r="U146" s="6">
        <v>45391</v>
      </c>
      <c r="V146" s="5" t="s">
        <v>59</v>
      </c>
      <c r="W1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" s="7">
        <f t="shared" si="5"/>
        <v>1</v>
      </c>
      <c r="Y146" s="5">
        <v>0.72</v>
      </c>
      <c r="Z146" s="5">
        <v>6.76</v>
      </c>
      <c r="AA146" s="5">
        <v>6</v>
      </c>
      <c r="AB146" s="5">
        <v>16.739999999999998</v>
      </c>
      <c r="AC146" s="5">
        <v>16.100000000000001</v>
      </c>
      <c r="AD146" s="5">
        <v>4.13</v>
      </c>
      <c r="AE146" s="5">
        <v>38.9</v>
      </c>
      <c r="AF146" s="5">
        <v>0.1</v>
      </c>
      <c r="AG146" s="5">
        <v>2.7</v>
      </c>
      <c r="AH146" s="5">
        <v>3.6</v>
      </c>
      <c r="AI146" s="5">
        <f t="shared" si="4"/>
        <v>108</v>
      </c>
    </row>
    <row r="147" spans="1:52" x14ac:dyDescent="0.25">
      <c r="A147" s="5" t="s">
        <v>52</v>
      </c>
      <c r="B147" s="5" t="s">
        <v>76</v>
      </c>
      <c r="C147" s="5" t="s">
        <v>77</v>
      </c>
      <c r="F147" s="5" t="s">
        <v>55</v>
      </c>
      <c r="G147" s="5" t="s">
        <v>65</v>
      </c>
      <c r="H147" s="5" t="s">
        <v>57</v>
      </c>
      <c r="I147" s="5">
        <v>87</v>
      </c>
      <c r="J147" s="5" t="str">
        <f>IFERROR(VLOOKUP(I147,[1]INFO_LOCALES!$B:$C,2,FALSE),"")</f>
        <v>JUAN MARTINEZ</v>
      </c>
      <c r="K147" s="5" t="str">
        <f>IFERROR(VLOOKUP(Tabla2[[#This Row],[TIENDA]],[1]INFO_LOCALES!$B:$D,3,FALSE),"")</f>
        <v>I - Tarapacá</v>
      </c>
      <c r="L147" s="5" t="str">
        <f>IFERROR(VLOOKUP(I147,[1]INFO_LOCALES!$B:$I,8,FALSE),"")</f>
        <v>Iquique</v>
      </c>
      <c r="M147" s="5" t="str">
        <f>IFERROR(VLOOKUP(I147,[1]INFO_LOCALES!$B:$H,7,FALSE),"")</f>
        <v>M. Rodriguez 964</v>
      </c>
      <c r="N147" s="5">
        <f>IFERROR(VLOOKUP(I147,[1]INFO_LOCALES!$B:$E,4,FALSE),"")</f>
        <v>0</v>
      </c>
      <c r="O147" s="5" t="str">
        <f>VLOOKUP(Tabla2[[#This Row],[TIENDA]],[1]INFO_LOCALES!$B:$J,9,0)</f>
        <v>CONVENIO</v>
      </c>
      <c r="P147" s="5" t="str">
        <f>IFERROR(VLOOKUP(I147,[1]INFO_LOCALES!$B:$F,5,FALSE),"")</f>
        <v>AGUAS DEL ALTIPLANO S.A.</v>
      </c>
      <c r="Q147" s="5" t="s">
        <v>78</v>
      </c>
      <c r="R147" s="5" t="s">
        <v>58</v>
      </c>
      <c r="S147" s="6">
        <v>45503</v>
      </c>
      <c r="T147" s="5" t="s">
        <v>153</v>
      </c>
      <c r="U147" s="6">
        <v>45392</v>
      </c>
      <c r="V147" s="5" t="s">
        <v>59</v>
      </c>
      <c r="W1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" s="7">
        <f t="shared" si="5"/>
        <v>1</v>
      </c>
      <c r="Y147" s="5">
        <v>4</v>
      </c>
      <c r="Z147" s="5">
        <v>6.83</v>
      </c>
      <c r="AA147" s="5">
        <v>2</v>
      </c>
      <c r="AB147" s="5">
        <v>24.57</v>
      </c>
      <c r="AC147" s="5">
        <v>19</v>
      </c>
      <c r="AD147" s="5">
        <v>0.9</v>
      </c>
      <c r="AE147" s="5">
        <v>5.25</v>
      </c>
      <c r="AF147" s="5">
        <v>0.6</v>
      </c>
      <c r="AG147" s="5">
        <v>26</v>
      </c>
      <c r="AH147" s="5">
        <v>7.6</v>
      </c>
      <c r="AI147" s="5">
        <f t="shared" si="4"/>
        <v>228</v>
      </c>
    </row>
    <row r="148" spans="1:52" x14ac:dyDescent="0.25">
      <c r="A148" s="5" t="s">
        <v>52</v>
      </c>
      <c r="B148" s="5" t="s">
        <v>76</v>
      </c>
      <c r="C148" s="5" t="s">
        <v>77</v>
      </c>
      <c r="F148" s="5" t="s">
        <v>55</v>
      </c>
      <c r="G148" s="5" t="s">
        <v>65</v>
      </c>
      <c r="H148" s="5" t="s">
        <v>57</v>
      </c>
      <c r="I148" s="5">
        <v>87</v>
      </c>
      <c r="J148" s="5" t="str">
        <f>IFERROR(VLOOKUP(I148,[1]INFO_LOCALES!$B:$C,2,FALSE),"")</f>
        <v>JUAN MARTINEZ</v>
      </c>
      <c r="K148" s="5" t="str">
        <f>IFERROR(VLOOKUP(Tabla2[[#This Row],[TIENDA]],[1]INFO_LOCALES!$B:$D,3,FALSE),"")</f>
        <v>I - Tarapacá</v>
      </c>
      <c r="L148" s="5" t="str">
        <f>IFERROR(VLOOKUP(I148,[1]INFO_LOCALES!$B:$I,8,FALSE),"")</f>
        <v>Iquique</v>
      </c>
      <c r="M148" s="5" t="str">
        <f>IFERROR(VLOOKUP(I148,[1]INFO_LOCALES!$B:$H,7,FALSE),"")</f>
        <v>M. Rodriguez 964</v>
      </c>
      <c r="N148" s="5">
        <f>IFERROR(VLOOKUP(I148,[1]INFO_LOCALES!$B:$E,4,FALSE),"")</f>
        <v>0</v>
      </c>
      <c r="O148" s="5" t="str">
        <f>VLOOKUP(Tabla2[[#This Row],[TIENDA]],[1]INFO_LOCALES!$B:$J,9,0)</f>
        <v>CONVENIO</v>
      </c>
      <c r="P148" s="5" t="str">
        <f>IFERROR(VLOOKUP(I148,[1]INFO_LOCALES!$B:$F,5,FALSE),"")</f>
        <v>AGUAS DEL ALTIPLANO S.A.</v>
      </c>
      <c r="Q148" s="5" t="s">
        <v>78</v>
      </c>
      <c r="R148" s="5" t="s">
        <v>58</v>
      </c>
      <c r="S148" s="6">
        <v>45503</v>
      </c>
      <c r="T148" s="5" t="s">
        <v>153</v>
      </c>
      <c r="U148" s="6">
        <v>45393</v>
      </c>
      <c r="V148" s="5" t="s">
        <v>59</v>
      </c>
      <c r="W1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" s="7">
        <f t="shared" si="5"/>
        <v>1</v>
      </c>
      <c r="Y148" s="5">
        <v>3</v>
      </c>
      <c r="Z148" s="5">
        <v>6.14</v>
      </c>
      <c r="AA148" s="5">
        <v>2</v>
      </c>
      <c r="AB148" s="5">
        <v>26.99</v>
      </c>
      <c r="AC148" s="5">
        <v>80</v>
      </c>
      <c r="AD148" s="5">
        <v>2.8</v>
      </c>
      <c r="AE148" s="5">
        <v>24.96</v>
      </c>
      <c r="AF148" s="5">
        <v>0.5</v>
      </c>
      <c r="AG148" s="5">
        <v>1</v>
      </c>
      <c r="AH148" s="5">
        <v>5.5</v>
      </c>
      <c r="AI148" s="5">
        <f t="shared" si="4"/>
        <v>165</v>
      </c>
    </row>
    <row r="149" spans="1:52" ht="15.75" customHeight="1" x14ac:dyDescent="0.25">
      <c r="A149" s="5" t="s">
        <v>52</v>
      </c>
      <c r="B149" s="5" t="s">
        <v>117</v>
      </c>
      <c r="C149" s="5" t="s">
        <v>81</v>
      </c>
      <c r="F149" s="5" t="s">
        <v>58</v>
      </c>
      <c r="G149" s="5" t="s">
        <v>65</v>
      </c>
      <c r="H149" s="5" t="s">
        <v>57</v>
      </c>
      <c r="I149" s="5">
        <v>754</v>
      </c>
      <c r="J149" s="5" t="str">
        <f>IFERROR(VLOOKUP(I149,[1]INFO_LOCALES!$B:$C,2,FALSE),"")</f>
        <v>TEMUCO IV</v>
      </c>
      <c r="K149" s="5" t="str">
        <f>IFERROR(VLOOKUP(Tabla2[[#This Row],[TIENDA]],[1]INFO_LOCALES!$B:$D,3,FALSE),"")</f>
        <v>IX - Araucanía</v>
      </c>
      <c r="L149" s="5" t="str">
        <f>IFERROR(VLOOKUP(I149,[1]INFO_LOCALES!$B:$I,8,FALSE),"")</f>
        <v>Temuco</v>
      </c>
      <c r="M149" s="5" t="str">
        <f>IFERROR(VLOOKUP(I149,[1]INFO_LOCALES!$B:$H,7,FALSE),"")</f>
        <v>Avenida Javiera Carrera 1610</v>
      </c>
      <c r="N149" s="5">
        <f>IFERROR(VLOOKUP(I149,[1]INFO_LOCALES!$B:$E,4,FALSE),"")</f>
        <v>0</v>
      </c>
      <c r="O149" s="5" t="str">
        <f>VLOOKUP(Tabla2[[#This Row],[TIENDA]],[1]INFO_LOCALES!$B:$J,9,0)</f>
        <v>CONVENIO</v>
      </c>
      <c r="P149" s="5" t="str">
        <f>IFERROR(VLOOKUP(I149,[1]INFO_LOCALES!$B:$F,5,FALSE),"")</f>
        <v>AGUAS ARAUCANIA S A</v>
      </c>
      <c r="Q149" s="5" t="s">
        <v>62</v>
      </c>
      <c r="R149" s="5" t="s">
        <v>58</v>
      </c>
      <c r="S149" s="6">
        <v>45476</v>
      </c>
      <c r="T149" s="5" t="s">
        <v>153</v>
      </c>
      <c r="U149" s="6">
        <v>45394</v>
      </c>
      <c r="V149" s="5" t="s">
        <v>59</v>
      </c>
      <c r="W1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" s="7">
        <f t="shared" si="5"/>
        <v>1</v>
      </c>
      <c r="Y149" s="5">
        <v>2.21</v>
      </c>
      <c r="Z149" s="5">
        <v>6.62</v>
      </c>
      <c r="AA149" s="5">
        <v>1</v>
      </c>
      <c r="AB149" s="5">
        <v>19.7</v>
      </c>
      <c r="AC149" s="5">
        <v>2</v>
      </c>
      <c r="AD149" s="5">
        <v>0.75</v>
      </c>
      <c r="AE149" s="5">
        <v>2.29</v>
      </c>
      <c r="AF149" s="5">
        <v>0.1</v>
      </c>
      <c r="AG149" s="5">
        <v>16</v>
      </c>
      <c r="AH149" s="5">
        <v>10.8</v>
      </c>
      <c r="AI149" s="5">
        <f t="shared" si="4"/>
        <v>324</v>
      </c>
    </row>
    <row r="150" spans="1:52" x14ac:dyDescent="0.25">
      <c r="A150" s="5" t="s">
        <v>52</v>
      </c>
      <c r="B150" s="5" t="s">
        <v>76</v>
      </c>
      <c r="C150" s="5" t="s">
        <v>77</v>
      </c>
      <c r="F150" s="5" t="s">
        <v>55</v>
      </c>
      <c r="G150" s="5" t="s">
        <v>65</v>
      </c>
      <c r="H150" s="5" t="s">
        <v>57</v>
      </c>
      <c r="I150" s="5">
        <v>85</v>
      </c>
      <c r="J150" s="5" t="str">
        <f>IFERROR(VLOOKUP(I150,[1]INFO_LOCALES!$B:$C,2,FALSE),"")</f>
        <v>AMUNATEGUI</v>
      </c>
      <c r="K150" s="5" t="str">
        <f>IFERROR(VLOOKUP(Tabla2[[#This Row],[TIENDA]],[1]INFO_LOCALES!$B:$D,3,FALSE),"")</f>
        <v>I - Tarapacá</v>
      </c>
      <c r="L150" s="5" t="str">
        <f>IFERROR(VLOOKUP(I150,[1]INFO_LOCALES!$B:$I,8,FALSE),"")</f>
        <v>Iquique</v>
      </c>
      <c r="M150" s="5" t="str">
        <f>IFERROR(VLOOKUP(I150,[1]INFO_LOCALES!$B:$H,7,FALSE),"")</f>
        <v>Amunategui 902</v>
      </c>
      <c r="N150" s="5">
        <f>IFERROR(VLOOKUP(I150,[1]INFO_LOCALES!$B:$E,4,FALSE),"")</f>
        <v>0</v>
      </c>
      <c r="O150" s="5" t="str">
        <f>VLOOKUP(Tabla2[[#This Row],[TIENDA]],[1]INFO_LOCALES!$B:$J,9,0)</f>
        <v>CONVENIO</v>
      </c>
      <c r="P150" s="5" t="str">
        <f>IFERROR(VLOOKUP(I150,[1]INFO_LOCALES!$B:$F,5,FALSE),"")</f>
        <v>AGUAS DEL ALTIPLANO S.A.</v>
      </c>
      <c r="Q150" s="5" t="s">
        <v>78</v>
      </c>
      <c r="R150" s="5" t="s">
        <v>58</v>
      </c>
      <c r="S150" s="6">
        <v>45595</v>
      </c>
      <c r="T150" s="5" t="s">
        <v>153</v>
      </c>
      <c r="U150" s="6">
        <v>45397</v>
      </c>
      <c r="V150" s="5" t="s">
        <v>59</v>
      </c>
      <c r="W1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50" s="7">
        <f t="shared" si="5"/>
        <v>2</v>
      </c>
      <c r="Y150" s="5">
        <v>6</v>
      </c>
      <c r="Z150" s="5">
        <v>7.16</v>
      </c>
      <c r="AA150" s="5">
        <v>14</v>
      </c>
      <c r="AB150" s="5">
        <v>24.23</v>
      </c>
      <c r="AC150" s="5">
        <v>66</v>
      </c>
      <c r="AD150" s="5">
        <v>5</v>
      </c>
      <c r="AE150" s="5">
        <v>46.55</v>
      </c>
      <c r="AF150" s="5">
        <v>0.5</v>
      </c>
      <c r="AG150" s="5">
        <v>41</v>
      </c>
      <c r="AH150" s="5">
        <v>5.3</v>
      </c>
      <c r="AI150" s="5">
        <f t="shared" si="4"/>
        <v>159</v>
      </c>
      <c r="AZ150" s="8" t="s">
        <v>158</v>
      </c>
    </row>
    <row r="151" spans="1:52" x14ac:dyDescent="0.25">
      <c r="A151" s="5" t="s">
        <v>52</v>
      </c>
      <c r="B151" s="5" t="s">
        <v>76</v>
      </c>
      <c r="C151" s="5" t="s">
        <v>77</v>
      </c>
      <c r="F151" s="5" t="s">
        <v>55</v>
      </c>
      <c r="G151" s="5" t="s">
        <v>61</v>
      </c>
      <c r="H151" s="5" t="s">
        <v>57</v>
      </c>
      <c r="I151" s="5">
        <v>106</v>
      </c>
      <c r="J151" s="5" t="str">
        <f>IFERROR(VLOOKUP(I151,[1]INFO_LOCALES!$B:$C,2,FALSE),"")</f>
        <v>LOS MOLLES</v>
      </c>
      <c r="K151" s="5" t="str">
        <f>IFERROR(VLOOKUP(Tabla2[[#This Row],[TIENDA]],[1]INFO_LOCALES!$B:$D,3,FALSE),"")</f>
        <v>I - Tarapacá</v>
      </c>
      <c r="L151" s="5" t="str">
        <f>IFERROR(VLOOKUP(I151,[1]INFO_LOCALES!$B:$I,8,FALSE),"")</f>
        <v>Iquique</v>
      </c>
      <c r="M151" s="5" t="str">
        <f>IFERROR(VLOOKUP(I151,[1]INFO_LOCALES!$B:$H,7,FALSE),"")</f>
        <v>Santiago Polanco 2251</v>
      </c>
      <c r="N151" s="5">
        <f>IFERROR(VLOOKUP(I151,[1]INFO_LOCALES!$B:$E,4,FALSE),"")</f>
        <v>4050</v>
      </c>
      <c r="O151" s="5" t="str">
        <f>VLOOKUP(Tabla2[[#This Row],[TIENDA]],[1]INFO_LOCALES!$B:$J,9,0)</f>
        <v>CONVENIO</v>
      </c>
      <c r="P151" s="5" t="str">
        <f>IFERROR(VLOOKUP(I151,[1]INFO_LOCALES!$B:$F,5,FALSE),"")</f>
        <v>AGUAS DEL ALTIPLANO S.A.</v>
      </c>
      <c r="Q151" s="5" t="s">
        <v>85</v>
      </c>
      <c r="R151" s="5" t="s">
        <v>86</v>
      </c>
      <c r="S151" s="6" t="s">
        <v>87</v>
      </c>
      <c r="T151" s="5" t="s">
        <v>153</v>
      </c>
      <c r="U151" s="6">
        <v>45398</v>
      </c>
      <c r="V151" s="5" t="s">
        <v>59</v>
      </c>
      <c r="W1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51" s="7">
        <f t="shared" si="5"/>
        <v>3</v>
      </c>
      <c r="Y151" s="5">
        <v>77</v>
      </c>
      <c r="Z151" s="5">
        <v>7.62</v>
      </c>
      <c r="AA151" s="5">
        <v>17</v>
      </c>
      <c r="AB151" s="5">
        <v>20.8</v>
      </c>
      <c r="AC151" s="5">
        <v>130</v>
      </c>
      <c r="AD151" s="5">
        <v>4.5999999999999996</v>
      </c>
      <c r="AE151" s="5">
        <v>5</v>
      </c>
      <c r="AF151" s="5">
        <v>1</v>
      </c>
      <c r="AG151" s="5">
        <v>10</v>
      </c>
      <c r="AH151" s="5">
        <v>6.9</v>
      </c>
      <c r="AI151" s="5">
        <f t="shared" si="4"/>
        <v>207</v>
      </c>
    </row>
    <row r="152" spans="1:52" x14ac:dyDescent="0.25">
      <c r="A152" s="5" t="s">
        <v>52</v>
      </c>
      <c r="B152" s="5" t="s">
        <v>53</v>
      </c>
      <c r="C152" s="5" t="s">
        <v>54</v>
      </c>
      <c r="F152" s="5" t="s">
        <v>55</v>
      </c>
      <c r="G152" s="5" t="s">
        <v>61</v>
      </c>
      <c r="H152" s="5" t="s">
        <v>57</v>
      </c>
      <c r="I152" s="5">
        <v>344</v>
      </c>
      <c r="J152" s="5" t="str">
        <f>IFERROR(VLOOKUP(I152,[1]INFO_LOCALES!$B:$C,2,FALSE),"")</f>
        <v>CURICO ALAMEDA</v>
      </c>
      <c r="K152" s="5" t="str">
        <f>IFERROR(VLOOKUP(Tabla2[[#This Row],[TIENDA]],[1]INFO_LOCALES!$B:$D,3,FALSE),"")</f>
        <v>VII - Maule</v>
      </c>
      <c r="L152" s="5" t="str">
        <f>IFERROR(VLOOKUP(I152,[1]INFO_LOCALES!$B:$I,8,FALSE),"")</f>
        <v>Curicó</v>
      </c>
      <c r="M152" s="5" t="str">
        <f>IFERROR(VLOOKUP(I152,[1]INFO_LOCALES!$B:$H,7,FALSE),"")</f>
        <v>Estado 43</v>
      </c>
      <c r="N152" s="5">
        <f>IFERROR(VLOOKUP(I152,[1]INFO_LOCALES!$B:$E,4,FALSE),"")</f>
        <v>4530</v>
      </c>
      <c r="O152" s="5" t="str">
        <f>VLOOKUP(Tabla2[[#This Row],[TIENDA]],[1]INFO_LOCALES!$B:$J,9,0)</f>
        <v>SIN CONVENIO</v>
      </c>
      <c r="P152" s="5" t="str">
        <f>IFERROR(VLOOKUP(I152,[1]INFO_LOCALES!$B:$F,5,FALSE),"")</f>
        <v>NUEVOSUR S.A.</v>
      </c>
      <c r="Q152" s="5" t="s">
        <v>66</v>
      </c>
      <c r="R152" s="5" t="s">
        <v>58</v>
      </c>
      <c r="S152" s="6">
        <v>45456</v>
      </c>
      <c r="T152" s="5" t="s">
        <v>153</v>
      </c>
      <c r="U152" s="6">
        <v>45398</v>
      </c>
      <c r="V152" s="5" t="s">
        <v>59</v>
      </c>
      <c r="W1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52" s="7">
        <f t="shared" si="5"/>
        <v>2</v>
      </c>
      <c r="Y152" s="5">
        <v>8</v>
      </c>
      <c r="Z152" s="5">
        <v>6.3</v>
      </c>
      <c r="AA152" s="5">
        <v>13.3</v>
      </c>
      <c r="AB152" s="5">
        <v>20.55</v>
      </c>
      <c r="AC152" s="5">
        <v>395.03</v>
      </c>
      <c r="AD152" s="5">
        <v>11.58</v>
      </c>
      <c r="AE152" s="5">
        <v>67.400000000000006</v>
      </c>
      <c r="AF152" s="5">
        <v>6</v>
      </c>
      <c r="AG152" s="5">
        <v>120.8</v>
      </c>
      <c r="AH152" s="5">
        <v>6.58</v>
      </c>
      <c r="AI152" s="5">
        <f t="shared" si="4"/>
        <v>197.4</v>
      </c>
      <c r="AZ152" s="8" t="s">
        <v>159</v>
      </c>
    </row>
    <row r="153" spans="1:52" x14ac:dyDescent="0.25">
      <c r="A153" s="5" t="s">
        <v>52</v>
      </c>
      <c r="B153" s="5" t="s">
        <v>76</v>
      </c>
      <c r="C153" s="5" t="s">
        <v>77</v>
      </c>
      <c r="F153" s="5" t="s">
        <v>55</v>
      </c>
      <c r="G153" s="5" t="s">
        <v>61</v>
      </c>
      <c r="H153" s="5" t="s">
        <v>57</v>
      </c>
      <c r="I153" s="5">
        <v>103</v>
      </c>
      <c r="J153" s="5" t="str">
        <f>IFERROR(VLOOKUP(I153,[1]INFO_LOCALES!$B:$C,2,FALSE),"")</f>
        <v>VIVAR</v>
      </c>
      <c r="K153" s="5" t="str">
        <f>IFERROR(VLOOKUP(Tabla2[[#This Row],[TIENDA]],[1]INFO_LOCALES!$B:$D,3,FALSE),"")</f>
        <v>I - Tarapacá</v>
      </c>
      <c r="L153" s="5" t="str">
        <f>IFERROR(VLOOKUP(I153,[1]INFO_LOCALES!$B:$I,8,FALSE),"")</f>
        <v>Iquique</v>
      </c>
      <c r="M153" s="5" t="str">
        <f>IFERROR(VLOOKUP(I153,[1]INFO_LOCALES!$B:$H,7,FALSE),"")</f>
        <v>Vivar 786</v>
      </c>
      <c r="N153" s="5">
        <f>IFERROR(VLOOKUP(I153,[1]INFO_LOCALES!$B:$E,4,FALSE),"")</f>
        <v>4420</v>
      </c>
      <c r="O153" s="5" t="str">
        <f>VLOOKUP(Tabla2[[#This Row],[TIENDA]],[1]INFO_LOCALES!$B:$J,9,0)</f>
        <v>CONVENIO</v>
      </c>
      <c r="P153" s="5" t="str">
        <f>IFERROR(VLOOKUP(I153,[1]INFO_LOCALES!$B:$F,5,FALSE),"")</f>
        <v>AGUAS DEL ALTIPLANO S.A.</v>
      </c>
      <c r="Q153" s="5" t="s">
        <v>78</v>
      </c>
      <c r="R153" s="5" t="s">
        <v>58</v>
      </c>
      <c r="S153" s="6">
        <v>45595</v>
      </c>
      <c r="T153" s="5" t="s">
        <v>153</v>
      </c>
      <c r="U153" s="6">
        <v>45398</v>
      </c>
      <c r="V153" s="5" t="s">
        <v>59</v>
      </c>
      <c r="W1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" s="7">
        <f t="shared" si="5"/>
        <v>1</v>
      </c>
      <c r="Y153" s="5">
        <v>9</v>
      </c>
      <c r="Z153" s="5">
        <v>6.96</v>
      </c>
      <c r="AA153" s="5">
        <v>5</v>
      </c>
      <c r="AB153" s="5">
        <v>23.82</v>
      </c>
      <c r="AC153" s="5">
        <v>51</v>
      </c>
      <c r="AD153" s="5">
        <v>5.5</v>
      </c>
      <c r="AE153" s="5">
        <v>40.4</v>
      </c>
      <c r="AF153" s="5">
        <v>0.5</v>
      </c>
      <c r="AG153" s="5">
        <v>206</v>
      </c>
      <c r="AH153" s="5">
        <v>5.0999999999999996</v>
      </c>
      <c r="AI153" s="5">
        <f t="shared" si="4"/>
        <v>153</v>
      </c>
      <c r="AZ153" s="8" t="s">
        <v>160</v>
      </c>
    </row>
    <row r="154" spans="1:52" x14ac:dyDescent="0.25">
      <c r="A154" s="5" t="s">
        <v>52</v>
      </c>
      <c r="B154" s="5" t="s">
        <v>76</v>
      </c>
      <c r="C154" s="5" t="s">
        <v>77</v>
      </c>
      <c r="F154" s="5" t="s">
        <v>55</v>
      </c>
      <c r="G154" s="5" t="s">
        <v>61</v>
      </c>
      <c r="H154" s="5" t="s">
        <v>57</v>
      </c>
      <c r="I154" s="5">
        <v>103</v>
      </c>
      <c r="J154" s="5" t="str">
        <f>IFERROR(VLOOKUP(I154,[1]INFO_LOCALES!$B:$C,2,FALSE),"")</f>
        <v>VIVAR</v>
      </c>
      <c r="K154" s="5" t="str">
        <f>IFERROR(VLOOKUP(Tabla2[[#This Row],[TIENDA]],[1]INFO_LOCALES!$B:$D,3,FALSE),"")</f>
        <v>I - Tarapacá</v>
      </c>
      <c r="L154" s="5" t="str">
        <f>IFERROR(VLOOKUP(I154,[1]INFO_LOCALES!$B:$I,8,FALSE),"")</f>
        <v>Iquique</v>
      </c>
      <c r="M154" s="5" t="str">
        <f>IFERROR(VLOOKUP(I154,[1]INFO_LOCALES!$B:$H,7,FALSE),"")</f>
        <v>Vivar 786</v>
      </c>
      <c r="N154" s="5">
        <f>IFERROR(VLOOKUP(I154,[1]INFO_LOCALES!$B:$E,4,FALSE),"")</f>
        <v>4420</v>
      </c>
      <c r="O154" s="5" t="str">
        <f>VLOOKUP(Tabla2[[#This Row],[TIENDA]],[1]INFO_LOCALES!$B:$J,9,0)</f>
        <v>CONVENIO</v>
      </c>
      <c r="P154" s="5" t="str">
        <f>IFERROR(VLOOKUP(I154,[1]INFO_LOCALES!$B:$F,5,FALSE),"")</f>
        <v>AGUAS DEL ALTIPLANO S.A.</v>
      </c>
      <c r="Q154" s="5" t="s">
        <v>78</v>
      </c>
      <c r="R154" s="5" t="s">
        <v>58</v>
      </c>
      <c r="S154" s="6">
        <v>45595</v>
      </c>
      <c r="T154" s="5" t="s">
        <v>153</v>
      </c>
      <c r="U154" s="6">
        <v>45399</v>
      </c>
      <c r="V154" s="5" t="s">
        <v>59</v>
      </c>
      <c r="W1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" s="7">
        <f t="shared" si="5"/>
        <v>1</v>
      </c>
      <c r="Y154" s="5">
        <v>8</v>
      </c>
      <c r="Z154" s="5">
        <v>7.16</v>
      </c>
      <c r="AA154" s="5">
        <v>2</v>
      </c>
      <c r="AB154" s="5">
        <v>23.45</v>
      </c>
      <c r="AC154" s="5">
        <v>9</v>
      </c>
      <c r="AD154" s="5">
        <v>2.2000000000000002</v>
      </c>
      <c r="AE154" s="5">
        <v>6.23</v>
      </c>
      <c r="AF154" s="5">
        <v>0.8</v>
      </c>
      <c r="AG154" s="5">
        <v>42</v>
      </c>
      <c r="AH154" s="5">
        <v>5</v>
      </c>
      <c r="AI154" s="5">
        <f t="shared" si="4"/>
        <v>150</v>
      </c>
      <c r="AZ154" s="8" t="s">
        <v>145</v>
      </c>
    </row>
    <row r="155" spans="1:52" x14ac:dyDescent="0.25">
      <c r="A155" s="5" t="s">
        <v>52</v>
      </c>
      <c r="B155" s="5" t="s">
        <v>76</v>
      </c>
      <c r="C155" s="5" t="s">
        <v>77</v>
      </c>
      <c r="F155" s="5" t="s">
        <v>55</v>
      </c>
      <c r="G155" s="5" t="s">
        <v>61</v>
      </c>
      <c r="H155" s="5" t="s">
        <v>57</v>
      </c>
      <c r="I155" s="5">
        <v>105</v>
      </c>
      <c r="J155" s="5" t="str">
        <f>IFERROR(VLOOKUP(I155,[1]INFO_LOCALES!$B:$C,2,FALSE),"")</f>
        <v>IQUIQUE CENTRO</v>
      </c>
      <c r="K155" s="5" t="str">
        <f>IFERROR(VLOOKUP(Tabla2[[#This Row],[TIENDA]],[1]INFO_LOCALES!$B:$D,3,FALSE),"")</f>
        <v>I - Tarapacá</v>
      </c>
      <c r="L155" s="5" t="str">
        <f>IFERROR(VLOOKUP(I155,[1]INFO_LOCALES!$B:$I,8,FALSE),"")</f>
        <v>Iquique</v>
      </c>
      <c r="M155" s="5" t="str">
        <f>IFERROR(VLOOKUP(I155,[1]INFO_LOCALES!$B:$H,7,FALSE),"")</f>
        <v>Tarapaca 579</v>
      </c>
      <c r="N155" s="5">
        <f>IFERROR(VLOOKUP(I155,[1]INFO_LOCALES!$B:$E,4,FALSE),"")</f>
        <v>4051</v>
      </c>
      <c r="O155" s="5" t="str">
        <f>VLOOKUP(Tabla2[[#This Row],[TIENDA]],[1]INFO_LOCALES!$B:$J,9,0)</f>
        <v>TERMINADO</v>
      </c>
      <c r="P155" s="5" t="str">
        <f>IFERROR(VLOOKUP(I155,[1]INFO_LOCALES!$B:$F,5,FALSE),"")</f>
        <v>AGUAS DEL ALTIPLANO S.A.</v>
      </c>
      <c r="Q155" s="5" t="s">
        <v>85</v>
      </c>
      <c r="R155" s="5" t="s">
        <v>86</v>
      </c>
      <c r="S155" s="6" t="s">
        <v>87</v>
      </c>
      <c r="T155" s="5" t="s">
        <v>153</v>
      </c>
      <c r="U155" s="6">
        <v>45400</v>
      </c>
      <c r="V155" s="5" t="s">
        <v>59</v>
      </c>
      <c r="W1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" s="7">
        <f t="shared" si="5"/>
        <v>1</v>
      </c>
      <c r="Y155" s="5">
        <v>66</v>
      </c>
      <c r="Z155" s="5">
        <v>7.12</v>
      </c>
      <c r="AA155" s="5">
        <v>2</v>
      </c>
      <c r="AB155" s="5">
        <v>21.1</v>
      </c>
      <c r="AC155" s="5">
        <v>95</v>
      </c>
      <c r="AD155" s="5">
        <v>5.6</v>
      </c>
      <c r="AE155" s="5">
        <v>15.15</v>
      </c>
      <c r="AF155" s="5">
        <v>0.5</v>
      </c>
      <c r="AG155" s="5">
        <v>17</v>
      </c>
      <c r="AH155" s="5">
        <v>1.9</v>
      </c>
      <c r="AI155" s="5">
        <f t="shared" si="4"/>
        <v>57</v>
      </c>
    </row>
    <row r="156" spans="1:52" x14ac:dyDescent="0.25">
      <c r="A156" s="5" t="s">
        <v>52</v>
      </c>
      <c r="B156" s="5" t="s">
        <v>76</v>
      </c>
      <c r="C156" s="5" t="s">
        <v>77</v>
      </c>
      <c r="F156" s="5" t="s">
        <v>55</v>
      </c>
      <c r="G156" s="5" t="s">
        <v>61</v>
      </c>
      <c r="H156" s="5" t="s">
        <v>57</v>
      </c>
      <c r="I156" s="5">
        <v>103</v>
      </c>
      <c r="J156" s="5" t="str">
        <f>IFERROR(VLOOKUP(I156,[1]INFO_LOCALES!$B:$C,2,FALSE),"")</f>
        <v>VIVAR</v>
      </c>
      <c r="K156" s="5" t="str">
        <f>IFERROR(VLOOKUP(Tabla2[[#This Row],[TIENDA]],[1]INFO_LOCALES!$B:$D,3,FALSE),"")</f>
        <v>I - Tarapacá</v>
      </c>
      <c r="L156" s="5" t="str">
        <f>IFERROR(VLOOKUP(I156,[1]INFO_LOCALES!$B:$I,8,FALSE),"")</f>
        <v>Iquique</v>
      </c>
      <c r="M156" s="5" t="str">
        <f>IFERROR(VLOOKUP(I156,[1]INFO_LOCALES!$B:$H,7,FALSE),"")</f>
        <v>Vivar 786</v>
      </c>
      <c r="N156" s="5">
        <f>IFERROR(VLOOKUP(I156,[1]INFO_LOCALES!$B:$E,4,FALSE),"")</f>
        <v>4420</v>
      </c>
      <c r="O156" s="5" t="str">
        <f>VLOOKUP(Tabla2[[#This Row],[TIENDA]],[1]INFO_LOCALES!$B:$J,9,0)</f>
        <v>CONVENIO</v>
      </c>
      <c r="P156" s="5" t="str">
        <f>IFERROR(VLOOKUP(I156,[1]INFO_LOCALES!$B:$F,5,FALSE),"")</f>
        <v>AGUAS DEL ALTIPLANO S.A.</v>
      </c>
      <c r="Q156" s="5" t="s">
        <v>78</v>
      </c>
      <c r="R156" s="5" t="s">
        <v>58</v>
      </c>
      <c r="S156" s="6">
        <v>45595</v>
      </c>
      <c r="T156" s="5" t="s">
        <v>153</v>
      </c>
      <c r="U156" s="6">
        <v>45400</v>
      </c>
      <c r="V156" s="5" t="s">
        <v>59</v>
      </c>
      <c r="W1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" s="7">
        <f t="shared" si="5"/>
        <v>1</v>
      </c>
      <c r="Y156" s="5">
        <v>4</v>
      </c>
      <c r="Z156" s="5">
        <v>7.05</v>
      </c>
      <c r="AA156" s="5">
        <v>2</v>
      </c>
      <c r="AB156" s="5">
        <v>24.43</v>
      </c>
      <c r="AC156" s="5">
        <v>3</v>
      </c>
      <c r="AD156" s="5">
        <v>0.6</v>
      </c>
      <c r="AE156" s="5">
        <v>3.18</v>
      </c>
      <c r="AF156" s="5">
        <v>0.5</v>
      </c>
      <c r="AG156" s="5">
        <v>6</v>
      </c>
      <c r="AH156" s="5">
        <v>4.7</v>
      </c>
      <c r="AI156" s="5">
        <f t="shared" si="4"/>
        <v>141</v>
      </c>
      <c r="AZ156" s="8" t="s">
        <v>145</v>
      </c>
    </row>
    <row r="157" spans="1:52" x14ac:dyDescent="0.25">
      <c r="A157" s="5" t="s">
        <v>52</v>
      </c>
      <c r="B157" s="5" t="s">
        <v>104</v>
      </c>
      <c r="C157" s="5" t="s">
        <v>54</v>
      </c>
      <c r="F157" s="5" t="s">
        <v>55</v>
      </c>
      <c r="G157" s="5" t="s">
        <v>61</v>
      </c>
      <c r="H157" s="5" t="s">
        <v>57</v>
      </c>
      <c r="I157" s="5">
        <v>555</v>
      </c>
      <c r="J157" s="5" t="str">
        <f>IFERROR(VLOOKUP(I157,[1]INFO_LOCALES!$B:$C,2,FALSE),"")</f>
        <v>GRANEROS</v>
      </c>
      <c r="K157" s="5" t="str">
        <f>IFERROR(VLOOKUP(Tabla2[[#This Row],[TIENDA]],[1]INFO_LOCALES!$B:$D,3,FALSE),"")</f>
        <v>VI - O'Higgins</v>
      </c>
      <c r="L157" s="5" t="str">
        <f>IFERROR(VLOOKUP(I157,[1]INFO_LOCALES!$B:$I,8,FALSE),"")</f>
        <v>Graneros</v>
      </c>
      <c r="M157" s="5" t="str">
        <f>IFERROR(VLOOKUP(I157,[1]INFO_LOCALES!$B:$H,7,FALSE),"")</f>
        <v>Obispo Rafael Lira 042</v>
      </c>
      <c r="N157" s="5">
        <f>IFERROR(VLOOKUP(I157,[1]INFO_LOCALES!$B:$E,4,FALSE),"")</f>
        <v>4574</v>
      </c>
      <c r="O157" s="5" t="str">
        <f>VLOOKUP(Tabla2[[#This Row],[TIENDA]],[1]INFO_LOCALES!$B:$J,9,0)</f>
        <v>SIN CONVENIO</v>
      </c>
      <c r="P157" s="5" t="str">
        <f>IFERROR(VLOOKUP(I157,[1]INFO_LOCALES!$B:$F,5,FALSE),"")</f>
        <v>ESSBIO S.A.</v>
      </c>
      <c r="Q157" s="5" t="s">
        <v>85</v>
      </c>
      <c r="R157" s="5" t="s">
        <v>86</v>
      </c>
      <c r="S157" s="6" t="s">
        <v>87</v>
      </c>
      <c r="T157" s="5" t="s">
        <v>153</v>
      </c>
      <c r="U157" s="6">
        <v>45401</v>
      </c>
      <c r="V157" s="5" t="s">
        <v>118</v>
      </c>
      <c r="W1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" s="7">
        <f t="shared" si="5"/>
        <v>1</v>
      </c>
      <c r="Y157" s="5">
        <v>21.9</v>
      </c>
      <c r="Z157" s="5">
        <v>7.12</v>
      </c>
      <c r="AA157" s="5">
        <v>2</v>
      </c>
      <c r="AB157" s="5">
        <v>21.1</v>
      </c>
      <c r="AC157" s="5">
        <v>205</v>
      </c>
      <c r="AD157" s="5">
        <v>6.4</v>
      </c>
      <c r="AE157" s="5">
        <v>15</v>
      </c>
      <c r="AF157" s="5">
        <v>1</v>
      </c>
      <c r="AG157" s="5">
        <v>103</v>
      </c>
      <c r="AH157" s="5">
        <v>6.5</v>
      </c>
      <c r="AI157" s="5">
        <f t="shared" si="4"/>
        <v>195</v>
      </c>
      <c r="AJ157" s="5">
        <v>0.37230000000000002</v>
      </c>
      <c r="AK157" s="5">
        <v>3.0000000000000001E-3</v>
      </c>
      <c r="AL157" s="5">
        <v>0.16470000000000001</v>
      </c>
      <c r="AM157" s="5">
        <v>0.01</v>
      </c>
      <c r="AN157" s="5">
        <v>0.1</v>
      </c>
      <c r="AO157" s="5">
        <v>0.31319999999999998</v>
      </c>
      <c r="AP157" s="5">
        <v>0.4995</v>
      </c>
      <c r="AQ157" s="5">
        <v>0.05</v>
      </c>
      <c r="AR157" s="5">
        <v>0.05</v>
      </c>
      <c r="AS157" s="5">
        <v>10</v>
      </c>
      <c r="AT157" s="5">
        <v>4.36E-2</v>
      </c>
      <c r="AU157" s="5">
        <v>1E-3</v>
      </c>
      <c r="AV157" s="5">
        <v>0.05</v>
      </c>
      <c r="AW157" s="5">
        <v>0.05</v>
      </c>
      <c r="AX157" s="5">
        <v>85</v>
      </c>
      <c r="AY157" s="5">
        <v>0.5</v>
      </c>
    </row>
    <row r="158" spans="1:52" x14ac:dyDescent="0.25">
      <c r="A158" s="5" t="s">
        <v>52</v>
      </c>
      <c r="B158" s="5" t="s">
        <v>90</v>
      </c>
      <c r="C158" s="5" t="s">
        <v>81</v>
      </c>
      <c r="F158" s="5" t="s">
        <v>55</v>
      </c>
      <c r="G158" s="5" t="s">
        <v>61</v>
      </c>
      <c r="H158" s="5" t="s">
        <v>57</v>
      </c>
      <c r="I158" s="5">
        <v>777</v>
      </c>
      <c r="J158" s="5" t="str">
        <f>IFERROR(VLOOKUP(I158,[1]INFO_LOCALES!$B:$C,2,FALSE),"")</f>
        <v>CENTRAL</v>
      </c>
      <c r="K158" s="5" t="str">
        <f>IFERROR(VLOOKUP(Tabla2[[#This Row],[TIENDA]],[1]INFO_LOCALES!$B:$D,3,FALSE),"")</f>
        <v>X - Los Lagos</v>
      </c>
      <c r="L158" s="5" t="str">
        <f>IFERROR(VLOOKUP(I158,[1]INFO_LOCALES!$B:$I,8,FALSE),"")</f>
        <v>Osorno</v>
      </c>
      <c r="M158" s="5" t="str">
        <f>IFERROR(VLOOKUP(I158,[1]INFO_LOCALES!$B:$H,7,FALSE),"")</f>
        <v>Patricio Lynch 1278</v>
      </c>
      <c r="N158" s="5">
        <f>IFERROR(VLOOKUP(I158,[1]INFO_LOCALES!$B:$E,4,FALSE),"")</f>
        <v>3684</v>
      </c>
      <c r="O158" s="5" t="str">
        <f>VLOOKUP(Tabla2[[#This Row],[TIENDA]],[1]INFO_LOCALES!$B:$J,9,0)</f>
        <v>CONVENIO</v>
      </c>
      <c r="P158" s="5" t="str">
        <f>IFERROR(VLOOKUP(I158,[1]INFO_LOCALES!$B:$F,5,FALSE),"")</f>
        <v>SURALIS</v>
      </c>
      <c r="Q158" s="5" t="s">
        <v>105</v>
      </c>
      <c r="R158" s="5" t="s">
        <v>58</v>
      </c>
      <c r="S158" s="6">
        <v>45443</v>
      </c>
      <c r="T158" s="5" t="s">
        <v>153</v>
      </c>
      <c r="U158" s="6">
        <v>45401</v>
      </c>
      <c r="V158" s="5" t="s">
        <v>59</v>
      </c>
      <c r="W1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" s="7">
        <f t="shared" si="5"/>
        <v>1</v>
      </c>
      <c r="Y158" s="5">
        <v>14</v>
      </c>
      <c r="Z158" s="5">
        <v>6.92</v>
      </c>
      <c r="AA158" s="5">
        <v>2</v>
      </c>
      <c r="AB158" s="5">
        <v>10.199999999999999</v>
      </c>
      <c r="AC158" s="5">
        <v>154</v>
      </c>
      <c r="AD158" s="5">
        <v>4.7</v>
      </c>
      <c r="AE158" s="5">
        <v>0.44</v>
      </c>
      <c r="AF158" s="5">
        <v>0.5</v>
      </c>
      <c r="AG158" s="5">
        <v>51</v>
      </c>
      <c r="AH158" s="5">
        <v>3.3</v>
      </c>
      <c r="AI158" s="5">
        <f t="shared" si="4"/>
        <v>99</v>
      </c>
      <c r="AZ158" s="8" t="s">
        <v>161</v>
      </c>
    </row>
    <row r="159" spans="1:52" x14ac:dyDescent="0.25">
      <c r="A159" s="5" t="s">
        <v>52</v>
      </c>
      <c r="B159" s="5" t="s">
        <v>90</v>
      </c>
      <c r="C159" s="5" t="s">
        <v>81</v>
      </c>
      <c r="F159" s="5" t="s">
        <v>55</v>
      </c>
      <c r="G159" s="5" t="s">
        <v>65</v>
      </c>
      <c r="H159" s="5" t="s">
        <v>57</v>
      </c>
      <c r="I159" s="5">
        <v>779</v>
      </c>
      <c r="J159" s="5" t="str">
        <f>IFERROR(VLOOKUP(I159,[1]INFO_LOCALES!$B:$C,2,FALSE),"")</f>
        <v>BULNES II</v>
      </c>
      <c r="K159" s="5" t="str">
        <f>IFERROR(VLOOKUP(Tabla2[[#This Row],[TIENDA]],[1]INFO_LOCALES!$B:$D,3,FALSE),"")</f>
        <v>X - Los Lagos</v>
      </c>
      <c r="L159" s="5" t="str">
        <f>IFERROR(VLOOKUP(I159,[1]INFO_LOCALES!$B:$I,8,FALSE),"")</f>
        <v>Osorno</v>
      </c>
      <c r="M159" s="5" t="str">
        <f>IFERROR(VLOOKUP(I159,[1]INFO_LOCALES!$B:$H,7,FALSE),"")</f>
        <v>Ramirez 699</v>
      </c>
      <c r="N159" s="5">
        <f>IFERROR(VLOOKUP(I159,[1]INFO_LOCALES!$B:$E,4,FALSE),"")</f>
        <v>0</v>
      </c>
      <c r="O159" s="5" t="str">
        <f>VLOOKUP(Tabla2[[#This Row],[TIENDA]],[1]INFO_LOCALES!$B:$J,9,0)</f>
        <v>SIN CONVENIO</v>
      </c>
      <c r="P159" s="5" t="str">
        <f>IFERROR(VLOOKUP(I159,[1]INFO_LOCALES!$B:$F,5,FALSE),"")</f>
        <v>SURALIS</v>
      </c>
      <c r="Q159" s="5" t="s">
        <v>105</v>
      </c>
      <c r="R159" s="5" t="s">
        <v>58</v>
      </c>
      <c r="S159" s="6">
        <v>45443</v>
      </c>
      <c r="T159" s="5" t="s">
        <v>153</v>
      </c>
      <c r="U159" s="6">
        <v>45401</v>
      </c>
      <c r="V159" s="5" t="s">
        <v>59</v>
      </c>
      <c r="W1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" s="7">
        <f t="shared" si="5"/>
        <v>1</v>
      </c>
      <c r="Y159" s="5">
        <v>14</v>
      </c>
      <c r="Z159" s="5">
        <v>7.05</v>
      </c>
      <c r="AA159" s="5">
        <v>2</v>
      </c>
      <c r="AB159" s="5">
        <v>14.9</v>
      </c>
      <c r="AC159" s="5">
        <v>67</v>
      </c>
      <c r="AD159" s="5">
        <v>2.5</v>
      </c>
      <c r="AE159" s="5">
        <v>2.04</v>
      </c>
      <c r="AF159" s="5">
        <v>8</v>
      </c>
      <c r="AG159" s="5">
        <v>49</v>
      </c>
      <c r="AH159" s="5">
        <v>15.7</v>
      </c>
      <c r="AI159" s="5">
        <f t="shared" si="4"/>
        <v>471</v>
      </c>
      <c r="AZ159" s="8" t="s">
        <v>162</v>
      </c>
    </row>
    <row r="160" spans="1:52" x14ac:dyDescent="0.25">
      <c r="A160" s="5" t="s">
        <v>52</v>
      </c>
      <c r="B160" s="5" t="s">
        <v>74</v>
      </c>
      <c r="C160" s="5" t="s">
        <v>74</v>
      </c>
      <c r="F160" s="5" t="s">
        <v>55</v>
      </c>
      <c r="G160" s="5" t="s">
        <v>61</v>
      </c>
      <c r="H160" s="5" t="s">
        <v>57</v>
      </c>
      <c r="I160" s="5">
        <v>459</v>
      </c>
      <c r="J160" s="5" t="str">
        <f>IFERROR(VLOOKUP(I160,[1]INFO_LOCALES!$B:$C,2,FALSE),"")</f>
        <v>ALLENDE AUSTRAL</v>
      </c>
      <c r="K160" s="5" t="str">
        <f>IFERROR(VLOOKUP(Tabla2[[#This Row],[TIENDA]],[1]INFO_LOCALES!$B:$D,3,FALSE),"")</f>
        <v>XII - Magallanes</v>
      </c>
      <c r="L160" s="5" t="str">
        <f>IFERROR(VLOOKUP(I160,[1]INFO_LOCALES!$B:$I,8,FALSE),"")</f>
        <v>Punta Arenas</v>
      </c>
      <c r="M160" s="5" t="str">
        <f>IFERROR(VLOOKUP(I160,[1]INFO_LOCALES!$B:$H,7,FALSE),"")</f>
        <v>Salvador Allende 0399</v>
      </c>
      <c r="N160" s="5">
        <f>IFERROR(VLOOKUP(I160,[1]INFO_LOCALES!$B:$E,4,FALSE),"")</f>
        <v>3735</v>
      </c>
      <c r="O160" s="5" t="str">
        <f>VLOOKUP(Tabla2[[#This Row],[TIENDA]],[1]INFO_LOCALES!$B:$J,9,0)</f>
        <v>SIN CONVENIO</v>
      </c>
      <c r="P160" s="5" t="str">
        <f>IFERROR(VLOOKUP(I160,[1]INFO_LOCALES!$B:$F,5,FALSE),"")</f>
        <v>AGUAS MAGALLANES S.A.</v>
      </c>
      <c r="Q160" s="5" t="s">
        <v>71</v>
      </c>
      <c r="R160" s="5" t="s">
        <v>58</v>
      </c>
      <c r="S160" s="6">
        <v>45533</v>
      </c>
      <c r="T160" s="5" t="s">
        <v>153</v>
      </c>
      <c r="U160" s="6">
        <v>45401</v>
      </c>
      <c r="V160" s="5" t="s">
        <v>59</v>
      </c>
      <c r="W1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60" s="7">
        <f t="shared" si="5"/>
        <v>2</v>
      </c>
      <c r="Y160" s="5">
        <v>1.87</v>
      </c>
      <c r="Z160" s="5">
        <v>7.34</v>
      </c>
      <c r="AA160" s="5">
        <v>2</v>
      </c>
      <c r="AB160" s="5">
        <v>20.9</v>
      </c>
      <c r="AC160" s="5">
        <v>257</v>
      </c>
      <c r="AD160" s="5">
        <v>6.8</v>
      </c>
      <c r="AE160" s="5">
        <v>82</v>
      </c>
      <c r="AF160" s="5">
        <v>0.1</v>
      </c>
      <c r="AG160" s="5">
        <v>68</v>
      </c>
      <c r="AH160" s="5">
        <v>0</v>
      </c>
      <c r="AI160" s="5">
        <f t="shared" si="4"/>
        <v>0</v>
      </c>
    </row>
    <row r="161" spans="1:52" x14ac:dyDescent="0.25">
      <c r="A161" s="5" t="s">
        <v>52</v>
      </c>
      <c r="B161" s="5" t="s">
        <v>74</v>
      </c>
      <c r="C161" s="5" t="s">
        <v>74</v>
      </c>
      <c r="F161" s="5" t="s">
        <v>55</v>
      </c>
      <c r="G161" s="5" t="s">
        <v>61</v>
      </c>
      <c r="H161" s="5" t="s">
        <v>57</v>
      </c>
      <c r="I161" s="5">
        <v>465</v>
      </c>
      <c r="J161" s="5" t="str">
        <f>IFERROR(VLOOKUP(I161,[1]INFO_LOCALES!$B:$C,2,FALSE),"")</f>
        <v>PUERTO NATALES</v>
      </c>
      <c r="K161" s="5" t="str">
        <f>IFERROR(VLOOKUP(Tabla2[[#This Row],[TIENDA]],[1]INFO_LOCALES!$B:$D,3,FALSE),"")</f>
        <v>XII - Magallanes</v>
      </c>
      <c r="L161" s="5" t="str">
        <f>IFERROR(VLOOKUP(I161,[1]INFO_LOCALES!$B:$I,8,FALSE),"")</f>
        <v>Puerto Natales</v>
      </c>
      <c r="M161" s="5" t="str">
        <f>IFERROR(VLOOKUP(I161,[1]INFO_LOCALES!$B:$H,7,FALSE),"")</f>
        <v>Bulnes 742</v>
      </c>
      <c r="N161" s="5">
        <f>IFERROR(VLOOKUP(I161,[1]INFO_LOCALES!$B:$E,4,FALSE),"")</f>
        <v>1133</v>
      </c>
      <c r="O161" s="5" t="str">
        <f>VLOOKUP(Tabla2[[#This Row],[TIENDA]],[1]INFO_LOCALES!$B:$J,9,0)</f>
        <v>SIN CONVENIO</v>
      </c>
      <c r="P161" s="5" t="str">
        <f>IFERROR(VLOOKUP(I161,[1]INFO_LOCALES!$B:$F,5,FALSE),"")</f>
        <v>AGUAS MAGALLANES S.A.</v>
      </c>
      <c r="Q161" s="5" t="s">
        <v>163</v>
      </c>
      <c r="R161" s="5" t="s">
        <v>86</v>
      </c>
      <c r="S161" s="6" t="s">
        <v>87</v>
      </c>
      <c r="T161" s="5" t="s">
        <v>153</v>
      </c>
      <c r="U161" s="6">
        <v>45402</v>
      </c>
      <c r="V161" s="5" t="s">
        <v>135</v>
      </c>
      <c r="W1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" s="7">
        <f t="shared" si="5"/>
        <v>1</v>
      </c>
      <c r="AH161" s="5">
        <v>38.69</v>
      </c>
      <c r="AI161" s="5">
        <f t="shared" ref="AI161:AI224" si="6">AH161*30</f>
        <v>1160.6999999999998</v>
      </c>
    </row>
    <row r="162" spans="1:52" x14ac:dyDescent="0.25">
      <c r="A162" s="5" t="s">
        <v>52</v>
      </c>
      <c r="B162" s="5" t="s">
        <v>128</v>
      </c>
      <c r="C162" s="5" t="s">
        <v>77</v>
      </c>
      <c r="D162" s="5">
        <v>2024</v>
      </c>
      <c r="F162" s="5" t="s">
        <v>55</v>
      </c>
      <c r="G162" s="5" t="s">
        <v>65</v>
      </c>
      <c r="H162" s="5" t="s">
        <v>57</v>
      </c>
      <c r="I162" s="5">
        <v>6</v>
      </c>
      <c r="J162" s="5" t="str">
        <f>IFERROR(VLOOKUP(I162,[1]INFO_LOCALES!$B:$C,2,FALSE),"")</f>
        <v>SINDEMPART</v>
      </c>
      <c r="K162" s="5" t="str">
        <f>IFERROR(VLOOKUP(Tabla2[[#This Row],[TIENDA]],[1]INFO_LOCALES!$B:$D,3,FALSE),"")</f>
        <v>IV - Coquimbo</v>
      </c>
      <c r="L162" s="5" t="str">
        <f>IFERROR(VLOOKUP(I162,[1]INFO_LOCALES!$B:$I,8,FALSE),"")</f>
        <v>Coquimbo</v>
      </c>
      <c r="M162" s="5" t="str">
        <f>IFERROR(VLOOKUP(I162,[1]INFO_LOCALES!$B:$H,7,FALSE),"")</f>
        <v>El Sauce 981</v>
      </c>
      <c r="N162" s="5">
        <f>IFERROR(VLOOKUP(I162,[1]INFO_LOCALES!$B:$E,4,FALSE),"")</f>
        <v>0</v>
      </c>
      <c r="O162" s="5" t="str">
        <f>VLOOKUP(Tabla2[[#This Row],[TIENDA]],[1]INFO_LOCALES!$B:$J,9,0)</f>
        <v>SIN CONVENIO</v>
      </c>
      <c r="P162" s="5" t="str">
        <f>IFERROR(VLOOKUP(I162,[1]INFO_LOCALES!$B:$F,5,FALSE),"")</f>
        <v>AGUAS DEL VALLE S A</v>
      </c>
      <c r="Q162" s="5" t="s">
        <v>66</v>
      </c>
      <c r="R162" s="5" t="s">
        <v>58</v>
      </c>
      <c r="S162" s="6">
        <v>45404</v>
      </c>
      <c r="T162" s="5" t="s">
        <v>119</v>
      </c>
      <c r="U162" s="6">
        <v>45404</v>
      </c>
      <c r="V162" s="5" t="s">
        <v>59</v>
      </c>
      <c r="W1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62" s="7">
        <f t="shared" si="5"/>
        <v>2</v>
      </c>
      <c r="Y162" s="5">
        <v>8</v>
      </c>
      <c r="Z162" s="5">
        <v>7.19</v>
      </c>
      <c r="AA162" s="5">
        <v>1</v>
      </c>
      <c r="AB162" s="5">
        <v>21.67</v>
      </c>
      <c r="AC162" s="5">
        <v>476</v>
      </c>
      <c r="AD162" s="5">
        <v>16.899999999999999</v>
      </c>
      <c r="AE162" s="5">
        <v>15.65</v>
      </c>
      <c r="AF162" s="5">
        <v>1.4</v>
      </c>
      <c r="AG162" s="5">
        <v>133.96</v>
      </c>
      <c r="AH162" s="5">
        <v>21.69</v>
      </c>
      <c r="AI162" s="5">
        <f t="shared" si="6"/>
        <v>650.70000000000005</v>
      </c>
    </row>
    <row r="163" spans="1:52" x14ac:dyDescent="0.25">
      <c r="A163" s="5" t="s">
        <v>52</v>
      </c>
      <c r="B163" s="5" t="e">
        <v>#N/A</v>
      </c>
      <c r="C163" s="5" t="e">
        <v>#N/A</v>
      </c>
      <c r="F163" s="5" t="s">
        <v>55</v>
      </c>
      <c r="G163" s="5" t="s">
        <v>61</v>
      </c>
      <c r="H163" s="5" t="s">
        <v>57</v>
      </c>
      <c r="I163" s="5">
        <v>9139</v>
      </c>
      <c r="J163" s="5" t="str">
        <f>IFERROR(VLOOKUP(I163,[1]INFO_LOCALES!$B:$C,2,FALSE),"")</f>
        <v>CD LO AGUIRRE</v>
      </c>
      <c r="K163" s="5" t="str">
        <f>IFERROR(VLOOKUP(Tabla2[[#This Row],[TIENDA]],[1]INFO_LOCALES!$B:$D,3,FALSE),"")</f>
        <v>RM - Santiago</v>
      </c>
      <c r="L163" s="5" t="str">
        <f>IFERROR(VLOOKUP(I163,[1]INFO_LOCALES!$B:$I,8,FALSE),"")</f>
        <v>Pudahuel</v>
      </c>
      <c r="M163" s="5" t="str">
        <f>IFERROR(VLOOKUP(I163,[1]INFO_LOCALES!$B:$H,7,FALSE),"")</f>
        <v>CAMINO LO AGUIRRE SUR 537</v>
      </c>
      <c r="N163" s="5">
        <f>IFERROR(VLOOKUP(I163,[1]INFO_LOCALES!$B:$E,4,FALSE),"")</f>
        <v>3552</v>
      </c>
      <c r="O163" s="5" t="str">
        <f>VLOOKUP(Tabla2[[#This Row],[TIENDA]],[1]INFO_LOCALES!$B:$J,9,0)</f>
        <v>SIN CONVENIO</v>
      </c>
      <c r="P163" s="5" t="str">
        <f>IFERROR(VLOOKUP(I163,[1]INFO_LOCALES!$B:$F,5,FALSE),"")</f>
        <v>AGUAS IZARRA</v>
      </c>
      <c r="Q163" s="5" t="s">
        <v>85</v>
      </c>
      <c r="R163" s="5" t="s">
        <v>86</v>
      </c>
      <c r="S163" s="6" t="s">
        <v>87</v>
      </c>
      <c r="T163" s="5" t="s">
        <v>153</v>
      </c>
      <c r="U163" s="6">
        <v>45404</v>
      </c>
      <c r="V163" s="5" t="s">
        <v>59</v>
      </c>
      <c r="W1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" s="7">
        <f t="shared" si="5"/>
        <v>1</v>
      </c>
      <c r="Y163" s="5">
        <v>18.7</v>
      </c>
      <c r="Z163" s="5">
        <v>7.84</v>
      </c>
      <c r="AA163" s="5">
        <v>3</v>
      </c>
      <c r="AB163" s="5">
        <v>20.2</v>
      </c>
      <c r="AC163" s="5">
        <v>147</v>
      </c>
      <c r="AD163" s="5">
        <v>4.8</v>
      </c>
      <c r="AE163" s="5">
        <v>23.6</v>
      </c>
      <c r="AF163" s="5">
        <v>3</v>
      </c>
      <c r="AG163" s="5">
        <v>27</v>
      </c>
      <c r="AH163" s="5">
        <v>286.60000000000002</v>
      </c>
      <c r="AI163" s="5">
        <f t="shared" si="6"/>
        <v>8598</v>
      </c>
      <c r="AS163" s="5">
        <v>10</v>
      </c>
    </row>
    <row r="164" spans="1:52" x14ac:dyDescent="0.25">
      <c r="A164" s="5" t="s">
        <v>52</v>
      </c>
      <c r="B164" s="5" t="s">
        <v>164</v>
      </c>
      <c r="C164" s="5" t="s">
        <v>54</v>
      </c>
      <c r="F164" s="5" t="s">
        <v>55</v>
      </c>
      <c r="G164" s="5" t="s">
        <v>65</v>
      </c>
      <c r="H164" s="5" t="s">
        <v>57</v>
      </c>
      <c r="I164" s="5">
        <v>88</v>
      </c>
      <c r="J164" s="5" t="str">
        <f>IFERROR(VLOOKUP(I164,[1]INFO_LOCALES!$B:$C,2,FALSE),"")</f>
        <v>LINARES I</v>
      </c>
      <c r="K164" s="5" t="str">
        <f>IFERROR(VLOOKUP(Tabla2[[#This Row],[TIENDA]],[1]INFO_LOCALES!$B:$D,3,FALSE),"")</f>
        <v>VII - Maule</v>
      </c>
      <c r="L164" s="5" t="str">
        <f>IFERROR(VLOOKUP(I164,[1]INFO_LOCALES!$B:$I,8,FALSE),"")</f>
        <v>Linares</v>
      </c>
      <c r="M164" s="5" t="str">
        <f>IFERROR(VLOOKUP(I164,[1]INFO_LOCALES!$B:$H,7,FALSE),"")</f>
        <v>Maipu Nº 556</v>
      </c>
      <c r="N164" s="5">
        <f>IFERROR(VLOOKUP(I164,[1]INFO_LOCALES!$B:$E,4,FALSE),"")</f>
        <v>0</v>
      </c>
      <c r="O164" s="5" t="str">
        <f>VLOOKUP(Tabla2[[#This Row],[TIENDA]],[1]INFO_LOCALES!$B:$J,9,0)</f>
        <v>SIN CONVENIO</v>
      </c>
      <c r="P164" s="5" t="str">
        <f>IFERROR(VLOOKUP(I164,[1]INFO_LOCALES!$B:$F,5,FALSE),"")</f>
        <v>NUEVOSUR S.A.</v>
      </c>
      <c r="Q164" s="5" t="s">
        <v>66</v>
      </c>
      <c r="R164" s="5" t="s">
        <v>58</v>
      </c>
      <c r="S164" s="6">
        <v>45456</v>
      </c>
      <c r="T164" s="5" t="s">
        <v>153</v>
      </c>
      <c r="U164" s="6">
        <v>45404</v>
      </c>
      <c r="V164" s="5" t="s">
        <v>59</v>
      </c>
      <c r="W1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64" s="7">
        <f t="shared" si="5"/>
        <v>2</v>
      </c>
      <c r="Y164" s="5">
        <v>6</v>
      </c>
      <c r="Z164" s="5">
        <v>7.08</v>
      </c>
      <c r="AA164" s="5">
        <v>2</v>
      </c>
      <c r="AB164" s="5">
        <v>13.25</v>
      </c>
      <c r="AC164" s="5">
        <v>274.3</v>
      </c>
      <c r="AD164" s="5">
        <v>10.67</v>
      </c>
      <c r="AE164" s="5">
        <v>7.9</v>
      </c>
      <c r="AF164" s="5">
        <v>3</v>
      </c>
      <c r="AG164" s="5">
        <v>352</v>
      </c>
      <c r="AH164" s="5">
        <v>4.3600000000000003</v>
      </c>
      <c r="AI164" s="5">
        <f t="shared" si="6"/>
        <v>130.80000000000001</v>
      </c>
      <c r="AZ164" s="8" t="s">
        <v>165</v>
      </c>
    </row>
    <row r="165" spans="1:52" x14ac:dyDescent="0.25">
      <c r="A165" s="5" t="s">
        <v>52</v>
      </c>
      <c r="B165" s="5" t="s">
        <v>76</v>
      </c>
      <c r="C165" s="5" t="s">
        <v>77</v>
      </c>
      <c r="F165" s="5" t="s">
        <v>55</v>
      </c>
      <c r="G165" s="5" t="s">
        <v>61</v>
      </c>
      <c r="H165" s="5" t="s">
        <v>57</v>
      </c>
      <c r="I165" s="5">
        <v>103</v>
      </c>
      <c r="J165" s="5" t="str">
        <f>IFERROR(VLOOKUP(I165,[1]INFO_LOCALES!$B:$C,2,FALSE),"")</f>
        <v>VIVAR</v>
      </c>
      <c r="K165" s="5" t="str">
        <f>IFERROR(VLOOKUP(Tabla2[[#This Row],[TIENDA]],[1]INFO_LOCALES!$B:$D,3,FALSE),"")</f>
        <v>I - Tarapacá</v>
      </c>
      <c r="L165" s="5" t="str">
        <f>IFERROR(VLOOKUP(I165,[1]INFO_LOCALES!$B:$I,8,FALSE),"")</f>
        <v>Iquique</v>
      </c>
      <c r="M165" s="5" t="str">
        <f>IFERROR(VLOOKUP(I165,[1]INFO_LOCALES!$B:$H,7,FALSE),"")</f>
        <v>Vivar 786</v>
      </c>
      <c r="N165" s="5">
        <f>IFERROR(VLOOKUP(I165,[1]INFO_LOCALES!$B:$E,4,FALSE),"")</f>
        <v>4420</v>
      </c>
      <c r="O165" s="5" t="str">
        <f>VLOOKUP(Tabla2[[#This Row],[TIENDA]],[1]INFO_LOCALES!$B:$J,9,0)</f>
        <v>CONVENIO</v>
      </c>
      <c r="P165" s="5" t="str">
        <f>IFERROR(VLOOKUP(I165,[1]INFO_LOCALES!$B:$F,5,FALSE),"")</f>
        <v>AGUAS DEL ALTIPLANO S.A.</v>
      </c>
      <c r="Q165" s="5" t="s">
        <v>85</v>
      </c>
      <c r="R165" s="5" t="s">
        <v>86</v>
      </c>
      <c r="S165" s="6" t="s">
        <v>87</v>
      </c>
      <c r="T165" s="5" t="s">
        <v>153</v>
      </c>
      <c r="U165" s="6">
        <v>45406</v>
      </c>
      <c r="V165" s="5" t="s">
        <v>59</v>
      </c>
      <c r="W1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" s="7">
        <f t="shared" si="5"/>
        <v>1</v>
      </c>
      <c r="Y165" s="5">
        <v>72</v>
      </c>
      <c r="Z165" s="5">
        <v>6.74</v>
      </c>
      <c r="AA165" s="5">
        <v>2</v>
      </c>
      <c r="AB165" s="5">
        <v>19.399999999999999</v>
      </c>
      <c r="AC165" s="5">
        <v>10</v>
      </c>
      <c r="AD165" s="5">
        <v>2.7</v>
      </c>
      <c r="AE165" s="5">
        <v>17.670000000000002</v>
      </c>
      <c r="AF165" s="5">
        <v>0.5</v>
      </c>
      <c r="AG165" s="5">
        <v>25</v>
      </c>
      <c r="AH165" s="5">
        <v>0.7</v>
      </c>
      <c r="AI165" s="5">
        <f t="shared" si="6"/>
        <v>21</v>
      </c>
    </row>
    <row r="166" spans="1:52" x14ac:dyDescent="0.25">
      <c r="A166" s="5" t="s">
        <v>52</v>
      </c>
      <c r="B166" s="5" t="s">
        <v>74</v>
      </c>
      <c r="C166" s="5" t="s">
        <v>74</v>
      </c>
      <c r="F166" s="5" t="s">
        <v>55</v>
      </c>
      <c r="G166" s="5" t="s">
        <v>61</v>
      </c>
      <c r="H166" s="5" t="s">
        <v>57</v>
      </c>
      <c r="I166" s="5">
        <v>458</v>
      </c>
      <c r="J166" s="5" t="str">
        <f>IFERROR(VLOOKUP(I166,[1]INFO_LOCALES!$B:$C,2,FALSE),"")</f>
        <v>ESPAÑA AUSTRAL</v>
      </c>
      <c r="K166" s="5" t="str">
        <f>IFERROR(VLOOKUP(Tabla2[[#This Row],[TIENDA]],[1]INFO_LOCALES!$B:$D,3,FALSE),"")</f>
        <v>XII - Magallanes</v>
      </c>
      <c r="L166" s="5" t="str">
        <f>IFERROR(VLOOKUP(I166,[1]INFO_LOCALES!$B:$I,8,FALSE),"")</f>
        <v>Punta Arenas</v>
      </c>
      <c r="M166" s="5" t="str">
        <f>IFERROR(VLOOKUP(I166,[1]INFO_LOCALES!$B:$H,7,FALSE),"")</f>
        <v>Av. España 01375</v>
      </c>
      <c r="N166" s="5">
        <f>IFERROR(VLOOKUP(I166,[1]INFO_LOCALES!$B:$E,4,FALSE),"")</f>
        <v>1306</v>
      </c>
      <c r="O166" s="5" t="str">
        <f>VLOOKUP(Tabla2[[#This Row],[TIENDA]],[1]INFO_LOCALES!$B:$J,9,0)</f>
        <v>SIN CONVENIO</v>
      </c>
      <c r="P166" s="5" t="str">
        <f>IFERROR(VLOOKUP(I166,[1]INFO_LOCALES!$B:$F,5,FALSE),"")</f>
        <v>AGUAS MAGALLANES S.A.</v>
      </c>
      <c r="Q166" s="5" t="s">
        <v>71</v>
      </c>
      <c r="R166" s="5" t="s">
        <v>58</v>
      </c>
      <c r="S166" s="6">
        <v>45533</v>
      </c>
      <c r="T166" s="5" t="s">
        <v>153</v>
      </c>
      <c r="U166" s="6">
        <v>45406</v>
      </c>
      <c r="V166" s="5" t="s">
        <v>59</v>
      </c>
      <c r="W1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" s="7">
        <f t="shared" si="5"/>
        <v>1</v>
      </c>
      <c r="Y166" s="5">
        <v>4.33</v>
      </c>
      <c r="Z166" s="5">
        <v>7.07</v>
      </c>
      <c r="AA166" s="5">
        <v>2</v>
      </c>
      <c r="AB166" s="5">
        <v>20.7</v>
      </c>
      <c r="AC166" s="5">
        <v>264</v>
      </c>
      <c r="AD166" s="5">
        <v>9.4</v>
      </c>
      <c r="AE166" s="5">
        <v>14.3</v>
      </c>
      <c r="AF166" s="5">
        <v>1.1000000000000001</v>
      </c>
      <c r="AG166" s="5">
        <v>152</v>
      </c>
      <c r="AH166" s="5">
        <v>0</v>
      </c>
      <c r="AI166" s="5">
        <f t="shared" si="6"/>
        <v>0</v>
      </c>
    </row>
    <row r="167" spans="1:52" x14ac:dyDescent="0.25">
      <c r="A167" s="5" t="s">
        <v>60</v>
      </c>
      <c r="B167" s="5" t="e">
        <v>#N/A</v>
      </c>
      <c r="C167" s="5" t="e">
        <v>#N/A</v>
      </c>
      <c r="F167" s="5" t="s">
        <v>55</v>
      </c>
      <c r="G167" s="5" t="s">
        <v>61</v>
      </c>
      <c r="H167" s="5" t="s">
        <v>57</v>
      </c>
      <c r="I167" s="5">
        <v>3014</v>
      </c>
      <c r="J167" s="5" t="str">
        <f>IFERROR(VLOOKUP(I167,[1]INFO_LOCALES!$B:$C,2,FALSE),"")</f>
        <v>M10 SAN FERNANDO</v>
      </c>
      <c r="K167" s="5" t="str">
        <f>IFERROR(VLOOKUP(Tabla2[[#This Row],[TIENDA]],[1]INFO_LOCALES!$B:$D,3,FALSE),"")</f>
        <v>VI - O'Higgins</v>
      </c>
      <c r="L167" s="5" t="str">
        <f>IFERROR(VLOOKUP(I167,[1]INFO_LOCALES!$B:$I,8,FALSE),"")</f>
        <v>San Fernando</v>
      </c>
      <c r="M167" s="5" t="str">
        <f>IFERROR(VLOOKUP(I167,[1]INFO_LOCALES!$B:$H,7,FALSE),"")</f>
        <v>Chillan 745</v>
      </c>
      <c r="N167" s="5">
        <f>IFERROR(VLOOKUP(I167,[1]INFO_LOCALES!$B:$E,4,FALSE),"")</f>
        <v>1298</v>
      </c>
      <c r="O167" s="5" t="str">
        <f>VLOOKUP(Tabla2[[#This Row],[TIENDA]],[1]INFO_LOCALES!$B:$J,9,0)</f>
        <v>TERMINADO</v>
      </c>
      <c r="P167" s="5" t="str">
        <f>IFERROR(VLOOKUP(I167,[1]INFO_LOCALES!$B:$F,5,FALSE),"")</f>
        <v>ESSBIO S.A.</v>
      </c>
      <c r="Q167" s="5" t="s">
        <v>85</v>
      </c>
      <c r="R167" s="5" t="s">
        <v>86</v>
      </c>
      <c r="S167" s="6" t="s">
        <v>87</v>
      </c>
      <c r="T167" s="5" t="s">
        <v>153</v>
      </c>
      <c r="U167" s="6">
        <v>45407</v>
      </c>
      <c r="V167" s="5" t="s">
        <v>59</v>
      </c>
      <c r="W1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" s="7">
        <f t="shared" si="5"/>
        <v>1</v>
      </c>
      <c r="Y167" s="5">
        <v>7.7</v>
      </c>
      <c r="Z167" s="5">
        <v>7.2</v>
      </c>
      <c r="AA167" s="5">
        <v>6</v>
      </c>
      <c r="AB167" s="5">
        <v>21.83</v>
      </c>
      <c r="AC167" s="5">
        <v>127</v>
      </c>
      <c r="AD167" s="5">
        <v>10.6</v>
      </c>
      <c r="AE167" s="5">
        <v>16.57</v>
      </c>
      <c r="AF167" s="5">
        <v>1.5</v>
      </c>
      <c r="AG167" s="5">
        <v>42</v>
      </c>
      <c r="AH167" s="5">
        <v>5.8</v>
      </c>
      <c r="AI167" s="5">
        <f t="shared" si="6"/>
        <v>174</v>
      </c>
    </row>
    <row r="168" spans="1:52" x14ac:dyDescent="0.25">
      <c r="A168" s="5" t="s">
        <v>52</v>
      </c>
      <c r="B168" s="5" t="s">
        <v>90</v>
      </c>
      <c r="C168" s="5" t="s">
        <v>81</v>
      </c>
      <c r="F168" s="5" t="s">
        <v>55</v>
      </c>
      <c r="G168" s="5" t="s">
        <v>61</v>
      </c>
      <c r="H168" s="5" t="s">
        <v>57</v>
      </c>
      <c r="I168" s="5">
        <v>778</v>
      </c>
      <c r="J168" s="5" t="str">
        <f>IFERROR(VLOOKUP(I168,[1]INFO_LOCALES!$B:$C,2,FALSE),"")</f>
        <v>ORIENTE</v>
      </c>
      <c r="K168" s="5" t="str">
        <f>IFERROR(VLOOKUP(Tabla2[[#This Row],[TIENDA]],[1]INFO_LOCALES!$B:$D,3,FALSE),"")</f>
        <v>X - Los Lagos</v>
      </c>
      <c r="L168" s="5" t="str">
        <f>IFERROR(VLOOKUP(I168,[1]INFO_LOCALES!$B:$I,8,FALSE),"")</f>
        <v>Osorno</v>
      </c>
      <c r="M168" s="5" t="str">
        <f>IFERROR(VLOOKUP(I168,[1]INFO_LOCALES!$B:$H,7,FALSE),"")</f>
        <v>Julio Buschman 2223</v>
      </c>
      <c r="N168" s="5">
        <f>IFERROR(VLOOKUP(I168,[1]INFO_LOCALES!$B:$E,4,FALSE),"")</f>
        <v>2867</v>
      </c>
      <c r="O168" s="5" t="str">
        <f>VLOOKUP(Tabla2[[#This Row],[TIENDA]],[1]INFO_LOCALES!$B:$J,9,0)</f>
        <v>CONVENIO</v>
      </c>
      <c r="P168" s="5" t="str">
        <f>IFERROR(VLOOKUP(I168,[1]INFO_LOCALES!$B:$F,5,FALSE),"")</f>
        <v>SURALIS</v>
      </c>
      <c r="Q168" s="5" t="s">
        <v>105</v>
      </c>
      <c r="R168" s="5" t="s">
        <v>58</v>
      </c>
      <c r="S168" s="6">
        <v>45443</v>
      </c>
      <c r="T168" s="5" t="s">
        <v>153</v>
      </c>
      <c r="U168" s="6">
        <v>45407</v>
      </c>
      <c r="V168" s="5" t="s">
        <v>59</v>
      </c>
      <c r="W1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" s="7">
        <f t="shared" si="5"/>
        <v>1</v>
      </c>
      <c r="Y168" s="5">
        <v>14</v>
      </c>
      <c r="Z168" s="5">
        <v>7.04</v>
      </c>
      <c r="AA168" s="5">
        <v>2</v>
      </c>
      <c r="AB168" s="5">
        <v>13.6</v>
      </c>
      <c r="AC168" s="5">
        <v>22</v>
      </c>
      <c r="AD168" s="5">
        <v>0.8</v>
      </c>
      <c r="AE168" s="5">
        <v>3.48</v>
      </c>
      <c r="AF168" s="5">
        <v>0.5</v>
      </c>
      <c r="AG168" s="5">
        <v>28</v>
      </c>
      <c r="AH168" s="5">
        <v>11.3</v>
      </c>
      <c r="AI168" s="5">
        <f t="shared" si="6"/>
        <v>339</v>
      </c>
      <c r="AZ168" s="8" t="s">
        <v>166</v>
      </c>
    </row>
    <row r="169" spans="1:52" x14ac:dyDescent="0.25">
      <c r="A169" s="5" t="s">
        <v>52</v>
      </c>
      <c r="B169" s="5" t="s">
        <v>74</v>
      </c>
      <c r="C169" s="5" t="s">
        <v>74</v>
      </c>
      <c r="F169" s="5" t="s">
        <v>55</v>
      </c>
      <c r="G169" s="5" t="s">
        <v>61</v>
      </c>
      <c r="H169" s="5" t="s">
        <v>57</v>
      </c>
      <c r="I169" s="5">
        <v>461</v>
      </c>
      <c r="J169" s="5" t="str">
        <f>IFERROR(VLOOKUP(I169,[1]INFO_LOCALES!$B:$C,2,FALSE),"")</f>
        <v>ZENTENO AUSTRAL</v>
      </c>
      <c r="K169" s="5" t="str">
        <f>IFERROR(VLOOKUP(Tabla2[[#This Row],[TIENDA]],[1]INFO_LOCALES!$B:$D,3,FALSE),"")</f>
        <v>XII - Magallanes</v>
      </c>
      <c r="L169" s="5" t="str">
        <f>IFERROR(VLOOKUP(I169,[1]INFO_LOCALES!$B:$I,8,FALSE),"")</f>
        <v>Punta Arenas</v>
      </c>
      <c r="M169" s="5" t="str">
        <f>IFERROR(VLOOKUP(I169,[1]INFO_LOCALES!$B:$H,7,FALSE),"")</f>
        <v>Capitan Guillermo 05</v>
      </c>
      <c r="N169" s="5">
        <f>IFERROR(VLOOKUP(I169,[1]INFO_LOCALES!$B:$E,4,FALSE),"")</f>
        <v>3736</v>
      </c>
      <c r="O169" s="5" t="str">
        <f>VLOOKUP(Tabla2[[#This Row],[TIENDA]],[1]INFO_LOCALES!$B:$J,9,0)</f>
        <v>SIN CONVENIO</v>
      </c>
      <c r="P169" s="5" t="str">
        <f>IFERROR(VLOOKUP(I169,[1]INFO_LOCALES!$B:$F,5,FALSE),"")</f>
        <v>AGUAS MAGALLANES S.A.</v>
      </c>
      <c r="Q169" s="5" t="s">
        <v>71</v>
      </c>
      <c r="R169" s="5" t="s">
        <v>58</v>
      </c>
      <c r="S169" s="6">
        <v>45533</v>
      </c>
      <c r="T169" s="5" t="s">
        <v>153</v>
      </c>
      <c r="U169" s="6">
        <v>45408</v>
      </c>
      <c r="V169" s="5" t="s">
        <v>59</v>
      </c>
      <c r="W1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69" s="7">
        <f t="shared" si="5"/>
        <v>2</v>
      </c>
      <c r="Y169" s="5">
        <v>8.8699999999999992</v>
      </c>
      <c r="Z169" s="5">
        <v>6.99</v>
      </c>
      <c r="AA169" s="5">
        <v>2</v>
      </c>
      <c r="AB169" s="5">
        <v>22</v>
      </c>
      <c r="AC169" s="5">
        <v>301</v>
      </c>
      <c r="AD169" s="5">
        <v>7.2</v>
      </c>
      <c r="AE169" s="5">
        <v>6.76</v>
      </c>
      <c r="AF169" s="5">
        <v>6.7</v>
      </c>
      <c r="AG169" s="5">
        <v>136</v>
      </c>
      <c r="AH169" s="5">
        <v>0</v>
      </c>
      <c r="AI169" s="5">
        <f t="shared" si="6"/>
        <v>0</v>
      </c>
    </row>
    <row r="170" spans="1:52" x14ac:dyDescent="0.25">
      <c r="A170" s="5" t="s">
        <v>52</v>
      </c>
      <c r="B170" s="5" t="s">
        <v>76</v>
      </c>
      <c r="C170" s="5" t="s">
        <v>77</v>
      </c>
      <c r="F170" s="5" t="s">
        <v>55</v>
      </c>
      <c r="G170" s="5" t="s">
        <v>61</v>
      </c>
      <c r="H170" s="5" t="s">
        <v>57</v>
      </c>
      <c r="I170" s="5">
        <v>106</v>
      </c>
      <c r="J170" s="5" t="str">
        <f>IFERROR(VLOOKUP(I170,[1]INFO_LOCALES!$B:$C,2,FALSE),"")</f>
        <v>LOS MOLLES</v>
      </c>
      <c r="K170" s="5" t="str">
        <f>IFERROR(VLOOKUP(Tabla2[[#This Row],[TIENDA]],[1]INFO_LOCALES!$B:$D,3,FALSE),"")</f>
        <v>I - Tarapacá</v>
      </c>
      <c r="L170" s="5" t="str">
        <f>IFERROR(VLOOKUP(I170,[1]INFO_LOCALES!$B:$I,8,FALSE),"")</f>
        <v>Iquique</v>
      </c>
      <c r="M170" s="5" t="str">
        <f>IFERROR(VLOOKUP(I170,[1]INFO_LOCALES!$B:$H,7,FALSE),"")</f>
        <v>Santiago Polanco 2251</v>
      </c>
      <c r="N170" s="5">
        <f>IFERROR(VLOOKUP(I170,[1]INFO_LOCALES!$B:$E,4,FALSE),"")</f>
        <v>4050</v>
      </c>
      <c r="O170" s="5" t="str">
        <f>VLOOKUP(Tabla2[[#This Row],[TIENDA]],[1]INFO_LOCALES!$B:$J,9,0)</f>
        <v>CONVENIO</v>
      </c>
      <c r="P170" s="5" t="str">
        <f>IFERROR(VLOOKUP(I170,[1]INFO_LOCALES!$B:$F,5,FALSE),"")</f>
        <v>AGUAS DEL ALTIPLANO S.A.</v>
      </c>
      <c r="Q170" s="5" t="s">
        <v>78</v>
      </c>
      <c r="R170" s="5" t="s">
        <v>58</v>
      </c>
      <c r="S170" s="6">
        <v>45503</v>
      </c>
      <c r="T170" s="5" t="s">
        <v>167</v>
      </c>
      <c r="U170" s="6">
        <v>45414</v>
      </c>
      <c r="V170" s="5" t="s">
        <v>59</v>
      </c>
      <c r="W1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70" s="7">
        <f t="shared" si="5"/>
        <v>2</v>
      </c>
      <c r="Y170" s="5">
        <v>13</v>
      </c>
      <c r="Z170" s="5">
        <v>6.67</v>
      </c>
      <c r="AA170" s="5">
        <v>2</v>
      </c>
      <c r="AB170" s="5">
        <v>23.75</v>
      </c>
      <c r="AC170" s="5">
        <v>581</v>
      </c>
      <c r="AD170" s="5">
        <v>6.1</v>
      </c>
      <c r="AE170" s="5">
        <v>10.14</v>
      </c>
      <c r="AF170" s="5">
        <v>1</v>
      </c>
      <c r="AG170" s="5">
        <v>118</v>
      </c>
      <c r="AH170" s="5">
        <v>1.9</v>
      </c>
      <c r="AI170" s="5">
        <f t="shared" si="6"/>
        <v>57</v>
      </c>
    </row>
    <row r="171" spans="1:52" x14ac:dyDescent="0.25">
      <c r="A171" s="5" t="s">
        <v>52</v>
      </c>
      <c r="B171" s="5" t="s">
        <v>76</v>
      </c>
      <c r="C171" s="5" t="s">
        <v>77</v>
      </c>
      <c r="F171" s="5" t="s">
        <v>55</v>
      </c>
      <c r="G171" s="5" t="s">
        <v>56</v>
      </c>
      <c r="H171" s="5" t="s">
        <v>57</v>
      </c>
      <c r="I171" s="5">
        <v>86</v>
      </c>
      <c r="J171" s="5" t="str">
        <f>IFERROR(VLOOKUP(I171,[1]INFO_LOCALES!$B:$C,2,FALSE),"")</f>
        <v>BILBAO</v>
      </c>
      <c r="K171" s="5" t="str">
        <f>IFERROR(VLOOKUP(Tabla2[[#This Row],[TIENDA]],[1]INFO_LOCALES!$B:$D,3,FALSE),"")</f>
        <v>I - Tarapacá</v>
      </c>
      <c r="L171" s="5" t="str">
        <f>IFERROR(VLOOKUP(I171,[1]INFO_LOCALES!$B:$I,8,FALSE),"")</f>
        <v>Iquique</v>
      </c>
      <c r="M171" s="5" t="str">
        <f>IFERROR(VLOOKUP(I171,[1]INFO_LOCALES!$B:$H,7,FALSE),"")</f>
        <v>Fco.Bilbao 3545</v>
      </c>
      <c r="N171" s="5">
        <f>IFERROR(VLOOKUP(I171,[1]INFO_LOCALES!$B:$E,4,FALSE),"")</f>
        <v>4049</v>
      </c>
      <c r="O171" s="5" t="str">
        <f>VLOOKUP(Tabla2[[#This Row],[TIENDA]],[1]INFO_LOCALES!$B:$J,9,0)</f>
        <v>CONVENIO</v>
      </c>
      <c r="P171" s="5" t="str">
        <f>IFERROR(VLOOKUP(I171,[1]INFO_LOCALES!$B:$F,5,FALSE),"")</f>
        <v>AGUAS DEL ALTIPLANO S.A.</v>
      </c>
      <c r="Q171" s="5" t="s">
        <v>78</v>
      </c>
      <c r="R171" s="5" t="s">
        <v>58</v>
      </c>
      <c r="S171" s="6">
        <v>45595</v>
      </c>
      <c r="T171" s="5" t="s">
        <v>167</v>
      </c>
      <c r="U171" s="6">
        <v>45414</v>
      </c>
      <c r="V171" s="5" t="s">
        <v>59</v>
      </c>
      <c r="W1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71" s="7">
        <f t="shared" si="5"/>
        <v>3</v>
      </c>
      <c r="Y171" s="5">
        <v>9</v>
      </c>
      <c r="Z171" s="5">
        <v>6.79</v>
      </c>
      <c r="AA171" s="5">
        <v>2</v>
      </c>
      <c r="AB171" s="5">
        <v>24.42</v>
      </c>
      <c r="AC171" s="5">
        <v>685</v>
      </c>
      <c r="AD171" s="5">
        <v>3.8</v>
      </c>
      <c r="AE171" s="5">
        <v>10.14</v>
      </c>
      <c r="AF171" s="5">
        <v>0.5</v>
      </c>
      <c r="AG171" s="5">
        <v>188</v>
      </c>
      <c r="AH171" s="5">
        <v>23.8</v>
      </c>
      <c r="AI171" s="5">
        <f t="shared" si="6"/>
        <v>714</v>
      </c>
      <c r="AZ171" s="8" t="s">
        <v>168</v>
      </c>
    </row>
    <row r="172" spans="1:52" x14ac:dyDescent="0.25">
      <c r="A172" s="5" t="s">
        <v>52</v>
      </c>
      <c r="B172" s="5" t="s">
        <v>90</v>
      </c>
      <c r="C172" s="5" t="s">
        <v>81</v>
      </c>
      <c r="F172" s="5" t="s">
        <v>55</v>
      </c>
      <c r="G172" s="5" t="s">
        <v>61</v>
      </c>
      <c r="H172" s="5" t="s">
        <v>57</v>
      </c>
      <c r="I172" s="5">
        <v>777</v>
      </c>
      <c r="J172" s="5" t="str">
        <f>IFERROR(VLOOKUP(I172,[1]INFO_LOCALES!$B:$C,2,FALSE),"")</f>
        <v>CENTRAL</v>
      </c>
      <c r="K172" s="5" t="str">
        <f>IFERROR(VLOOKUP(Tabla2[[#This Row],[TIENDA]],[1]INFO_LOCALES!$B:$D,3,FALSE),"")</f>
        <v>X - Los Lagos</v>
      </c>
      <c r="L172" s="5" t="str">
        <f>IFERROR(VLOOKUP(I172,[1]INFO_LOCALES!$B:$I,8,FALSE),"")</f>
        <v>Osorno</v>
      </c>
      <c r="M172" s="5" t="str">
        <f>IFERROR(VLOOKUP(I172,[1]INFO_LOCALES!$B:$H,7,FALSE),"")</f>
        <v>Patricio Lynch 1278</v>
      </c>
      <c r="N172" s="5">
        <f>IFERROR(VLOOKUP(I172,[1]INFO_LOCALES!$B:$E,4,FALSE),"")</f>
        <v>3684</v>
      </c>
      <c r="O172" s="5" t="str">
        <f>VLOOKUP(Tabla2[[#This Row],[TIENDA]],[1]INFO_LOCALES!$B:$J,9,0)</f>
        <v>CONVENIO</v>
      </c>
      <c r="P172" s="5" t="str">
        <f>IFERROR(VLOOKUP(I172,[1]INFO_LOCALES!$B:$F,5,FALSE),"")</f>
        <v>SURALIS</v>
      </c>
      <c r="Q172" s="5" t="s">
        <v>105</v>
      </c>
      <c r="R172" s="5" t="s">
        <v>58</v>
      </c>
      <c r="S172" s="6">
        <v>45471</v>
      </c>
      <c r="T172" s="5" t="s">
        <v>167</v>
      </c>
      <c r="U172" s="6">
        <v>45415</v>
      </c>
      <c r="V172" s="5" t="s">
        <v>59</v>
      </c>
      <c r="W1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2" s="7">
        <f t="shared" si="5"/>
        <v>1</v>
      </c>
      <c r="Y172" s="5">
        <v>14</v>
      </c>
      <c r="Z172" s="5">
        <v>7.42</v>
      </c>
      <c r="AA172" s="5">
        <v>3</v>
      </c>
      <c r="AB172" s="5">
        <v>14.4</v>
      </c>
      <c r="AC172" s="5">
        <v>300</v>
      </c>
      <c r="AD172" s="5">
        <v>12.2</v>
      </c>
      <c r="AE172" s="5">
        <v>7.69</v>
      </c>
      <c r="AF172" s="5">
        <v>0.5</v>
      </c>
      <c r="AG172" s="5">
        <v>123</v>
      </c>
      <c r="AH172" s="5">
        <v>3.5</v>
      </c>
      <c r="AI172" s="5">
        <f t="shared" si="6"/>
        <v>105</v>
      </c>
      <c r="AZ172" s="8" t="s">
        <v>169</v>
      </c>
    </row>
    <row r="173" spans="1:52" x14ac:dyDescent="0.25">
      <c r="A173" s="5" t="s">
        <v>60</v>
      </c>
      <c r="B173" s="5" t="e">
        <v>#N/A</v>
      </c>
      <c r="C173" s="5" t="e">
        <v>#N/A</v>
      </c>
      <c r="F173" s="5" t="s">
        <v>55</v>
      </c>
      <c r="G173" s="5" t="s">
        <v>65</v>
      </c>
      <c r="H173" s="5" t="s">
        <v>57</v>
      </c>
      <c r="I173" s="5">
        <v>3013</v>
      </c>
      <c r="J173" s="5" t="str">
        <f>IFERROR(VLOOKUP(I173,[1]INFO_LOCALES!$B:$C,2,FALSE),"")</f>
        <v>M10 SAN BERNARDO I</v>
      </c>
      <c r="K173" s="5" t="str">
        <f>IFERROR(VLOOKUP(Tabla2[[#This Row],[TIENDA]],[1]INFO_LOCALES!$B:$D,3,FALSE),"")</f>
        <v>RM - Santiago</v>
      </c>
      <c r="L173" s="5" t="str">
        <f>IFERROR(VLOOKUP(I173,[1]INFO_LOCALES!$B:$I,8,FALSE),"")</f>
        <v>San Bernardo</v>
      </c>
      <c r="M173" s="5" t="str">
        <f>IFERROR(VLOOKUP(I173,[1]INFO_LOCALES!$B:$H,7,FALSE),"")</f>
        <v>Av. Portales 2448</v>
      </c>
      <c r="N173" s="5">
        <f>IFERROR(VLOOKUP(I173,[1]INFO_LOCALES!$B:$E,4,FALSE),"")</f>
        <v>0</v>
      </c>
      <c r="O173" s="5" t="str">
        <f>VLOOKUP(Tabla2[[#This Row],[TIENDA]],[1]INFO_LOCALES!$B:$J,9,0)</f>
        <v>SIN CONVENIO</v>
      </c>
      <c r="P173" s="5" t="str">
        <f>IFERROR(VLOOKUP(I173,[1]INFO_LOCALES!$B:$F,5,FALSE),"")</f>
        <v>AGUAS ANDINAS S.A.</v>
      </c>
      <c r="Q173" s="5" t="s">
        <v>113</v>
      </c>
      <c r="R173" s="5" t="s">
        <v>58</v>
      </c>
      <c r="S173" s="6">
        <v>45481</v>
      </c>
      <c r="T173" s="5" t="s">
        <v>167</v>
      </c>
      <c r="U173" s="6">
        <v>45418</v>
      </c>
      <c r="V173" s="5" t="s">
        <v>59</v>
      </c>
      <c r="W1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3" s="7">
        <f t="shared" si="5"/>
        <v>1</v>
      </c>
      <c r="Y173" s="5">
        <v>14</v>
      </c>
      <c r="Z173" s="5">
        <v>7.97</v>
      </c>
      <c r="AA173" s="5">
        <v>0.8</v>
      </c>
      <c r="AB173" s="5">
        <v>32</v>
      </c>
      <c r="AC173" s="5">
        <v>27</v>
      </c>
      <c r="AD173" s="5">
        <v>1</v>
      </c>
      <c r="AE173" s="5">
        <v>1.99</v>
      </c>
      <c r="AF173" s="5">
        <v>0.3</v>
      </c>
      <c r="AG173" s="5">
        <v>126</v>
      </c>
      <c r="AH173" s="5">
        <v>14</v>
      </c>
      <c r="AI173" s="5">
        <f t="shared" si="6"/>
        <v>420</v>
      </c>
    </row>
    <row r="174" spans="1:52" x14ac:dyDescent="0.25">
      <c r="A174" s="5" t="s">
        <v>52</v>
      </c>
      <c r="B174" s="5" t="s">
        <v>76</v>
      </c>
      <c r="C174" s="5" t="s">
        <v>77</v>
      </c>
      <c r="F174" s="5" t="s">
        <v>55</v>
      </c>
      <c r="G174" s="5" t="s">
        <v>56</v>
      </c>
      <c r="H174" s="5" t="s">
        <v>57</v>
      </c>
      <c r="I174" s="5">
        <v>86</v>
      </c>
      <c r="J174" s="5" t="str">
        <f>IFERROR(VLOOKUP(I174,[1]INFO_LOCALES!$B:$C,2,FALSE),"")</f>
        <v>BILBAO</v>
      </c>
      <c r="K174" s="5" t="str">
        <f>IFERROR(VLOOKUP(Tabla2[[#This Row],[TIENDA]],[1]INFO_LOCALES!$B:$D,3,FALSE),"")</f>
        <v>I - Tarapacá</v>
      </c>
      <c r="L174" s="5" t="str">
        <f>IFERROR(VLOOKUP(I174,[1]INFO_LOCALES!$B:$I,8,FALSE),"")</f>
        <v>Iquique</v>
      </c>
      <c r="M174" s="5" t="str">
        <f>IFERROR(VLOOKUP(I174,[1]INFO_LOCALES!$B:$H,7,FALSE),"")</f>
        <v>Fco.Bilbao 3545</v>
      </c>
      <c r="N174" s="5">
        <f>IFERROR(VLOOKUP(I174,[1]INFO_LOCALES!$B:$E,4,FALSE),"")</f>
        <v>4049</v>
      </c>
      <c r="O174" s="5" t="str">
        <f>VLOOKUP(Tabla2[[#This Row],[TIENDA]],[1]INFO_LOCALES!$B:$J,9,0)</f>
        <v>CONVENIO</v>
      </c>
      <c r="P174" s="5" t="str">
        <f>IFERROR(VLOOKUP(I174,[1]INFO_LOCALES!$B:$F,5,FALSE),"")</f>
        <v>AGUAS DEL ALTIPLANO S.A.</v>
      </c>
      <c r="Q174" s="5" t="s">
        <v>78</v>
      </c>
      <c r="R174" s="5" t="s">
        <v>58</v>
      </c>
      <c r="S174" s="6">
        <v>45482</v>
      </c>
      <c r="T174" s="5" t="s">
        <v>167</v>
      </c>
      <c r="U174" s="6">
        <v>45418</v>
      </c>
      <c r="V174" s="5" t="s">
        <v>59</v>
      </c>
      <c r="W1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74" s="7">
        <f t="shared" si="5"/>
        <v>3</v>
      </c>
      <c r="Y174" s="5">
        <v>11</v>
      </c>
      <c r="Z174" s="5">
        <v>6.77</v>
      </c>
      <c r="AA174" s="5">
        <v>35</v>
      </c>
      <c r="AB174" s="5">
        <v>22.91</v>
      </c>
      <c r="AC174" s="5">
        <v>317</v>
      </c>
      <c r="AD174" s="5">
        <v>10.7</v>
      </c>
      <c r="AE174" s="5">
        <v>10.220000000000001</v>
      </c>
      <c r="AF174" s="5">
        <v>1.7</v>
      </c>
      <c r="AG174" s="5">
        <v>94</v>
      </c>
      <c r="AH174" s="5">
        <v>20.2</v>
      </c>
      <c r="AI174" s="5">
        <f t="shared" si="6"/>
        <v>606</v>
      </c>
      <c r="AZ174" s="8" t="s">
        <v>170</v>
      </c>
    </row>
    <row r="175" spans="1:52" x14ac:dyDescent="0.25">
      <c r="A175" s="5" t="s">
        <v>52</v>
      </c>
      <c r="B175" s="5" t="s">
        <v>76</v>
      </c>
      <c r="C175" s="5" t="s">
        <v>77</v>
      </c>
      <c r="F175" s="5" t="s">
        <v>55</v>
      </c>
      <c r="G175" s="5" t="s">
        <v>56</v>
      </c>
      <c r="H175" s="5" t="s">
        <v>57</v>
      </c>
      <c r="I175" s="5">
        <v>86</v>
      </c>
      <c r="J175" s="5" t="str">
        <f>IFERROR(VLOOKUP(I175,[1]INFO_LOCALES!$B:$C,2,FALSE),"")</f>
        <v>BILBAO</v>
      </c>
      <c r="K175" s="5" t="str">
        <f>IFERROR(VLOOKUP(Tabla2[[#This Row],[TIENDA]],[1]INFO_LOCALES!$B:$D,3,FALSE),"")</f>
        <v>I - Tarapacá</v>
      </c>
      <c r="L175" s="5" t="str">
        <f>IFERROR(VLOOKUP(I175,[1]INFO_LOCALES!$B:$I,8,FALSE),"")</f>
        <v>Iquique</v>
      </c>
      <c r="M175" s="5" t="str">
        <f>IFERROR(VLOOKUP(I175,[1]INFO_LOCALES!$B:$H,7,FALSE),"")</f>
        <v>Fco.Bilbao 3545</v>
      </c>
      <c r="N175" s="5">
        <f>IFERROR(VLOOKUP(I175,[1]INFO_LOCALES!$B:$E,4,FALSE),"")</f>
        <v>4049</v>
      </c>
      <c r="O175" s="5" t="str">
        <f>VLOOKUP(Tabla2[[#This Row],[TIENDA]],[1]INFO_LOCALES!$B:$J,9,0)</f>
        <v>CONVENIO</v>
      </c>
      <c r="P175" s="5" t="str">
        <f>IFERROR(VLOOKUP(I175,[1]INFO_LOCALES!$B:$F,5,FALSE),"")</f>
        <v>AGUAS DEL ALTIPLANO S.A.</v>
      </c>
      <c r="Q175" s="5" t="s">
        <v>78</v>
      </c>
      <c r="R175" s="5" t="s">
        <v>58</v>
      </c>
      <c r="S175" s="6">
        <v>45595</v>
      </c>
      <c r="T175" s="5" t="s">
        <v>167</v>
      </c>
      <c r="U175" s="6">
        <v>45418</v>
      </c>
      <c r="V175" s="5" t="s">
        <v>59</v>
      </c>
      <c r="W1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75" s="7">
        <f t="shared" si="5"/>
        <v>3</v>
      </c>
      <c r="Y175" s="5">
        <v>11</v>
      </c>
      <c r="Z175" s="5">
        <v>6.77</v>
      </c>
      <c r="AA175" s="5">
        <v>35</v>
      </c>
      <c r="AB175" s="5">
        <v>22.91</v>
      </c>
      <c r="AC175" s="5">
        <v>317</v>
      </c>
      <c r="AD175" s="5">
        <v>10.7</v>
      </c>
      <c r="AE175" s="5">
        <v>10.220000000000001</v>
      </c>
      <c r="AF175" s="5">
        <v>1.7</v>
      </c>
      <c r="AG175" s="5">
        <v>94</v>
      </c>
      <c r="AH175" s="5">
        <v>20.2</v>
      </c>
      <c r="AI175" s="5">
        <f t="shared" si="6"/>
        <v>606</v>
      </c>
      <c r="AZ175" s="8" t="s">
        <v>170</v>
      </c>
    </row>
    <row r="176" spans="1:52" x14ac:dyDescent="0.25">
      <c r="A176" s="5" t="s">
        <v>52</v>
      </c>
      <c r="B176" s="5" t="s">
        <v>90</v>
      </c>
      <c r="C176" s="5" t="s">
        <v>81</v>
      </c>
      <c r="F176" s="5" t="s">
        <v>55</v>
      </c>
      <c r="G176" s="5" t="s">
        <v>61</v>
      </c>
      <c r="H176" s="5" t="s">
        <v>57</v>
      </c>
      <c r="I176" s="5">
        <v>778</v>
      </c>
      <c r="J176" s="5" t="str">
        <f>IFERROR(VLOOKUP(I176,[1]INFO_LOCALES!$B:$C,2,FALSE),"")</f>
        <v>ORIENTE</v>
      </c>
      <c r="K176" s="5" t="str">
        <f>IFERROR(VLOOKUP(Tabla2[[#This Row],[TIENDA]],[1]INFO_LOCALES!$B:$D,3,FALSE),"")</f>
        <v>X - Los Lagos</v>
      </c>
      <c r="L176" s="5" t="str">
        <f>IFERROR(VLOOKUP(I176,[1]INFO_LOCALES!$B:$I,8,FALSE),"")</f>
        <v>Osorno</v>
      </c>
      <c r="M176" s="5" t="str">
        <f>IFERROR(VLOOKUP(I176,[1]INFO_LOCALES!$B:$H,7,FALSE),"")</f>
        <v>Julio Buschman 2223</v>
      </c>
      <c r="N176" s="5">
        <f>IFERROR(VLOOKUP(I176,[1]INFO_LOCALES!$B:$E,4,FALSE),"")</f>
        <v>2867</v>
      </c>
      <c r="O176" s="5" t="str">
        <f>VLOOKUP(Tabla2[[#This Row],[TIENDA]],[1]INFO_LOCALES!$B:$J,9,0)</f>
        <v>CONVENIO</v>
      </c>
      <c r="P176" s="5" t="str">
        <f>IFERROR(VLOOKUP(I176,[1]INFO_LOCALES!$B:$F,5,FALSE),"")</f>
        <v>SURALIS</v>
      </c>
      <c r="Q176" s="5" t="s">
        <v>105</v>
      </c>
      <c r="R176" s="5" t="s">
        <v>58</v>
      </c>
      <c r="S176" s="6">
        <v>45471</v>
      </c>
      <c r="T176" s="5" t="s">
        <v>167</v>
      </c>
      <c r="U176" s="6">
        <v>45419</v>
      </c>
      <c r="V176" s="5" t="s">
        <v>59</v>
      </c>
      <c r="W1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6" s="7">
        <f t="shared" si="5"/>
        <v>1</v>
      </c>
      <c r="Y176" s="5">
        <v>14</v>
      </c>
      <c r="Z176" s="5">
        <v>7.27</v>
      </c>
      <c r="AA176" s="5">
        <v>2</v>
      </c>
      <c r="AB176" s="5">
        <v>14.8</v>
      </c>
      <c r="AC176" s="5">
        <v>170</v>
      </c>
      <c r="AD176" s="5">
        <v>5.3</v>
      </c>
      <c r="AE176" s="5">
        <v>55.34</v>
      </c>
      <c r="AF176" s="5">
        <v>1</v>
      </c>
      <c r="AG176" s="5">
        <v>157</v>
      </c>
      <c r="AH176" s="5">
        <v>6.8</v>
      </c>
      <c r="AI176" s="5">
        <f t="shared" si="6"/>
        <v>204</v>
      </c>
      <c r="AZ176" s="8" t="s">
        <v>171</v>
      </c>
    </row>
    <row r="177" spans="1:52" x14ac:dyDescent="0.25">
      <c r="A177" s="5" t="s">
        <v>52</v>
      </c>
      <c r="B177" s="5" t="s">
        <v>76</v>
      </c>
      <c r="C177" s="5" t="s">
        <v>77</v>
      </c>
      <c r="F177" s="5" t="s">
        <v>55</v>
      </c>
      <c r="G177" s="5" t="s">
        <v>61</v>
      </c>
      <c r="H177" s="5" t="s">
        <v>57</v>
      </c>
      <c r="I177" s="5">
        <v>87</v>
      </c>
      <c r="J177" s="5" t="str">
        <f>IFERROR(VLOOKUP(I177,[1]INFO_LOCALES!$B:$C,2,FALSE),"")</f>
        <v>JUAN MARTINEZ</v>
      </c>
      <c r="K177" s="5" t="str">
        <f>IFERROR(VLOOKUP(Tabla2[[#This Row],[TIENDA]],[1]INFO_LOCALES!$B:$D,3,FALSE),"")</f>
        <v>I - Tarapacá</v>
      </c>
      <c r="L177" s="5" t="str">
        <f>IFERROR(VLOOKUP(I177,[1]INFO_LOCALES!$B:$I,8,FALSE),"")</f>
        <v>Iquique</v>
      </c>
      <c r="M177" s="5" t="str">
        <f>IFERROR(VLOOKUP(I177,[1]INFO_LOCALES!$B:$H,7,FALSE),"")</f>
        <v>M. Rodriguez 964</v>
      </c>
      <c r="N177" s="5">
        <f>IFERROR(VLOOKUP(I177,[1]INFO_LOCALES!$B:$E,4,FALSE),"")</f>
        <v>0</v>
      </c>
      <c r="O177" s="5" t="str">
        <f>VLOOKUP(Tabla2[[#This Row],[TIENDA]],[1]INFO_LOCALES!$B:$J,9,0)</f>
        <v>CONVENIO</v>
      </c>
      <c r="P177" s="5" t="str">
        <f>IFERROR(VLOOKUP(I177,[1]INFO_LOCALES!$B:$F,5,FALSE),"")</f>
        <v>AGUAS DEL ALTIPLANO S.A.</v>
      </c>
      <c r="Q177" s="5" t="s">
        <v>78</v>
      </c>
      <c r="R177" s="5" t="s">
        <v>58</v>
      </c>
      <c r="S177" s="6">
        <v>45503</v>
      </c>
      <c r="T177" s="5" t="s">
        <v>167</v>
      </c>
      <c r="U177" s="6">
        <v>45419</v>
      </c>
      <c r="V177" s="5" t="s">
        <v>59</v>
      </c>
      <c r="W1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77" s="7">
        <f t="shared" si="5"/>
        <v>3</v>
      </c>
      <c r="Y177" s="5">
        <v>9</v>
      </c>
      <c r="Z177" s="5">
        <v>7.07</v>
      </c>
      <c r="AA177" s="5">
        <v>21</v>
      </c>
      <c r="AB177" s="5">
        <v>23.78</v>
      </c>
      <c r="AC177" s="5">
        <v>174</v>
      </c>
      <c r="AD177" s="5">
        <v>5.5</v>
      </c>
      <c r="AE177" s="5">
        <v>22.85</v>
      </c>
      <c r="AF177" s="5">
        <v>1</v>
      </c>
      <c r="AG177" s="5">
        <v>134</v>
      </c>
      <c r="AH177" s="5">
        <v>1.9</v>
      </c>
      <c r="AI177" s="5">
        <f t="shared" si="6"/>
        <v>57</v>
      </c>
    </row>
    <row r="178" spans="1:52" x14ac:dyDescent="0.25">
      <c r="A178" s="5" t="s">
        <v>52</v>
      </c>
      <c r="B178" s="5" t="s">
        <v>76</v>
      </c>
      <c r="C178" s="5" t="s">
        <v>77</v>
      </c>
      <c r="F178" s="5" t="s">
        <v>55</v>
      </c>
      <c r="G178" s="5" t="s">
        <v>61</v>
      </c>
      <c r="H178" s="5" t="s">
        <v>57</v>
      </c>
      <c r="I178" s="5">
        <v>85</v>
      </c>
      <c r="J178" s="5" t="str">
        <f>IFERROR(VLOOKUP(I178,[1]INFO_LOCALES!$B:$C,2,FALSE),"")</f>
        <v>AMUNATEGUI</v>
      </c>
      <c r="K178" s="5" t="str">
        <f>IFERROR(VLOOKUP(Tabla2[[#This Row],[TIENDA]],[1]INFO_LOCALES!$B:$D,3,FALSE),"")</f>
        <v>I - Tarapacá</v>
      </c>
      <c r="L178" s="5" t="str">
        <f>IFERROR(VLOOKUP(I178,[1]INFO_LOCALES!$B:$I,8,FALSE),"")</f>
        <v>Iquique</v>
      </c>
      <c r="M178" s="5" t="str">
        <f>IFERROR(VLOOKUP(I178,[1]INFO_LOCALES!$B:$H,7,FALSE),"")</f>
        <v>Amunategui 902</v>
      </c>
      <c r="N178" s="5">
        <f>IFERROR(VLOOKUP(I178,[1]INFO_LOCALES!$B:$E,4,FALSE),"")</f>
        <v>0</v>
      </c>
      <c r="O178" s="5" t="str">
        <f>VLOOKUP(Tabla2[[#This Row],[TIENDA]],[1]INFO_LOCALES!$B:$J,9,0)</f>
        <v>CONVENIO</v>
      </c>
      <c r="P178" s="5" t="str">
        <f>IFERROR(VLOOKUP(I178,[1]INFO_LOCALES!$B:$F,5,FALSE),"")</f>
        <v>AGUAS DEL ALTIPLANO S.A.</v>
      </c>
      <c r="Q178" s="5" t="s">
        <v>78</v>
      </c>
      <c r="R178" s="5" t="s">
        <v>58</v>
      </c>
      <c r="S178" s="6">
        <v>45595</v>
      </c>
      <c r="T178" s="5" t="s">
        <v>167</v>
      </c>
      <c r="U178" s="6">
        <v>45419</v>
      </c>
      <c r="V178" s="5" t="s">
        <v>59</v>
      </c>
      <c r="W1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78" s="7">
        <f t="shared" si="5"/>
        <v>3</v>
      </c>
      <c r="Y178" s="5">
        <v>12</v>
      </c>
      <c r="Z178" s="5">
        <v>6.79</v>
      </c>
      <c r="AA178" s="5">
        <v>36</v>
      </c>
      <c r="AB178" s="5">
        <v>22.81</v>
      </c>
      <c r="AC178" s="5">
        <v>367</v>
      </c>
      <c r="AD178" s="5">
        <v>14.7</v>
      </c>
      <c r="AE178" s="5">
        <v>51.95</v>
      </c>
      <c r="AF178" s="5">
        <v>1.2</v>
      </c>
      <c r="AG178" s="5">
        <v>182</v>
      </c>
      <c r="AH178" s="5">
        <v>3.7</v>
      </c>
      <c r="AI178" s="5">
        <f t="shared" si="6"/>
        <v>111</v>
      </c>
      <c r="AZ178" s="8" t="s">
        <v>172</v>
      </c>
    </row>
    <row r="179" spans="1:52" x14ac:dyDescent="0.25">
      <c r="A179" s="5" t="s">
        <v>52</v>
      </c>
      <c r="B179" s="5" t="s">
        <v>76</v>
      </c>
      <c r="C179" s="5" t="s">
        <v>77</v>
      </c>
      <c r="F179" s="5" t="s">
        <v>55</v>
      </c>
      <c r="G179" s="5" t="s">
        <v>56</v>
      </c>
      <c r="H179" s="5" t="s">
        <v>57</v>
      </c>
      <c r="I179" s="5">
        <v>103</v>
      </c>
      <c r="J179" s="5" t="str">
        <f>IFERROR(VLOOKUP(I179,[1]INFO_LOCALES!$B:$C,2,FALSE),"")</f>
        <v>VIVAR</v>
      </c>
      <c r="K179" s="5" t="str">
        <f>IFERROR(VLOOKUP(Tabla2[[#This Row],[TIENDA]],[1]INFO_LOCALES!$B:$D,3,FALSE),"")</f>
        <v>I - Tarapacá</v>
      </c>
      <c r="L179" s="5" t="str">
        <f>IFERROR(VLOOKUP(I179,[1]INFO_LOCALES!$B:$I,8,FALSE),"")</f>
        <v>Iquique</v>
      </c>
      <c r="M179" s="5" t="str">
        <f>IFERROR(VLOOKUP(I179,[1]INFO_LOCALES!$B:$H,7,FALSE),"")</f>
        <v>Vivar 786</v>
      </c>
      <c r="N179" s="5">
        <f>IFERROR(VLOOKUP(I179,[1]INFO_LOCALES!$B:$E,4,FALSE),"")</f>
        <v>4420</v>
      </c>
      <c r="O179" s="5" t="str">
        <f>VLOOKUP(Tabla2[[#This Row],[TIENDA]],[1]INFO_LOCALES!$B:$J,9,0)</f>
        <v>CONVENIO</v>
      </c>
      <c r="P179" s="5" t="str">
        <f>IFERROR(VLOOKUP(I179,[1]INFO_LOCALES!$B:$F,5,FALSE),"")</f>
        <v>AGUAS DEL ALTIPLANO S.A.</v>
      </c>
      <c r="Q179" s="5" t="s">
        <v>78</v>
      </c>
      <c r="R179" s="5" t="s">
        <v>58</v>
      </c>
      <c r="S179" s="6">
        <v>45595</v>
      </c>
      <c r="T179" s="5" t="s">
        <v>167</v>
      </c>
      <c r="U179" s="6">
        <v>45421</v>
      </c>
      <c r="V179" s="5" t="s">
        <v>59</v>
      </c>
      <c r="W1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79" s="7">
        <f t="shared" si="5"/>
        <v>3</v>
      </c>
      <c r="Y179" s="5">
        <v>9</v>
      </c>
      <c r="Z179" s="5">
        <v>6.97</v>
      </c>
      <c r="AA179" s="5">
        <v>40</v>
      </c>
      <c r="AB179" s="5">
        <v>24.9</v>
      </c>
      <c r="AC179" s="5">
        <v>184</v>
      </c>
      <c r="AD179" s="5">
        <v>4.9000000000000004</v>
      </c>
      <c r="AE179" s="5">
        <v>23.4</v>
      </c>
      <c r="AF179" s="5">
        <v>0.8</v>
      </c>
      <c r="AG179" s="5">
        <v>102</v>
      </c>
      <c r="AH179" s="5">
        <v>2.5</v>
      </c>
      <c r="AI179" s="5">
        <f t="shared" si="6"/>
        <v>75</v>
      </c>
      <c r="AZ179" s="8" t="s">
        <v>173</v>
      </c>
    </row>
    <row r="180" spans="1:52" x14ac:dyDescent="0.25">
      <c r="A180" s="5" t="s">
        <v>52</v>
      </c>
      <c r="B180" s="5" t="s">
        <v>76</v>
      </c>
      <c r="C180" s="5" t="s">
        <v>77</v>
      </c>
      <c r="F180" s="5" t="s">
        <v>55</v>
      </c>
      <c r="G180" s="5" t="s">
        <v>65</v>
      </c>
      <c r="H180" s="5" t="s">
        <v>57</v>
      </c>
      <c r="I180" s="5">
        <v>85</v>
      </c>
      <c r="J180" s="5" t="str">
        <f>IFERROR(VLOOKUP(I180,[1]INFO_LOCALES!$B:$C,2,FALSE),"")</f>
        <v>AMUNATEGUI</v>
      </c>
      <c r="K180" s="5" t="str">
        <f>IFERROR(VLOOKUP(Tabla2[[#This Row],[TIENDA]],[1]INFO_LOCALES!$B:$D,3,FALSE),"")</f>
        <v>I - Tarapacá</v>
      </c>
      <c r="L180" s="5" t="str">
        <f>IFERROR(VLOOKUP(I180,[1]INFO_LOCALES!$B:$I,8,FALSE),"")</f>
        <v>Iquique</v>
      </c>
      <c r="M180" s="5" t="str">
        <f>IFERROR(VLOOKUP(I180,[1]INFO_LOCALES!$B:$H,7,FALSE),"")</f>
        <v>Amunategui 902</v>
      </c>
      <c r="N180" s="5">
        <f>IFERROR(VLOOKUP(I180,[1]INFO_LOCALES!$B:$E,4,FALSE),"")</f>
        <v>0</v>
      </c>
      <c r="O180" s="5" t="str">
        <f>VLOOKUP(Tabla2[[#This Row],[TIENDA]],[1]INFO_LOCALES!$B:$J,9,0)</f>
        <v>CONVENIO</v>
      </c>
      <c r="P180" s="5" t="str">
        <f>IFERROR(VLOOKUP(I180,[1]INFO_LOCALES!$B:$F,5,FALSE),"")</f>
        <v>AGUAS DEL ALTIPLANO S.A.</v>
      </c>
      <c r="Q180" s="5" t="s">
        <v>78</v>
      </c>
      <c r="R180" s="5" t="s">
        <v>58</v>
      </c>
      <c r="S180" s="6">
        <v>45595</v>
      </c>
      <c r="T180" s="5" t="s">
        <v>167</v>
      </c>
      <c r="U180" s="6">
        <v>45425</v>
      </c>
      <c r="V180" s="5" t="s">
        <v>59</v>
      </c>
      <c r="W1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80" s="7">
        <f t="shared" si="5"/>
        <v>1</v>
      </c>
      <c r="Y180" s="5">
        <v>9</v>
      </c>
      <c r="Z180" s="5">
        <v>7.65</v>
      </c>
      <c r="AA180" s="5">
        <v>2</v>
      </c>
      <c r="AB180" s="5">
        <v>24.75</v>
      </c>
      <c r="AC180" s="5">
        <v>66</v>
      </c>
      <c r="AD180" s="5">
        <v>3.1</v>
      </c>
      <c r="AE180" s="5">
        <v>6.58</v>
      </c>
      <c r="AF180" s="5">
        <v>0.5</v>
      </c>
      <c r="AG180" s="5">
        <v>78</v>
      </c>
      <c r="AH180" s="5">
        <v>4.3</v>
      </c>
      <c r="AI180" s="5">
        <f t="shared" si="6"/>
        <v>129</v>
      </c>
      <c r="AZ180" s="8" t="s">
        <v>174</v>
      </c>
    </row>
    <row r="181" spans="1:52" x14ac:dyDescent="0.25">
      <c r="A181" s="5" t="s">
        <v>52</v>
      </c>
      <c r="B181" s="5" t="s">
        <v>80</v>
      </c>
      <c r="C181" s="5" t="s">
        <v>81</v>
      </c>
      <c r="D181" s="5">
        <v>2024</v>
      </c>
      <c r="F181" s="5" t="s">
        <v>58</v>
      </c>
      <c r="G181" s="5" t="s">
        <v>65</v>
      </c>
      <c r="H181" s="5" t="s">
        <v>57</v>
      </c>
      <c r="I181" s="5">
        <v>519</v>
      </c>
      <c r="J181" s="5" t="str">
        <f>IFERROR(VLOOKUP(I181,[1]INFO_LOCALES!$B:$C,2,FALSE),"")</f>
        <v>TRAIGUEN</v>
      </c>
      <c r="K181" s="5" t="str">
        <f>IFERROR(VLOOKUP(Tabla2[[#This Row],[TIENDA]],[1]INFO_LOCALES!$B:$D,3,FALSE),"")</f>
        <v>IX - Araucanía</v>
      </c>
      <c r="L181" s="5" t="str">
        <f>IFERROR(VLOOKUP(I181,[1]INFO_LOCALES!$B:$I,8,FALSE),"")</f>
        <v>Traiguén</v>
      </c>
      <c r="M181" s="5" t="str">
        <f>IFERROR(VLOOKUP(I181,[1]INFO_LOCALES!$B:$H,7,FALSE),"")</f>
        <v>Santa Cruz 1170</v>
      </c>
      <c r="N181" s="5">
        <f>IFERROR(VLOOKUP(I181,[1]INFO_LOCALES!$B:$E,4,FALSE),"")</f>
        <v>0</v>
      </c>
      <c r="O181" s="5" t="str">
        <f>VLOOKUP(Tabla2[[#This Row],[TIENDA]],[1]INFO_LOCALES!$B:$J,9,0)</f>
        <v>CONVENIO</v>
      </c>
      <c r="P181" s="5" t="str">
        <f>IFERROR(VLOOKUP(I181,[1]INFO_LOCALES!$B:$F,5,FALSE),"")</f>
        <v>AGUAS ARAUCANIA S A</v>
      </c>
      <c r="Q181" s="5" t="s">
        <v>62</v>
      </c>
      <c r="R181" s="5" t="s">
        <v>58</v>
      </c>
      <c r="S181" s="6">
        <v>45520</v>
      </c>
      <c r="T181" s="5" t="s">
        <v>167</v>
      </c>
      <c r="U181" s="6">
        <v>45426</v>
      </c>
      <c r="V181" s="5" t="s">
        <v>59</v>
      </c>
      <c r="W1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81" s="7">
        <f t="shared" si="5"/>
        <v>2</v>
      </c>
      <c r="Y181" s="5">
        <v>14</v>
      </c>
      <c r="Z181" s="5">
        <v>6.44</v>
      </c>
      <c r="AA181" s="5">
        <v>1</v>
      </c>
      <c r="AB181" s="5">
        <v>11.75</v>
      </c>
      <c r="AC181" s="5">
        <v>356</v>
      </c>
      <c r="AD181" s="5">
        <v>4</v>
      </c>
      <c r="AE181" s="5">
        <v>26.4</v>
      </c>
      <c r="AF181" s="5">
        <v>0.6</v>
      </c>
      <c r="AG181" s="5">
        <v>112</v>
      </c>
      <c r="AH181" s="5">
        <v>1.8</v>
      </c>
      <c r="AI181" s="5">
        <f t="shared" si="6"/>
        <v>54</v>
      </c>
    </row>
    <row r="182" spans="1:52" x14ac:dyDescent="0.25">
      <c r="A182" s="5" t="s">
        <v>60</v>
      </c>
      <c r="B182" s="5" t="e">
        <v>#N/A</v>
      </c>
      <c r="C182" s="5" t="e">
        <v>#N/A</v>
      </c>
      <c r="F182" s="5" t="s">
        <v>55</v>
      </c>
      <c r="G182" s="5" t="s">
        <v>61</v>
      </c>
      <c r="H182" s="5" t="s">
        <v>57</v>
      </c>
      <c r="I182" s="5">
        <v>3014</v>
      </c>
      <c r="J182" s="5" t="str">
        <f>IFERROR(VLOOKUP(I182,[1]INFO_LOCALES!$B:$C,2,FALSE),"")</f>
        <v>M10 SAN FERNANDO</v>
      </c>
      <c r="K182" s="5" t="str">
        <f>IFERROR(VLOOKUP(Tabla2[[#This Row],[TIENDA]],[1]INFO_LOCALES!$B:$D,3,FALSE),"")</f>
        <v>VI - O'Higgins</v>
      </c>
      <c r="L182" s="5" t="str">
        <f>IFERROR(VLOOKUP(I182,[1]INFO_LOCALES!$B:$I,8,FALSE),"")</f>
        <v>San Fernando</v>
      </c>
      <c r="M182" s="5" t="str">
        <f>IFERROR(VLOOKUP(I182,[1]INFO_LOCALES!$B:$H,7,FALSE),"")</f>
        <v>Chillan 745</v>
      </c>
      <c r="N182" s="5">
        <f>IFERROR(VLOOKUP(I182,[1]INFO_LOCALES!$B:$E,4,FALSE),"")</f>
        <v>1298</v>
      </c>
      <c r="O182" s="5" t="str">
        <f>VLOOKUP(Tabla2[[#This Row],[TIENDA]],[1]INFO_LOCALES!$B:$J,9,0)</f>
        <v>TERMINADO</v>
      </c>
      <c r="P182" s="5" t="str">
        <f>IFERROR(VLOOKUP(I182,[1]INFO_LOCALES!$B:$F,5,FALSE),"")</f>
        <v>ESSBIO S.A.</v>
      </c>
      <c r="Q182" s="5" t="s">
        <v>85</v>
      </c>
      <c r="R182" s="5" t="s">
        <v>86</v>
      </c>
      <c r="S182" s="6" t="s">
        <v>87</v>
      </c>
      <c r="T182" s="5" t="s">
        <v>167</v>
      </c>
      <c r="U182" s="6">
        <v>45427</v>
      </c>
      <c r="V182" s="5" t="s">
        <v>59</v>
      </c>
      <c r="W1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82" s="7">
        <f t="shared" si="5"/>
        <v>1</v>
      </c>
      <c r="Y182" s="5">
        <v>24.2</v>
      </c>
      <c r="Z182" s="5">
        <v>7.3</v>
      </c>
      <c r="AA182" s="5">
        <v>2</v>
      </c>
      <c r="AB182" s="5">
        <v>13.8</v>
      </c>
      <c r="AC182" s="5">
        <v>245</v>
      </c>
      <c r="AD182" s="5">
        <v>8.1</v>
      </c>
      <c r="AE182" s="5">
        <v>5</v>
      </c>
      <c r="AF182" s="5">
        <v>4</v>
      </c>
      <c r="AG182" s="5">
        <v>138.5</v>
      </c>
      <c r="AH182" s="5">
        <v>2.4</v>
      </c>
      <c r="AI182" s="5">
        <f t="shared" si="6"/>
        <v>72</v>
      </c>
    </row>
    <row r="183" spans="1:52" x14ac:dyDescent="0.25">
      <c r="A183" s="5" t="s">
        <v>52</v>
      </c>
      <c r="B183" s="5" t="s">
        <v>82</v>
      </c>
      <c r="C183" s="5" t="s">
        <v>77</v>
      </c>
      <c r="F183" s="5" t="s">
        <v>55</v>
      </c>
      <c r="G183" s="5" t="s">
        <v>65</v>
      </c>
      <c r="H183" s="5" t="s">
        <v>57</v>
      </c>
      <c r="I183" s="5">
        <v>7</v>
      </c>
      <c r="J183" s="5" t="str">
        <f>IFERROR(VLOOKUP(I183,[1]INFO_LOCALES!$B:$C,2,FALSE),"")</f>
        <v>VALLENAR I</v>
      </c>
      <c r="K183" s="5" t="str">
        <f>IFERROR(VLOOKUP(Tabla2[[#This Row],[TIENDA]],[1]INFO_LOCALES!$B:$D,3,FALSE),"")</f>
        <v>III - Atacama</v>
      </c>
      <c r="L183" s="5" t="str">
        <f>IFERROR(VLOOKUP(I183,[1]INFO_LOCALES!$B:$I,8,FALSE),"")</f>
        <v>Vallenar</v>
      </c>
      <c r="M183" s="5" t="str">
        <f>IFERROR(VLOOKUP(I183,[1]INFO_LOCALES!$B:$H,7,FALSE),"")</f>
        <v>Brasil 663</v>
      </c>
      <c r="N183" s="5">
        <f>IFERROR(VLOOKUP(I183,[1]INFO_LOCALES!$B:$E,4,FALSE),"")</f>
        <v>0</v>
      </c>
      <c r="O183" s="5" t="str">
        <f>VLOOKUP(Tabla2[[#This Row],[TIENDA]],[1]INFO_LOCALES!$B:$J,9,0)</f>
        <v>CONVENIO</v>
      </c>
      <c r="P183" s="5" t="str">
        <f>IFERROR(VLOOKUP(I183,[1]INFO_LOCALES!$B:$F,5,FALSE),"")</f>
        <v>NUEVA ATACAMA</v>
      </c>
      <c r="Q183" s="5" t="s">
        <v>66</v>
      </c>
      <c r="R183" s="5" t="s">
        <v>58</v>
      </c>
      <c r="S183" s="6">
        <v>45478</v>
      </c>
      <c r="T183" s="5" t="s">
        <v>167</v>
      </c>
      <c r="U183" s="6">
        <v>45428</v>
      </c>
      <c r="V183" s="5" t="s">
        <v>59</v>
      </c>
      <c r="W1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83" s="7">
        <f t="shared" si="5"/>
        <v>2</v>
      </c>
      <c r="Y183" s="5">
        <v>17.72</v>
      </c>
      <c r="Z183" s="5">
        <v>6.79</v>
      </c>
      <c r="AA183" s="5">
        <v>10</v>
      </c>
      <c r="AB183" s="5">
        <v>18.37</v>
      </c>
      <c r="AC183" s="5">
        <v>414</v>
      </c>
      <c r="AD183" s="5">
        <v>11.63</v>
      </c>
      <c r="AE183" s="5">
        <v>27.05</v>
      </c>
      <c r="AF183" s="5">
        <v>0.9</v>
      </c>
      <c r="AG183" s="5">
        <v>57.86</v>
      </c>
      <c r="AH183" s="5">
        <v>3.3</v>
      </c>
      <c r="AI183" s="5">
        <f t="shared" si="6"/>
        <v>99</v>
      </c>
      <c r="AY183" s="5">
        <v>0.2</v>
      </c>
    </row>
    <row r="184" spans="1:52" x14ac:dyDescent="0.25">
      <c r="A184" s="5" t="s">
        <v>52</v>
      </c>
      <c r="B184" s="5" t="s">
        <v>140</v>
      </c>
      <c r="C184" s="5" t="s">
        <v>70</v>
      </c>
      <c r="F184" s="5" t="s">
        <v>55</v>
      </c>
      <c r="G184" s="5" t="s">
        <v>65</v>
      </c>
      <c r="H184" s="5" t="s">
        <v>57</v>
      </c>
      <c r="I184" s="5">
        <v>797</v>
      </c>
      <c r="J184" s="5" t="str">
        <f>IFERROR(VLOOKUP(I184,[1]INFO_LOCALES!$B:$C,2,FALSE),"")</f>
        <v>RENCA</v>
      </c>
      <c r="K184" s="5" t="str">
        <f>IFERROR(VLOOKUP(Tabla2[[#This Row],[TIENDA]],[1]INFO_LOCALES!$B:$D,3,FALSE),"")</f>
        <v>RM - Santiago</v>
      </c>
      <c r="L184" s="5" t="str">
        <f>IFERROR(VLOOKUP(I184,[1]INFO_LOCALES!$B:$I,8,FALSE),"")</f>
        <v>Renca</v>
      </c>
      <c r="M184" s="5" t="str">
        <f>IFERROR(VLOOKUP(I184,[1]INFO_LOCALES!$B:$H,7,FALSE),"")</f>
        <v>Av. Brasil 7085</v>
      </c>
      <c r="N184" s="5">
        <f>IFERROR(VLOOKUP(I184,[1]INFO_LOCALES!$B:$E,4,FALSE),"")</f>
        <v>0</v>
      </c>
      <c r="O184" s="5" t="str">
        <f>VLOOKUP(Tabla2[[#This Row],[TIENDA]],[1]INFO_LOCALES!$B:$J,9,0)</f>
        <v>SIN CONVENIO</v>
      </c>
      <c r="P184" s="5" t="str">
        <f>IFERROR(VLOOKUP(I184,[1]INFO_LOCALES!$B:$F,5,FALSE),"")</f>
        <v>AGUAS ANDINAS S.A.</v>
      </c>
      <c r="Q184" s="5" t="s">
        <v>113</v>
      </c>
      <c r="R184" s="5" t="s">
        <v>58</v>
      </c>
      <c r="S184" s="6">
        <v>45481</v>
      </c>
      <c r="T184" s="5" t="s">
        <v>167</v>
      </c>
      <c r="U184" s="6">
        <v>45432</v>
      </c>
      <c r="V184" s="5" t="s">
        <v>59</v>
      </c>
      <c r="W1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84" s="7">
        <f t="shared" si="5"/>
        <v>1</v>
      </c>
      <c r="Y184" s="5">
        <v>20</v>
      </c>
      <c r="Z184" s="5">
        <v>7.4</v>
      </c>
      <c r="AA184" s="5">
        <v>0.8</v>
      </c>
      <c r="AB184" s="5">
        <v>17.7</v>
      </c>
      <c r="AC184" s="5">
        <v>98</v>
      </c>
      <c r="AD184" s="5">
        <v>4.9000000000000004</v>
      </c>
      <c r="AE184" s="5">
        <v>22.45</v>
      </c>
      <c r="AF184" s="5">
        <v>0.2</v>
      </c>
      <c r="AG184" s="5">
        <v>96</v>
      </c>
      <c r="AH184" s="5">
        <v>3</v>
      </c>
      <c r="AI184" s="5">
        <f t="shared" si="6"/>
        <v>90</v>
      </c>
    </row>
    <row r="185" spans="1:52" x14ac:dyDescent="0.25">
      <c r="A185" s="5" t="s">
        <v>52</v>
      </c>
      <c r="B185" s="5" t="s">
        <v>146</v>
      </c>
      <c r="C185" s="5" t="s">
        <v>70</v>
      </c>
      <c r="F185" s="5" t="s">
        <v>55</v>
      </c>
      <c r="G185" s="5" t="s">
        <v>65</v>
      </c>
      <c r="H185" s="5" t="s">
        <v>57</v>
      </c>
      <c r="I185" s="5">
        <v>328</v>
      </c>
      <c r="J185" s="5" t="str">
        <f>IFERROR(VLOOKUP(I185,[1]INFO_LOCALES!$B:$C,2,FALSE),"")</f>
        <v>GRAN AVENIDA I</v>
      </c>
      <c r="K185" s="5" t="str">
        <f>IFERROR(VLOOKUP(Tabla2[[#This Row],[TIENDA]],[1]INFO_LOCALES!$B:$D,3,FALSE),"")</f>
        <v>RM - Santiago</v>
      </c>
      <c r="L185" s="5" t="str">
        <f>IFERROR(VLOOKUP(I185,[1]INFO_LOCALES!$B:$I,8,FALSE),"")</f>
        <v>San Miguel</v>
      </c>
      <c r="M185" s="5" t="str">
        <f>IFERROR(VLOOKUP(I185,[1]INFO_LOCALES!$B:$H,7,FALSE),"")</f>
        <v>Avenida Jose Miguel Carrera 5485</v>
      </c>
      <c r="N185" s="5">
        <f>IFERROR(VLOOKUP(I185,[1]INFO_LOCALES!$B:$E,4,FALSE),"")</f>
        <v>0</v>
      </c>
      <c r="O185" s="5" t="str">
        <f>VLOOKUP(Tabla2[[#This Row],[TIENDA]],[1]INFO_LOCALES!$B:$J,9,0)</f>
        <v>SIN CONVENIO</v>
      </c>
      <c r="P185" s="5" t="str">
        <f>IFERROR(VLOOKUP(I185,[1]INFO_LOCALES!$B:$F,5,FALSE),"")</f>
        <v>AGUAS ANDINAS S.A.</v>
      </c>
      <c r="Q185" s="5" t="s">
        <v>113</v>
      </c>
      <c r="R185" s="5" t="s">
        <v>58</v>
      </c>
      <c r="S185" s="6">
        <v>45481</v>
      </c>
      <c r="T185" s="5" t="s">
        <v>167</v>
      </c>
      <c r="U185" s="6">
        <v>45433</v>
      </c>
      <c r="V185" s="5" t="s">
        <v>59</v>
      </c>
      <c r="W1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85" s="7">
        <f t="shared" si="5"/>
        <v>1</v>
      </c>
      <c r="Y185" s="5">
        <v>14</v>
      </c>
      <c r="Z185" s="5">
        <v>9.7799999999999994</v>
      </c>
      <c r="AA185" s="5">
        <v>0.8</v>
      </c>
      <c r="AB185" s="5">
        <v>14.8</v>
      </c>
      <c r="AC185" s="5">
        <v>23</v>
      </c>
      <c r="AD185" s="5">
        <v>2.41</v>
      </c>
      <c r="AE185" s="5">
        <v>1.55</v>
      </c>
      <c r="AF185" s="5">
        <v>1.5</v>
      </c>
      <c r="AG185" s="5">
        <v>107</v>
      </c>
      <c r="AH185" s="5">
        <v>1</v>
      </c>
      <c r="AI185" s="5">
        <f t="shared" si="6"/>
        <v>30</v>
      </c>
    </row>
    <row r="186" spans="1:52" x14ac:dyDescent="0.25">
      <c r="A186" s="5" t="s">
        <v>52</v>
      </c>
      <c r="B186" s="5" t="s">
        <v>82</v>
      </c>
      <c r="C186" s="5" t="s">
        <v>77</v>
      </c>
      <c r="F186" s="5" t="s">
        <v>55</v>
      </c>
      <c r="G186" s="5" t="s">
        <v>56</v>
      </c>
      <c r="H186" s="5" t="s">
        <v>57</v>
      </c>
      <c r="I186" s="5">
        <v>22</v>
      </c>
      <c r="J186" s="5" t="str">
        <f>IFERROR(VLOOKUP(I186,[1]INFO_LOCALES!$B:$C,2,FALSE),"")</f>
        <v>ATACAMA</v>
      </c>
      <c r="K186" s="5" t="str">
        <f>IFERROR(VLOOKUP(Tabla2[[#This Row],[TIENDA]],[1]INFO_LOCALES!$B:$D,3,FALSE),"")</f>
        <v>III - Atacama</v>
      </c>
      <c r="L186" s="5" t="str">
        <f>IFERROR(VLOOKUP(I186,[1]INFO_LOCALES!$B:$I,8,FALSE),"")</f>
        <v>Copiapó</v>
      </c>
      <c r="M186" s="5" t="str">
        <f>IFERROR(VLOOKUP(I186,[1]INFO_LOCALES!$B:$H,7,FALSE),"")</f>
        <v>Los Carreras 2242</v>
      </c>
      <c r="N186" s="5">
        <f>IFERROR(VLOOKUP(I186,[1]INFO_LOCALES!$B:$E,4,FALSE),"")</f>
        <v>2666</v>
      </c>
      <c r="O186" s="5" t="str">
        <f>VLOOKUP(Tabla2[[#This Row],[TIENDA]],[1]INFO_LOCALES!$B:$J,9,0)</f>
        <v>CONVENIO</v>
      </c>
      <c r="P186" s="5" t="str">
        <f>IFERROR(VLOOKUP(I186,[1]INFO_LOCALES!$B:$F,5,FALSE),"")</f>
        <v>NUEVA ATACAMA</v>
      </c>
      <c r="Q186" s="5" t="s">
        <v>66</v>
      </c>
      <c r="R186" s="5" t="s">
        <v>58</v>
      </c>
      <c r="S186" s="6">
        <v>45478</v>
      </c>
      <c r="T186" s="5" t="s">
        <v>167</v>
      </c>
      <c r="U186" s="6">
        <v>45435</v>
      </c>
      <c r="V186" s="5" t="s">
        <v>59</v>
      </c>
      <c r="W1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86" s="7">
        <f t="shared" si="5"/>
        <v>3</v>
      </c>
      <c r="Y186" s="5">
        <v>67.47</v>
      </c>
      <c r="Z186" s="5">
        <v>6.62</v>
      </c>
      <c r="AA186" s="5">
        <v>18</v>
      </c>
      <c r="AB186" s="5">
        <v>19.329999999999998</v>
      </c>
      <c r="AC186" s="5">
        <v>30</v>
      </c>
      <c r="AD186" s="5">
        <v>8.5500000000000007</v>
      </c>
      <c r="AE186" s="5">
        <v>16.55</v>
      </c>
      <c r="AF186" s="5">
        <v>0.9</v>
      </c>
      <c r="AG186" s="5">
        <v>198.11</v>
      </c>
      <c r="AH186" s="5">
        <v>45.43</v>
      </c>
      <c r="AI186" s="5">
        <f t="shared" si="6"/>
        <v>1362.9</v>
      </c>
      <c r="AY186" s="5">
        <v>0.1</v>
      </c>
      <c r="AZ186" s="8" t="s">
        <v>175</v>
      </c>
    </row>
    <row r="187" spans="1:52" x14ac:dyDescent="0.25">
      <c r="A187" s="5" t="s">
        <v>52</v>
      </c>
      <c r="B187" s="5" t="s">
        <v>90</v>
      </c>
      <c r="C187" s="5" t="s">
        <v>81</v>
      </c>
      <c r="F187" s="5" t="s">
        <v>55</v>
      </c>
      <c r="G187" s="5" t="s">
        <v>65</v>
      </c>
      <c r="H187" s="5" t="s">
        <v>57</v>
      </c>
      <c r="I187" s="5">
        <v>544</v>
      </c>
      <c r="J187" s="5" t="str">
        <f>IFERROR(VLOOKUP(I187,[1]INFO_LOCALES!$B:$C,2,FALSE),"")</f>
        <v>PURRANQUE</v>
      </c>
      <c r="K187" s="5" t="str">
        <f>IFERROR(VLOOKUP(Tabla2[[#This Row],[TIENDA]],[1]INFO_LOCALES!$B:$D,3,FALSE),"")</f>
        <v>X - Los Lagos</v>
      </c>
      <c r="L187" s="5" t="str">
        <f>IFERROR(VLOOKUP(I187,[1]INFO_LOCALES!$B:$I,8,FALSE),"")</f>
        <v>Purranque</v>
      </c>
      <c r="M187" s="5" t="str">
        <f>IFERROR(VLOOKUP(I187,[1]INFO_LOCALES!$B:$H,7,FALSE),"")</f>
        <v>Eleuterio Ramirez 549</v>
      </c>
      <c r="N187" s="5">
        <f>IFERROR(VLOOKUP(I187,[1]INFO_LOCALES!$B:$E,4,FALSE),"")</f>
        <v>0</v>
      </c>
      <c r="O187" s="5" t="str">
        <f>VLOOKUP(Tabla2[[#This Row],[TIENDA]],[1]INFO_LOCALES!$B:$J,9,0)</f>
        <v>SIN CONVENIO</v>
      </c>
      <c r="P187" s="5" t="str">
        <f>IFERROR(VLOOKUP(I187,[1]INFO_LOCALES!$B:$F,5,FALSE),"")</f>
        <v>SURALIS</v>
      </c>
      <c r="Q187" s="5" t="s">
        <v>105</v>
      </c>
      <c r="R187" s="5" t="s">
        <v>58</v>
      </c>
      <c r="S187" s="6">
        <v>45471</v>
      </c>
      <c r="T187" s="5" t="s">
        <v>167</v>
      </c>
      <c r="U187" s="6">
        <v>45438</v>
      </c>
      <c r="V187" s="5" t="s">
        <v>59</v>
      </c>
      <c r="W1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87" s="7">
        <f t="shared" si="5"/>
        <v>1</v>
      </c>
      <c r="Y187" s="5">
        <v>80</v>
      </c>
      <c r="Z187" s="5">
        <v>7.92</v>
      </c>
      <c r="AA187" s="5">
        <v>2</v>
      </c>
      <c r="AB187" s="5">
        <v>15.8</v>
      </c>
      <c r="AC187" s="5">
        <v>81</v>
      </c>
      <c r="AD187" s="5">
        <v>2.6</v>
      </c>
      <c r="AE187" s="5">
        <v>6.19</v>
      </c>
      <c r="AF187" s="5">
        <v>1</v>
      </c>
      <c r="AG187" s="5">
        <v>64</v>
      </c>
      <c r="AH187" s="5">
        <v>11.6</v>
      </c>
      <c r="AI187" s="5">
        <f t="shared" si="6"/>
        <v>348</v>
      </c>
      <c r="AZ187" s="8" t="s">
        <v>176</v>
      </c>
    </row>
    <row r="188" spans="1:52" x14ac:dyDescent="0.25">
      <c r="A188" s="5" t="s">
        <v>52</v>
      </c>
      <c r="B188" s="5" t="e">
        <v>#N/A</v>
      </c>
      <c r="C188" s="5" t="e">
        <v>#N/A</v>
      </c>
      <c r="F188" s="5" t="s">
        <v>55</v>
      </c>
      <c r="G188" s="5" t="s">
        <v>61</v>
      </c>
      <c r="H188" s="5" t="s">
        <v>57</v>
      </c>
      <c r="I188" s="5">
        <v>9139</v>
      </c>
      <c r="J188" s="5" t="str">
        <f>IFERROR(VLOOKUP(I188,[1]INFO_LOCALES!$B:$C,2,FALSE),"")</f>
        <v>CD LO AGUIRRE</v>
      </c>
      <c r="K188" s="5" t="str">
        <f>IFERROR(VLOOKUP(Tabla2[[#This Row],[TIENDA]],[1]INFO_LOCALES!$B:$D,3,FALSE),"")</f>
        <v>RM - Santiago</v>
      </c>
      <c r="L188" s="5" t="str">
        <f>IFERROR(VLOOKUP(I188,[1]INFO_LOCALES!$B:$I,8,FALSE),"")</f>
        <v>Pudahuel</v>
      </c>
      <c r="M188" s="5" t="str">
        <f>IFERROR(VLOOKUP(I188,[1]INFO_LOCALES!$B:$H,7,FALSE),"")</f>
        <v>CAMINO LO AGUIRRE SUR 537</v>
      </c>
      <c r="N188" s="5">
        <f>IFERROR(VLOOKUP(I188,[1]INFO_LOCALES!$B:$E,4,FALSE),"")</f>
        <v>3552</v>
      </c>
      <c r="O188" s="5" t="str">
        <f>VLOOKUP(Tabla2[[#This Row],[TIENDA]],[1]INFO_LOCALES!$B:$J,9,0)</f>
        <v>SIN CONVENIO</v>
      </c>
      <c r="P188" s="5" t="str">
        <f>IFERROR(VLOOKUP(I188,[1]INFO_LOCALES!$B:$F,5,FALSE),"")</f>
        <v>AGUAS IZARRA</v>
      </c>
      <c r="Q188" s="5" t="s">
        <v>85</v>
      </c>
      <c r="R188" s="5" t="s">
        <v>86</v>
      </c>
      <c r="S188" s="6" t="s">
        <v>87</v>
      </c>
      <c r="T188" s="5" t="s">
        <v>167</v>
      </c>
      <c r="U188" s="6">
        <v>45440</v>
      </c>
      <c r="V188" s="5" t="s">
        <v>59</v>
      </c>
      <c r="W1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88" s="7">
        <f t="shared" si="5"/>
        <v>1</v>
      </c>
      <c r="Y188" s="5">
        <v>14</v>
      </c>
      <c r="AA188" s="5">
        <v>2</v>
      </c>
      <c r="AC188" s="5">
        <v>102</v>
      </c>
      <c r="AD188" s="5">
        <v>4.9000000000000004</v>
      </c>
      <c r="AE188" s="5">
        <v>37.700000000000003</v>
      </c>
      <c r="AF188" s="5">
        <v>2</v>
      </c>
      <c r="AG188" s="5">
        <v>88.2</v>
      </c>
      <c r="AI188" s="5">
        <f t="shared" si="6"/>
        <v>0</v>
      </c>
      <c r="AS188" s="5">
        <v>10</v>
      </c>
    </row>
    <row r="189" spans="1:52" x14ac:dyDescent="0.25">
      <c r="A189" s="5" t="s">
        <v>52</v>
      </c>
      <c r="B189" s="5" t="s">
        <v>90</v>
      </c>
      <c r="C189" s="5" t="s">
        <v>81</v>
      </c>
      <c r="F189" s="5" t="s">
        <v>55</v>
      </c>
      <c r="G189" s="5" t="s">
        <v>56</v>
      </c>
      <c r="H189" s="5" t="s">
        <v>57</v>
      </c>
      <c r="I189" s="5">
        <v>780</v>
      </c>
      <c r="J189" s="5" t="str">
        <f>IFERROR(VLOOKUP(I189,[1]INFO_LOCALES!$B:$C,2,FALSE),"")</f>
        <v>VICTORIA</v>
      </c>
      <c r="K189" s="5" t="str">
        <f>IFERROR(VLOOKUP(Tabla2[[#This Row],[TIENDA]],[1]INFO_LOCALES!$B:$D,3,FALSE),"")</f>
        <v>X - Los Lagos</v>
      </c>
      <c r="L189" s="5" t="str">
        <f>IFERROR(VLOOKUP(I189,[1]INFO_LOCALES!$B:$I,8,FALSE),"")</f>
        <v>Osorno</v>
      </c>
      <c r="M189" s="5" t="str">
        <f>IFERROR(VLOOKUP(I189,[1]INFO_LOCALES!$B:$H,7,FALSE),"")</f>
        <v>Victoria 367 Rahue Bajo</v>
      </c>
      <c r="N189" s="5">
        <f>IFERROR(VLOOKUP(I189,[1]INFO_LOCALES!$B:$E,4,FALSE),"")</f>
        <v>1362</v>
      </c>
      <c r="O189" s="5" t="str">
        <f>VLOOKUP(Tabla2[[#This Row],[TIENDA]],[1]INFO_LOCALES!$B:$J,9,0)</f>
        <v>SIN CONVENIO</v>
      </c>
      <c r="P189" s="5" t="str">
        <f>IFERROR(VLOOKUP(I189,[1]INFO_LOCALES!$B:$F,5,FALSE),"")</f>
        <v>SURALIS</v>
      </c>
      <c r="Q189" s="5" t="s">
        <v>105</v>
      </c>
      <c r="R189" s="5" t="s">
        <v>58</v>
      </c>
      <c r="S189" s="6">
        <v>45471</v>
      </c>
      <c r="T189" s="5" t="s">
        <v>167</v>
      </c>
      <c r="U189" s="6">
        <v>45441</v>
      </c>
      <c r="V189" s="5" t="s">
        <v>59</v>
      </c>
      <c r="W1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189" s="7">
        <f t="shared" si="5"/>
        <v>3</v>
      </c>
      <c r="Y189" s="5">
        <v>19</v>
      </c>
      <c r="Z189" s="5">
        <v>7.48</v>
      </c>
      <c r="AA189" s="5">
        <v>2</v>
      </c>
      <c r="AB189" s="5">
        <v>16.2</v>
      </c>
      <c r="AC189" s="5">
        <v>1028</v>
      </c>
      <c r="AD189" s="5">
        <v>21.4</v>
      </c>
      <c r="AE189" s="5">
        <v>40.51</v>
      </c>
      <c r="AF189" s="5">
        <v>0.5</v>
      </c>
      <c r="AG189" s="5">
        <v>54</v>
      </c>
      <c r="AH189" s="5">
        <v>1.3</v>
      </c>
      <c r="AI189" s="5">
        <f t="shared" si="6"/>
        <v>39</v>
      </c>
      <c r="AZ189" s="8" t="s">
        <v>177</v>
      </c>
    </row>
    <row r="190" spans="1:52" ht="15.75" customHeight="1" x14ac:dyDescent="0.25">
      <c r="A190" s="5" t="s">
        <v>52</v>
      </c>
      <c r="B190" s="5" t="s">
        <v>149</v>
      </c>
      <c r="C190" s="5" t="s">
        <v>81</v>
      </c>
      <c r="F190" s="5" t="s">
        <v>55</v>
      </c>
      <c r="G190" s="5" t="s">
        <v>65</v>
      </c>
      <c r="H190" s="5" t="s">
        <v>57</v>
      </c>
      <c r="I190" s="5">
        <v>763</v>
      </c>
      <c r="J190" s="5" t="str">
        <f>IFERROR(VLOOKUP(I190,[1]INFO_LOCALES!$B:$C,2,FALSE),"")</f>
        <v>JUAN SOLER</v>
      </c>
      <c r="K190" s="5" t="str">
        <f>IFERROR(VLOOKUP(Tabla2[[#This Row],[TIENDA]],[1]INFO_LOCALES!$B:$D,3,FALSE),"")</f>
        <v>X - Los Lagos</v>
      </c>
      <c r="L190" s="5" t="str">
        <f>IFERROR(VLOOKUP(I190,[1]INFO_LOCALES!$B:$I,8,FALSE),"")</f>
        <v>Puerto Montt</v>
      </c>
      <c r="M190" s="5" t="str">
        <f>IFERROR(VLOOKUP(I190,[1]INFO_LOCALES!$B:$H,7,FALSE),"")</f>
        <v>Juan Soler Manfredini 51</v>
      </c>
      <c r="N190" s="5">
        <f>IFERROR(VLOOKUP(I190,[1]INFO_LOCALES!$B:$E,4,FALSE),"")</f>
        <v>0</v>
      </c>
      <c r="O190" s="5" t="str">
        <f>VLOOKUP(Tabla2[[#This Row],[TIENDA]],[1]INFO_LOCALES!$B:$J,9,0)</f>
        <v>SIN CONVENIO</v>
      </c>
      <c r="P190" s="5" t="str">
        <f>IFERROR(VLOOKUP(I190,[1]INFO_LOCALES!$B:$F,5,FALSE),"")</f>
        <v>SURALIS</v>
      </c>
      <c r="Q190" s="5" t="s">
        <v>105</v>
      </c>
      <c r="R190" s="5" t="s">
        <v>58</v>
      </c>
      <c r="S190" s="6">
        <v>45471</v>
      </c>
      <c r="T190" s="5" t="s">
        <v>167</v>
      </c>
      <c r="U190" s="6">
        <v>45441</v>
      </c>
      <c r="V190" s="5" t="s">
        <v>59</v>
      </c>
      <c r="W1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90" s="7">
        <f t="shared" si="5"/>
        <v>2</v>
      </c>
      <c r="Y190" s="5">
        <v>43</v>
      </c>
      <c r="Z190" s="5">
        <v>7.62</v>
      </c>
      <c r="AA190" s="5">
        <v>2</v>
      </c>
      <c r="AB190" s="5">
        <v>14.2</v>
      </c>
      <c r="AC190" s="5">
        <v>400</v>
      </c>
      <c r="AD190" s="5">
        <v>11.5</v>
      </c>
      <c r="AE190" s="5">
        <v>122.5</v>
      </c>
      <c r="AF190" s="5">
        <v>0.5</v>
      </c>
      <c r="AG190" s="5">
        <v>66</v>
      </c>
      <c r="AH190" s="5">
        <v>5.0000000000000001E-3</v>
      </c>
      <c r="AI190" s="5">
        <f t="shared" si="6"/>
        <v>0.15</v>
      </c>
      <c r="AZ190" s="8" t="s">
        <v>178</v>
      </c>
    </row>
    <row r="191" spans="1:52" x14ac:dyDescent="0.25">
      <c r="A191" s="5" t="s">
        <v>52</v>
      </c>
      <c r="B191" s="5" t="s">
        <v>74</v>
      </c>
      <c r="C191" s="5" t="s">
        <v>74</v>
      </c>
      <c r="F191" s="5" t="s">
        <v>55</v>
      </c>
      <c r="G191" s="5" t="s">
        <v>61</v>
      </c>
      <c r="H191" s="5" t="s">
        <v>57</v>
      </c>
      <c r="I191" s="5">
        <v>463</v>
      </c>
      <c r="J191" s="5" t="str">
        <f>IFERROR(VLOOKUP(I191,[1]INFO_LOCALES!$B:$C,2,FALSE),"")</f>
        <v>BORIES AUSTRAL</v>
      </c>
      <c r="K191" s="5" t="str">
        <f>IFERROR(VLOOKUP(Tabla2[[#This Row],[TIENDA]],[1]INFO_LOCALES!$B:$D,3,FALSE),"")</f>
        <v>XII - Magallanes</v>
      </c>
      <c r="L191" s="5" t="str">
        <f>IFERROR(VLOOKUP(I191,[1]INFO_LOCALES!$B:$I,8,FALSE),"")</f>
        <v>Punta Arenas</v>
      </c>
      <c r="M191" s="5" t="str">
        <f>IFERROR(VLOOKUP(I191,[1]INFO_LOCALES!$B:$H,7,FALSE),"")</f>
        <v>Gobernador Bories 647</v>
      </c>
      <c r="N191" s="5">
        <f>IFERROR(VLOOKUP(I191,[1]INFO_LOCALES!$B:$E,4,FALSE),"")</f>
        <v>3739</v>
      </c>
      <c r="O191" s="5" t="str">
        <f>VLOOKUP(Tabla2[[#This Row],[TIENDA]],[1]INFO_LOCALES!$B:$J,9,0)</f>
        <v>SIN CONVENIO</v>
      </c>
      <c r="P191" s="5" t="str">
        <f>IFERROR(VLOOKUP(I191,[1]INFO_LOCALES!$B:$F,5,FALSE),"")</f>
        <v>AGUAS MAGALLANES S.A.</v>
      </c>
      <c r="Q191" s="5" t="s">
        <v>71</v>
      </c>
      <c r="R191" s="5" t="s">
        <v>58</v>
      </c>
      <c r="S191" s="6">
        <v>45533</v>
      </c>
      <c r="T191" s="5" t="s">
        <v>167</v>
      </c>
      <c r="U191" s="6">
        <v>45441</v>
      </c>
      <c r="V191" s="5" t="s">
        <v>59</v>
      </c>
      <c r="W1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91" s="7">
        <f t="shared" si="5"/>
        <v>1</v>
      </c>
      <c r="Y191" s="5">
        <v>0.56100000000000005</v>
      </c>
      <c r="AA191" s="5">
        <v>2</v>
      </c>
      <c r="AC191" s="5">
        <v>220</v>
      </c>
      <c r="AD191" s="5">
        <v>2.2000000000000002</v>
      </c>
      <c r="AE191" s="5">
        <v>36.5</v>
      </c>
      <c r="AF191" s="5">
        <v>1.2</v>
      </c>
      <c r="AG191" s="5">
        <v>5</v>
      </c>
      <c r="AH191" s="5">
        <v>0</v>
      </c>
      <c r="AI191" s="5">
        <f t="shared" si="6"/>
        <v>0</v>
      </c>
    </row>
    <row r="192" spans="1:52" x14ac:dyDescent="0.25">
      <c r="A192" s="5" t="s">
        <v>52</v>
      </c>
      <c r="B192" s="5" t="s">
        <v>80</v>
      </c>
      <c r="C192" s="5" t="s">
        <v>81</v>
      </c>
      <c r="F192" s="5" t="s">
        <v>55</v>
      </c>
      <c r="G192" s="5" t="s">
        <v>65</v>
      </c>
      <c r="H192" s="5" t="s">
        <v>57</v>
      </c>
      <c r="I192" s="5">
        <v>80</v>
      </c>
      <c r="J192" s="5" t="str">
        <f>IFERROR(VLOOKUP(I192,[1]INFO_LOCALES!$B:$C,2,FALSE),"")</f>
        <v>ANGOL I</v>
      </c>
      <c r="K192" s="5" t="str">
        <f>IFERROR(VLOOKUP(Tabla2[[#This Row],[TIENDA]],[1]INFO_LOCALES!$B:$D,3,FALSE),"")</f>
        <v>IX - Araucanía</v>
      </c>
      <c r="L192" s="5" t="str">
        <f>IFERROR(VLOOKUP(I192,[1]INFO_LOCALES!$B:$I,8,FALSE),"")</f>
        <v>Angol</v>
      </c>
      <c r="M192" s="5" t="str">
        <f>IFERROR(VLOOKUP(I192,[1]INFO_LOCALES!$B:$H,7,FALSE),"")</f>
        <v>Av. O'Higgins 1257</v>
      </c>
      <c r="N192" s="5">
        <f>IFERROR(VLOOKUP(I192,[1]INFO_LOCALES!$B:$E,4,FALSE),"")</f>
        <v>0</v>
      </c>
      <c r="O192" s="5" t="str">
        <f>VLOOKUP(Tabla2[[#This Row],[TIENDA]],[1]INFO_LOCALES!$B:$J,9,0)</f>
        <v>SIN CONVENIO</v>
      </c>
      <c r="P192" s="5" t="str">
        <f>IFERROR(VLOOKUP(I192,[1]INFO_LOCALES!$B:$F,5,FALSE),"")</f>
        <v>AGUAS ARAUCANIA S A</v>
      </c>
      <c r="Q192" s="5" t="s">
        <v>62</v>
      </c>
      <c r="R192" s="5" t="s">
        <v>58</v>
      </c>
      <c r="S192" s="6">
        <v>45520</v>
      </c>
      <c r="T192" s="5" t="s">
        <v>167</v>
      </c>
      <c r="U192" s="6">
        <v>45442</v>
      </c>
      <c r="V192" s="5" t="s">
        <v>59</v>
      </c>
      <c r="W1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92" s="7">
        <f t="shared" si="5"/>
        <v>1</v>
      </c>
      <c r="Y192" s="5">
        <v>14</v>
      </c>
      <c r="Z192" s="5">
        <v>6.7</v>
      </c>
      <c r="AA192" s="5">
        <v>1</v>
      </c>
      <c r="AB192" s="5">
        <v>13</v>
      </c>
      <c r="AC192" s="5">
        <v>210</v>
      </c>
      <c r="AD192" s="5">
        <v>7.6</v>
      </c>
      <c r="AE192" s="5">
        <v>17.7</v>
      </c>
      <c r="AF192" s="5">
        <v>1.8</v>
      </c>
      <c r="AG192" s="5">
        <v>68</v>
      </c>
      <c r="AH192" s="5">
        <v>0.57999999999999996</v>
      </c>
      <c r="AI192" s="5">
        <f t="shared" si="6"/>
        <v>17.399999999999999</v>
      </c>
    </row>
    <row r="193" spans="1:52" x14ac:dyDescent="0.25">
      <c r="A193" s="5" t="s">
        <v>52</v>
      </c>
      <c r="B193" s="5" t="s">
        <v>117</v>
      </c>
      <c r="C193" s="5" t="s">
        <v>81</v>
      </c>
      <c r="F193" s="5" t="s">
        <v>55</v>
      </c>
      <c r="G193" s="5" t="s">
        <v>65</v>
      </c>
      <c r="H193" s="5" t="s">
        <v>57</v>
      </c>
      <c r="I193" s="5">
        <v>959</v>
      </c>
      <c r="J193" s="5" t="str">
        <f>IFERROR(VLOOKUP(I193,[1]INFO_LOCALES!$B:$C,2,FALSE),"")</f>
        <v>PUCON</v>
      </c>
      <c r="K193" s="5" t="str">
        <f>IFERROR(VLOOKUP(Tabla2[[#This Row],[TIENDA]],[1]INFO_LOCALES!$B:$D,3,FALSE),"")</f>
        <v>IX - Araucanía</v>
      </c>
      <c r="L193" s="5" t="str">
        <f>IFERROR(VLOOKUP(I193,[1]INFO_LOCALES!$B:$I,8,FALSE),"")</f>
        <v>Pucon</v>
      </c>
      <c r="M193" s="5" t="str">
        <f>IFERROR(VLOOKUP(I193,[1]INFO_LOCALES!$B:$H,7,FALSE),"")</f>
        <v>Av. O´higgins 774</v>
      </c>
      <c r="N193" s="5">
        <f>IFERROR(VLOOKUP(I193,[1]INFO_LOCALES!$B:$E,4,FALSE),"")</f>
        <v>0</v>
      </c>
      <c r="O193" s="5" t="str">
        <f>VLOOKUP(Tabla2[[#This Row],[TIENDA]],[1]INFO_LOCALES!$B:$J,9,0)</f>
        <v>SIN CONVENIO</v>
      </c>
      <c r="P193" s="5" t="str">
        <f>IFERROR(VLOOKUP(I193,[1]INFO_LOCALES!$B:$F,5,FALSE),"")</f>
        <v>AGUAS ARAUCANIA S A</v>
      </c>
      <c r="Q193" s="5" t="s">
        <v>62</v>
      </c>
      <c r="R193" s="5" t="s">
        <v>58</v>
      </c>
      <c r="S193" s="6">
        <v>45520</v>
      </c>
      <c r="T193" s="5" t="s">
        <v>167</v>
      </c>
      <c r="U193" s="6">
        <v>45442</v>
      </c>
      <c r="V193" s="5" t="s">
        <v>59</v>
      </c>
      <c r="W1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93" s="7">
        <f t="shared" si="5"/>
        <v>1</v>
      </c>
      <c r="Y193" s="5">
        <v>14</v>
      </c>
      <c r="Z193" s="5">
        <v>8</v>
      </c>
      <c r="AA193" s="5">
        <v>1</v>
      </c>
      <c r="AB193" s="5">
        <v>16.149999999999999</v>
      </c>
      <c r="AC193" s="5">
        <v>199</v>
      </c>
      <c r="AD193" s="5">
        <v>5.8</v>
      </c>
      <c r="AE193" s="5">
        <v>27.5</v>
      </c>
      <c r="AF193" s="5">
        <v>4</v>
      </c>
      <c r="AG193" s="5">
        <v>244</v>
      </c>
      <c r="AH193" s="5">
        <v>4.68</v>
      </c>
      <c r="AI193" s="5">
        <f t="shared" si="6"/>
        <v>140.39999999999998</v>
      </c>
    </row>
    <row r="194" spans="1:52" x14ac:dyDescent="0.25">
      <c r="A194" s="5" t="s">
        <v>52</v>
      </c>
      <c r="B194" s="5" t="s">
        <v>74</v>
      </c>
      <c r="C194" s="5" t="s">
        <v>74</v>
      </c>
      <c r="F194" s="5" t="s">
        <v>55</v>
      </c>
      <c r="G194" s="5" t="s">
        <v>65</v>
      </c>
      <c r="H194" s="5" t="s">
        <v>57</v>
      </c>
      <c r="I194" s="5">
        <v>457</v>
      </c>
      <c r="J194" s="5" t="str">
        <f>IFERROR(VLOOKUP(I194,[1]INFO_LOCALES!$B:$C,2,FALSE),"")</f>
        <v>LAUTARO NAVARRO AUSTRAL</v>
      </c>
      <c r="K194" s="5" t="str">
        <f>IFERROR(VLOOKUP(Tabla2[[#This Row],[TIENDA]],[1]INFO_LOCALES!$B:$D,3,FALSE),"")</f>
        <v>XII - Magallanes</v>
      </c>
      <c r="L194" s="5" t="str">
        <f>IFERROR(VLOOKUP(I194,[1]INFO_LOCALES!$B:$I,8,FALSE),"")</f>
        <v>Punta Arenas</v>
      </c>
      <c r="M194" s="5" t="str">
        <f>IFERROR(VLOOKUP(I194,[1]INFO_LOCALES!$B:$H,7,FALSE),"")</f>
        <v>Lautaro Navarro 1293</v>
      </c>
      <c r="N194" s="5">
        <f>IFERROR(VLOOKUP(I194,[1]INFO_LOCALES!$B:$E,4,FALSE),"")</f>
        <v>0</v>
      </c>
      <c r="O194" s="5" t="str">
        <f>VLOOKUP(Tabla2[[#This Row],[TIENDA]],[1]INFO_LOCALES!$B:$J,9,0)</f>
        <v>SIN CONVENIO</v>
      </c>
      <c r="P194" s="5" t="str">
        <f>IFERROR(VLOOKUP(I194,[1]INFO_LOCALES!$B:$F,5,FALSE),"")</f>
        <v>AGUAS MAGALLANES S.A.</v>
      </c>
      <c r="Q194" s="5" t="s">
        <v>71</v>
      </c>
      <c r="R194" s="5" t="s">
        <v>58</v>
      </c>
      <c r="S194" s="6">
        <v>45533</v>
      </c>
      <c r="T194" s="5" t="s">
        <v>167</v>
      </c>
      <c r="U194" s="6">
        <v>45442</v>
      </c>
      <c r="V194" s="5" t="s">
        <v>59</v>
      </c>
      <c r="W1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94" s="7">
        <f t="shared" ref="X194:X257" si="7">IF(W194="CUMPLE",1,IF(W194="CUMPLE CON TOLERANCIA",2,IF(W194="NO CUMPLE",3)))</f>
        <v>1</v>
      </c>
      <c r="Y194" s="5">
        <v>2.94</v>
      </c>
      <c r="AA194" s="5">
        <v>2</v>
      </c>
      <c r="AC194" s="5">
        <v>219</v>
      </c>
      <c r="AE194" s="5">
        <v>17.8</v>
      </c>
      <c r="AF194" s="5">
        <v>1</v>
      </c>
      <c r="AG194" s="5">
        <v>68</v>
      </c>
      <c r="AH194" s="5">
        <v>0</v>
      </c>
      <c r="AI194" s="5">
        <f t="shared" si="6"/>
        <v>0</v>
      </c>
    </row>
    <row r="195" spans="1:52" x14ac:dyDescent="0.25">
      <c r="A195" s="5" t="s">
        <v>52</v>
      </c>
      <c r="B195" s="5" t="s">
        <v>69</v>
      </c>
      <c r="C195" s="5" t="s">
        <v>70</v>
      </c>
      <c r="F195" s="5" t="s">
        <v>55</v>
      </c>
      <c r="G195" s="5" t="s">
        <v>65</v>
      </c>
      <c r="H195" s="5" t="s">
        <v>57</v>
      </c>
      <c r="I195" s="5">
        <v>482</v>
      </c>
      <c r="J195" s="5" t="str">
        <f>IFERROR(VLOOKUP(I195,[1]INFO_LOCALES!$B:$C,2,FALSE),"")</f>
        <v>ABRAZO DE MAIPU</v>
      </c>
      <c r="K195" s="5" t="str">
        <f>IFERROR(VLOOKUP(Tabla2[[#This Row],[TIENDA]],[1]INFO_LOCALES!$B:$D,3,FALSE),"")</f>
        <v>RM - Santiago</v>
      </c>
      <c r="L195" s="5" t="str">
        <f>IFERROR(VLOOKUP(I195,[1]INFO_LOCALES!$B:$I,8,FALSE),"")</f>
        <v>Maipú</v>
      </c>
      <c r="M195" s="5" t="str">
        <f>IFERROR(VLOOKUP(I195,[1]INFO_LOCALES!$B:$H,7,FALSE),"")</f>
        <v>Av. Jorge Guerra 16190</v>
      </c>
      <c r="N195" s="5">
        <f>IFERROR(VLOOKUP(I195,[1]INFO_LOCALES!$B:$E,4,FALSE),"")</f>
        <v>0</v>
      </c>
      <c r="O195" s="5" t="str">
        <f>VLOOKUP(Tabla2[[#This Row],[TIENDA]],[1]INFO_LOCALES!$B:$J,9,0)</f>
        <v>SIN CONVENIO</v>
      </c>
      <c r="P195" s="5" t="str">
        <f>IFERROR(VLOOKUP(I195,[1]INFO_LOCALES!$B:$F,5,FALSE),"")</f>
        <v>SMAPA</v>
      </c>
      <c r="Q195" s="5" t="s">
        <v>71</v>
      </c>
      <c r="R195" s="5" t="s">
        <v>58</v>
      </c>
      <c r="S195" s="6">
        <v>45527</v>
      </c>
      <c r="T195" s="5" t="s">
        <v>156</v>
      </c>
      <c r="U195" s="6">
        <v>45446</v>
      </c>
      <c r="V195" s="5" t="s">
        <v>59</v>
      </c>
      <c r="W1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95" s="7">
        <f t="shared" si="7"/>
        <v>2</v>
      </c>
      <c r="Y195" s="5">
        <v>2.02</v>
      </c>
      <c r="Z195" s="5">
        <v>7.88</v>
      </c>
      <c r="AA195" s="5">
        <v>2</v>
      </c>
      <c r="AB195" s="5">
        <v>21.1</v>
      </c>
      <c r="AC195" s="5">
        <v>289</v>
      </c>
      <c r="AD195" s="5">
        <v>15</v>
      </c>
      <c r="AE195" s="5">
        <v>20.9</v>
      </c>
      <c r="AF195" s="5">
        <v>1.3</v>
      </c>
      <c r="AG195" s="5">
        <v>327</v>
      </c>
      <c r="AH195" s="5">
        <v>0</v>
      </c>
      <c r="AI195" s="5">
        <f t="shared" si="6"/>
        <v>0</v>
      </c>
    </row>
    <row r="196" spans="1:52" x14ac:dyDescent="0.25">
      <c r="A196" s="5" t="s">
        <v>52</v>
      </c>
      <c r="B196" s="5" t="s">
        <v>76</v>
      </c>
      <c r="C196" s="5" t="s">
        <v>77</v>
      </c>
      <c r="F196" s="5" t="s">
        <v>55</v>
      </c>
      <c r="G196" s="5" t="s">
        <v>61</v>
      </c>
      <c r="H196" s="5" t="s">
        <v>57</v>
      </c>
      <c r="I196" s="5">
        <v>106</v>
      </c>
      <c r="J196" s="5" t="str">
        <f>IFERROR(VLOOKUP(I196,[1]INFO_LOCALES!$B:$C,2,FALSE),"")</f>
        <v>LOS MOLLES</v>
      </c>
      <c r="K196" s="5" t="str">
        <f>IFERROR(VLOOKUP(Tabla2[[#This Row],[TIENDA]],[1]INFO_LOCALES!$B:$D,3,FALSE),"")</f>
        <v>I - Tarapacá</v>
      </c>
      <c r="L196" s="5" t="str">
        <f>IFERROR(VLOOKUP(I196,[1]INFO_LOCALES!$B:$I,8,FALSE),"")</f>
        <v>Iquique</v>
      </c>
      <c r="M196" s="5" t="str">
        <f>IFERROR(VLOOKUP(I196,[1]INFO_LOCALES!$B:$H,7,FALSE),"")</f>
        <v>Santiago Polanco 2251</v>
      </c>
      <c r="N196" s="5">
        <f>IFERROR(VLOOKUP(I196,[1]INFO_LOCALES!$B:$E,4,FALSE),"")</f>
        <v>4050</v>
      </c>
      <c r="O196" s="5" t="str">
        <f>VLOOKUP(Tabla2[[#This Row],[TIENDA]],[1]INFO_LOCALES!$B:$J,9,0)</f>
        <v>CONVENIO</v>
      </c>
      <c r="P196" s="5" t="str">
        <f>IFERROR(VLOOKUP(I196,[1]INFO_LOCALES!$B:$F,5,FALSE),"")</f>
        <v>AGUAS DEL ALTIPLANO S.A.</v>
      </c>
      <c r="Q196" s="5" t="s">
        <v>78</v>
      </c>
      <c r="R196" s="5" t="s">
        <v>58</v>
      </c>
      <c r="S196" s="6">
        <v>45503</v>
      </c>
      <c r="T196" s="5" t="s">
        <v>156</v>
      </c>
      <c r="U196" s="6">
        <v>45447</v>
      </c>
      <c r="V196" s="5" t="s">
        <v>59</v>
      </c>
      <c r="W1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96" s="7">
        <f t="shared" si="7"/>
        <v>2</v>
      </c>
      <c r="Y196" s="5">
        <v>13</v>
      </c>
      <c r="Z196" s="5">
        <v>6.97</v>
      </c>
      <c r="AA196" s="5">
        <v>10</v>
      </c>
      <c r="AB196" s="5">
        <v>22.78</v>
      </c>
      <c r="AC196" s="5">
        <v>421</v>
      </c>
      <c r="AD196" s="5">
        <v>9.4</v>
      </c>
      <c r="AE196" s="5">
        <v>43.29</v>
      </c>
      <c r="AF196" s="5">
        <v>4.5</v>
      </c>
      <c r="AG196" s="5">
        <v>370</v>
      </c>
      <c r="AH196" s="5">
        <v>2.7</v>
      </c>
      <c r="AI196" s="5">
        <f t="shared" si="6"/>
        <v>81</v>
      </c>
    </row>
    <row r="197" spans="1:52" x14ac:dyDescent="0.25">
      <c r="A197" s="5" t="s">
        <v>52</v>
      </c>
      <c r="B197" s="5" t="s">
        <v>76</v>
      </c>
      <c r="C197" s="5" t="s">
        <v>77</v>
      </c>
      <c r="F197" s="5" t="s">
        <v>55</v>
      </c>
      <c r="G197" s="5" t="s">
        <v>65</v>
      </c>
      <c r="H197" s="5" t="s">
        <v>57</v>
      </c>
      <c r="I197" s="5">
        <v>87</v>
      </c>
      <c r="J197" s="5" t="str">
        <f>IFERROR(VLOOKUP(I197,[1]INFO_LOCALES!$B:$C,2,FALSE),"")</f>
        <v>JUAN MARTINEZ</v>
      </c>
      <c r="K197" s="5" t="str">
        <f>IFERROR(VLOOKUP(Tabla2[[#This Row],[TIENDA]],[1]INFO_LOCALES!$B:$D,3,FALSE),"")</f>
        <v>I - Tarapacá</v>
      </c>
      <c r="L197" s="5" t="str">
        <f>IFERROR(VLOOKUP(I197,[1]INFO_LOCALES!$B:$I,8,FALSE),"")</f>
        <v>Iquique</v>
      </c>
      <c r="M197" s="5" t="str">
        <f>IFERROR(VLOOKUP(I197,[1]INFO_LOCALES!$B:$H,7,FALSE),"")</f>
        <v>M. Rodriguez 964</v>
      </c>
      <c r="N197" s="5">
        <f>IFERROR(VLOOKUP(I197,[1]INFO_LOCALES!$B:$E,4,FALSE),"")</f>
        <v>0</v>
      </c>
      <c r="O197" s="5" t="str">
        <f>VLOOKUP(Tabla2[[#This Row],[TIENDA]],[1]INFO_LOCALES!$B:$J,9,0)</f>
        <v>CONVENIO</v>
      </c>
      <c r="P197" s="5" t="str">
        <f>IFERROR(VLOOKUP(I197,[1]INFO_LOCALES!$B:$F,5,FALSE),"")</f>
        <v>AGUAS DEL ALTIPLANO S.A.</v>
      </c>
      <c r="Q197" s="5" t="s">
        <v>78</v>
      </c>
      <c r="R197" s="5" t="s">
        <v>58</v>
      </c>
      <c r="S197" s="6">
        <v>45503</v>
      </c>
      <c r="T197" s="5" t="s">
        <v>156</v>
      </c>
      <c r="U197" s="6">
        <v>45449</v>
      </c>
      <c r="V197" s="5" t="s">
        <v>59</v>
      </c>
      <c r="W1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97" s="7">
        <f t="shared" si="7"/>
        <v>2</v>
      </c>
      <c r="Y197" s="5">
        <v>15</v>
      </c>
      <c r="Z197" s="5">
        <v>6.81</v>
      </c>
      <c r="AA197" s="5">
        <v>2</v>
      </c>
      <c r="AB197" s="5">
        <v>21.53</v>
      </c>
      <c r="AC197" s="5">
        <v>194</v>
      </c>
      <c r="AD197" s="5">
        <v>10.7</v>
      </c>
      <c r="AE197" s="5">
        <v>101.4</v>
      </c>
      <c r="AF197" s="5">
        <v>0.5</v>
      </c>
      <c r="AG197" s="5">
        <v>74</v>
      </c>
      <c r="AH197" s="5">
        <v>4</v>
      </c>
      <c r="AI197" s="5">
        <f t="shared" si="6"/>
        <v>120</v>
      </c>
    </row>
    <row r="198" spans="1:52" x14ac:dyDescent="0.25">
      <c r="A198" s="5" t="s">
        <v>52</v>
      </c>
      <c r="B198" s="5" t="s">
        <v>76</v>
      </c>
      <c r="C198" s="5" t="s">
        <v>77</v>
      </c>
      <c r="F198" s="5" t="s">
        <v>55</v>
      </c>
      <c r="G198" s="5" t="s">
        <v>65</v>
      </c>
      <c r="H198" s="5" t="s">
        <v>57</v>
      </c>
      <c r="I198" s="5">
        <v>85</v>
      </c>
      <c r="J198" s="5" t="str">
        <f>IFERROR(VLOOKUP(I198,[1]INFO_LOCALES!$B:$C,2,FALSE),"")</f>
        <v>AMUNATEGUI</v>
      </c>
      <c r="K198" s="5" t="str">
        <f>IFERROR(VLOOKUP(Tabla2[[#This Row],[TIENDA]],[1]INFO_LOCALES!$B:$D,3,FALSE),"")</f>
        <v>I - Tarapacá</v>
      </c>
      <c r="L198" s="5" t="str">
        <f>IFERROR(VLOOKUP(I198,[1]INFO_LOCALES!$B:$I,8,FALSE),"")</f>
        <v>Iquique</v>
      </c>
      <c r="M198" s="5" t="str">
        <f>IFERROR(VLOOKUP(I198,[1]INFO_LOCALES!$B:$H,7,FALSE),"")</f>
        <v>Amunategui 902</v>
      </c>
      <c r="N198" s="5">
        <f>IFERROR(VLOOKUP(I198,[1]INFO_LOCALES!$B:$E,4,FALSE),"")</f>
        <v>0</v>
      </c>
      <c r="O198" s="5" t="str">
        <f>VLOOKUP(Tabla2[[#This Row],[TIENDA]],[1]INFO_LOCALES!$B:$J,9,0)</f>
        <v>CONVENIO</v>
      </c>
      <c r="P198" s="5" t="str">
        <f>IFERROR(VLOOKUP(I198,[1]INFO_LOCALES!$B:$F,5,FALSE),"")</f>
        <v>AGUAS DEL ALTIPLANO S.A.</v>
      </c>
      <c r="Q198" s="5" t="s">
        <v>78</v>
      </c>
      <c r="R198" s="5" t="s">
        <v>58</v>
      </c>
      <c r="S198" s="6">
        <v>45595</v>
      </c>
      <c r="T198" s="5" t="s">
        <v>156</v>
      </c>
      <c r="U198" s="6">
        <v>45449</v>
      </c>
      <c r="V198" s="5" t="s">
        <v>59</v>
      </c>
      <c r="W1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98" s="7">
        <f t="shared" si="7"/>
        <v>1</v>
      </c>
      <c r="Y198" s="5">
        <v>7</v>
      </c>
      <c r="Z198" s="5">
        <v>6.97</v>
      </c>
      <c r="AA198" s="5">
        <v>2</v>
      </c>
      <c r="AB198" s="5">
        <v>22.97</v>
      </c>
      <c r="AC198" s="5">
        <v>4</v>
      </c>
      <c r="AD198" s="5">
        <v>2.4</v>
      </c>
      <c r="AE198" s="5">
        <v>9.1300000000000008</v>
      </c>
      <c r="AF198" s="5">
        <v>0.5</v>
      </c>
      <c r="AG198" s="5">
        <v>1</v>
      </c>
      <c r="AH198" s="5">
        <v>2</v>
      </c>
      <c r="AI198" s="5">
        <f t="shared" si="6"/>
        <v>60</v>
      </c>
      <c r="AZ198" s="8" t="s">
        <v>179</v>
      </c>
    </row>
    <row r="199" spans="1:52" x14ac:dyDescent="0.25">
      <c r="A199" s="5" t="s">
        <v>52</v>
      </c>
      <c r="B199" s="5" t="s">
        <v>76</v>
      </c>
      <c r="C199" s="5" t="s">
        <v>77</v>
      </c>
      <c r="F199" s="5" t="s">
        <v>55</v>
      </c>
      <c r="G199" s="5" t="s">
        <v>61</v>
      </c>
      <c r="H199" s="5" t="s">
        <v>57</v>
      </c>
      <c r="I199" s="5">
        <v>106</v>
      </c>
      <c r="J199" s="5" t="str">
        <f>IFERROR(VLOOKUP(I199,[1]INFO_LOCALES!$B:$C,2,FALSE),"")</f>
        <v>LOS MOLLES</v>
      </c>
      <c r="K199" s="5" t="str">
        <f>IFERROR(VLOOKUP(Tabla2[[#This Row],[TIENDA]],[1]INFO_LOCALES!$B:$D,3,FALSE),"")</f>
        <v>I - Tarapacá</v>
      </c>
      <c r="L199" s="5" t="str">
        <f>IFERROR(VLOOKUP(I199,[1]INFO_LOCALES!$B:$I,8,FALSE),"")</f>
        <v>Iquique</v>
      </c>
      <c r="M199" s="5" t="str">
        <f>IFERROR(VLOOKUP(I199,[1]INFO_LOCALES!$B:$H,7,FALSE),"")</f>
        <v>Santiago Polanco 2251</v>
      </c>
      <c r="N199" s="5">
        <f>IFERROR(VLOOKUP(I199,[1]INFO_LOCALES!$B:$E,4,FALSE),"")</f>
        <v>4050</v>
      </c>
      <c r="O199" s="5" t="str">
        <f>VLOOKUP(Tabla2[[#This Row],[TIENDA]],[1]INFO_LOCALES!$B:$J,9,0)</f>
        <v>CONVENIO</v>
      </c>
      <c r="P199" s="5" t="str">
        <f>IFERROR(VLOOKUP(I199,[1]INFO_LOCALES!$B:$F,5,FALSE),"")</f>
        <v>AGUAS DEL ALTIPLANO S.A.</v>
      </c>
      <c r="Q199" s="5" t="s">
        <v>78</v>
      </c>
      <c r="R199" s="5" t="s">
        <v>58</v>
      </c>
      <c r="S199" s="6">
        <v>45503</v>
      </c>
      <c r="T199" s="5" t="s">
        <v>156</v>
      </c>
      <c r="U199" s="6">
        <v>45453</v>
      </c>
      <c r="V199" s="5" t="s">
        <v>59</v>
      </c>
      <c r="W1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199" s="7">
        <f t="shared" si="7"/>
        <v>2</v>
      </c>
      <c r="Y199" s="5">
        <v>16</v>
      </c>
      <c r="Z199" s="5">
        <v>6.67</v>
      </c>
      <c r="AA199" s="5">
        <v>12</v>
      </c>
      <c r="AB199" s="5">
        <v>24</v>
      </c>
      <c r="AC199" s="5">
        <v>265</v>
      </c>
      <c r="AD199" s="5">
        <v>13.8</v>
      </c>
      <c r="AE199" s="5">
        <v>37.36</v>
      </c>
      <c r="AF199" s="5">
        <v>10</v>
      </c>
      <c r="AG199" s="5">
        <v>525</v>
      </c>
      <c r="AH199" s="5">
        <v>2.8</v>
      </c>
      <c r="AI199" s="5">
        <f t="shared" si="6"/>
        <v>84</v>
      </c>
    </row>
    <row r="200" spans="1:52" x14ac:dyDescent="0.25">
      <c r="A200" s="5" t="s">
        <v>52</v>
      </c>
      <c r="B200" s="5" t="s">
        <v>76</v>
      </c>
      <c r="C200" s="5" t="s">
        <v>77</v>
      </c>
      <c r="F200" s="5" t="s">
        <v>55</v>
      </c>
      <c r="G200" s="5" t="s">
        <v>61</v>
      </c>
      <c r="H200" s="5" t="s">
        <v>57</v>
      </c>
      <c r="I200" s="5">
        <v>103</v>
      </c>
      <c r="J200" s="5" t="str">
        <f>IFERROR(VLOOKUP(I200,[1]INFO_LOCALES!$B:$C,2,FALSE),"")</f>
        <v>VIVAR</v>
      </c>
      <c r="K200" s="5" t="str">
        <f>IFERROR(VLOOKUP(Tabla2[[#This Row],[TIENDA]],[1]INFO_LOCALES!$B:$D,3,FALSE),"")</f>
        <v>I - Tarapacá</v>
      </c>
      <c r="L200" s="5" t="str">
        <f>IFERROR(VLOOKUP(I200,[1]INFO_LOCALES!$B:$I,8,FALSE),"")</f>
        <v>Iquique</v>
      </c>
      <c r="M200" s="5" t="str">
        <f>IFERROR(VLOOKUP(I200,[1]INFO_LOCALES!$B:$H,7,FALSE),"")</f>
        <v>Vivar 786</v>
      </c>
      <c r="N200" s="5">
        <f>IFERROR(VLOOKUP(I200,[1]INFO_LOCALES!$B:$E,4,FALSE),"")</f>
        <v>4420</v>
      </c>
      <c r="O200" s="5" t="str">
        <f>VLOOKUP(Tabla2[[#This Row],[TIENDA]],[1]INFO_LOCALES!$B:$J,9,0)</f>
        <v>CONVENIO</v>
      </c>
      <c r="P200" s="5" t="str">
        <f>IFERROR(VLOOKUP(I200,[1]INFO_LOCALES!$B:$F,5,FALSE),"")</f>
        <v>AGUAS DEL ALTIPLANO S.A.</v>
      </c>
      <c r="Q200" s="5" t="s">
        <v>78</v>
      </c>
      <c r="R200" s="5" t="s">
        <v>58</v>
      </c>
      <c r="S200" s="6">
        <v>45595</v>
      </c>
      <c r="T200" s="5" t="s">
        <v>156</v>
      </c>
      <c r="U200" s="6">
        <v>45453</v>
      </c>
      <c r="V200" s="5" t="s">
        <v>59</v>
      </c>
      <c r="W2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00" s="7">
        <f t="shared" si="7"/>
        <v>1</v>
      </c>
      <c r="Y200" s="5">
        <v>9</v>
      </c>
      <c r="Z200" s="5">
        <v>7.3</v>
      </c>
      <c r="AA200" s="5">
        <v>5</v>
      </c>
      <c r="AB200" s="5">
        <v>22.99</v>
      </c>
      <c r="AC200" s="5">
        <v>130</v>
      </c>
      <c r="AD200" s="5">
        <v>6.1</v>
      </c>
      <c r="AE200" s="5">
        <v>31.9</v>
      </c>
      <c r="AF200" s="5">
        <v>0.7</v>
      </c>
      <c r="AG200" s="5">
        <v>59</v>
      </c>
      <c r="AH200" s="5">
        <v>2.5</v>
      </c>
      <c r="AI200" s="5">
        <f t="shared" si="6"/>
        <v>75</v>
      </c>
      <c r="AZ200" s="8" t="s">
        <v>180</v>
      </c>
    </row>
    <row r="201" spans="1:52" x14ac:dyDescent="0.25">
      <c r="A201" s="5" t="s">
        <v>52</v>
      </c>
      <c r="B201" s="5" t="e">
        <v>#N/A</v>
      </c>
      <c r="C201" s="5" t="e">
        <v>#N/A</v>
      </c>
      <c r="F201" s="5" t="s">
        <v>55</v>
      </c>
      <c r="I201" s="5">
        <v>3557</v>
      </c>
      <c r="J201" s="5" t="str">
        <f>IFERROR(VLOOKUP(I201,[1]INFO_LOCALES!$B:$C,2,FALSE),"")</f>
        <v/>
      </c>
      <c r="K201" s="5" t="str">
        <f>IFERROR(VLOOKUP(Tabla2[[#This Row],[TIENDA]],[1]INFO_LOCALES!$B:$D,3,FALSE),"")</f>
        <v/>
      </c>
      <c r="L201" s="5" t="str">
        <f>IFERROR(VLOOKUP(I201,[1]INFO_LOCALES!$B:$I,8,FALSE),"")</f>
        <v/>
      </c>
      <c r="M201" s="5" t="str">
        <f>IFERROR(VLOOKUP(I201,[1]INFO_LOCALES!$B:$H,7,FALSE),"")</f>
        <v/>
      </c>
      <c r="N201" s="5" t="str">
        <f>IFERROR(VLOOKUP(I201,[1]INFO_LOCALES!$B:$E,4,FALSE),"")</f>
        <v/>
      </c>
      <c r="O201" s="5" t="e">
        <f>VLOOKUP(Tabla2[[#This Row],[TIENDA]],[1]INFO_LOCALES!$B:$J,9,0)</f>
        <v>#N/A</v>
      </c>
      <c r="P201" s="5" t="str">
        <f>IFERROR(VLOOKUP(I201,[1]INFO_LOCALES!$B:$F,5,FALSE),"")</f>
        <v/>
      </c>
      <c r="Q201" s="5" t="s">
        <v>85</v>
      </c>
      <c r="R201" s="5" t="s">
        <v>86</v>
      </c>
      <c r="S201" s="6" t="s">
        <v>87</v>
      </c>
      <c r="T201" s="5" t="s">
        <v>156</v>
      </c>
      <c r="U201" s="6">
        <v>45454</v>
      </c>
      <c r="V201" s="5" t="s">
        <v>59</v>
      </c>
      <c r="W2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01" s="7">
        <f t="shared" si="7"/>
        <v>2</v>
      </c>
      <c r="Y201" s="5">
        <v>45</v>
      </c>
      <c r="Z201" s="5">
        <v>6.77</v>
      </c>
      <c r="AA201" s="5">
        <v>3</v>
      </c>
      <c r="AB201" s="5">
        <v>12.81</v>
      </c>
      <c r="AC201" s="5">
        <v>305</v>
      </c>
      <c r="AD201" s="5">
        <v>8.66</v>
      </c>
      <c r="AE201" s="5">
        <v>20.8</v>
      </c>
      <c r="AF201" s="5">
        <v>15</v>
      </c>
      <c r="AG201" s="5">
        <v>236.7</v>
      </c>
      <c r="AH201" s="5">
        <v>3.1</v>
      </c>
      <c r="AI201" s="5">
        <f t="shared" si="6"/>
        <v>93</v>
      </c>
    </row>
    <row r="202" spans="1:52" x14ac:dyDescent="0.25">
      <c r="A202" s="5" t="s">
        <v>52</v>
      </c>
      <c r="B202" s="5" t="s">
        <v>90</v>
      </c>
      <c r="C202" s="5" t="s">
        <v>81</v>
      </c>
      <c r="F202" s="5" t="s">
        <v>55</v>
      </c>
      <c r="G202" s="5" t="s">
        <v>61</v>
      </c>
      <c r="H202" s="5" t="s">
        <v>57</v>
      </c>
      <c r="I202" s="5">
        <v>375</v>
      </c>
      <c r="J202" s="5" t="str">
        <f>IFERROR(VLOOKUP(I202,[1]INFO_LOCALES!$B:$C,2,FALSE),"")</f>
        <v>ARAUCO</v>
      </c>
      <c r="K202" s="5" t="str">
        <f>IFERROR(VLOOKUP(Tabla2[[#This Row],[TIENDA]],[1]INFO_LOCALES!$B:$D,3,FALSE),"")</f>
        <v>XIV - Los Ríos</v>
      </c>
      <c r="L202" s="5" t="str">
        <f>IFERROR(VLOOKUP(I202,[1]INFO_LOCALES!$B:$I,8,FALSE),"")</f>
        <v>Valdivia</v>
      </c>
      <c r="M202" s="5" t="str">
        <f>IFERROR(VLOOKUP(I202,[1]INFO_LOCALES!$B:$H,7,FALSE),"")</f>
        <v>Arauco 697</v>
      </c>
      <c r="N202" s="5">
        <f>IFERROR(VLOOKUP(I202,[1]INFO_LOCALES!$B:$E,4,FALSE),"")</f>
        <v>3420</v>
      </c>
      <c r="O202" s="5" t="str">
        <f>VLOOKUP(Tabla2[[#This Row],[TIENDA]],[1]INFO_LOCALES!$B:$J,9,0)</f>
        <v>CONVENIO</v>
      </c>
      <c r="P202" s="5" t="str">
        <f>IFERROR(VLOOKUP(I202,[1]INFO_LOCALES!$B:$F,5,FALSE),"")</f>
        <v>AGUAS DECIMA S A</v>
      </c>
      <c r="Q202" s="5" t="s">
        <v>85</v>
      </c>
      <c r="R202" s="5" t="s">
        <v>86</v>
      </c>
      <c r="S202" s="6" t="s">
        <v>87</v>
      </c>
      <c r="T202" s="5" t="s">
        <v>156</v>
      </c>
      <c r="U202" s="6">
        <v>45454</v>
      </c>
      <c r="V202" s="5" t="s">
        <v>59</v>
      </c>
      <c r="W2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02" s="7">
        <f t="shared" si="7"/>
        <v>2</v>
      </c>
      <c r="Y202" s="5">
        <v>22.9</v>
      </c>
      <c r="Z202" s="5">
        <v>6.7</v>
      </c>
      <c r="AA202" s="5">
        <v>10</v>
      </c>
      <c r="AB202" s="5">
        <v>13.9</v>
      </c>
      <c r="AC202" s="5">
        <v>213</v>
      </c>
      <c r="AD202" s="5">
        <v>12.5</v>
      </c>
      <c r="AE202" s="5">
        <v>48.4</v>
      </c>
      <c r="AF202" s="5">
        <v>26</v>
      </c>
      <c r="AG202" s="5">
        <v>285.60000000000002</v>
      </c>
      <c r="AH202" s="5">
        <v>13</v>
      </c>
      <c r="AI202" s="5">
        <f t="shared" si="6"/>
        <v>390</v>
      </c>
      <c r="AZ202" s="8" t="s">
        <v>181</v>
      </c>
    </row>
    <row r="203" spans="1:52" x14ac:dyDescent="0.25">
      <c r="A203" s="5" t="s">
        <v>52</v>
      </c>
      <c r="B203" s="5" t="s">
        <v>90</v>
      </c>
      <c r="C203" s="5" t="s">
        <v>81</v>
      </c>
      <c r="F203" s="5" t="s">
        <v>55</v>
      </c>
      <c r="G203" s="5" t="s">
        <v>61</v>
      </c>
      <c r="H203" s="5" t="s">
        <v>57</v>
      </c>
      <c r="I203" s="5">
        <v>375</v>
      </c>
      <c r="J203" s="5" t="str">
        <f>IFERROR(VLOOKUP(I203,[1]INFO_LOCALES!$B:$C,2,FALSE),"")</f>
        <v>ARAUCO</v>
      </c>
      <c r="K203" s="5" t="str">
        <f>IFERROR(VLOOKUP(Tabla2[[#This Row],[TIENDA]],[1]INFO_LOCALES!$B:$D,3,FALSE),"")</f>
        <v>XIV - Los Ríos</v>
      </c>
      <c r="L203" s="5" t="str">
        <f>IFERROR(VLOOKUP(I203,[1]INFO_LOCALES!$B:$I,8,FALSE),"")</f>
        <v>Valdivia</v>
      </c>
      <c r="M203" s="5" t="str">
        <f>IFERROR(VLOOKUP(I203,[1]INFO_LOCALES!$B:$H,7,FALSE),"")</f>
        <v>Arauco 697</v>
      </c>
      <c r="N203" s="5">
        <f>IFERROR(VLOOKUP(I203,[1]INFO_LOCALES!$B:$E,4,FALSE),"")</f>
        <v>3420</v>
      </c>
      <c r="O203" s="5" t="str">
        <f>VLOOKUP(Tabla2[[#This Row],[TIENDA]],[1]INFO_LOCALES!$B:$J,9,0)</f>
        <v>CONVENIO</v>
      </c>
      <c r="P203" s="5" t="str">
        <f>IFERROR(VLOOKUP(I203,[1]INFO_LOCALES!$B:$F,5,FALSE),"")</f>
        <v>AGUAS DECIMA S A</v>
      </c>
      <c r="Q203" s="5" t="s">
        <v>85</v>
      </c>
      <c r="R203" s="5" t="s">
        <v>86</v>
      </c>
      <c r="S203" s="6" t="s">
        <v>87</v>
      </c>
      <c r="T203" s="5" t="s">
        <v>156</v>
      </c>
      <c r="U203" s="6">
        <v>45454</v>
      </c>
      <c r="V203" s="5" t="s">
        <v>59</v>
      </c>
      <c r="W2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03" s="7">
        <f t="shared" si="7"/>
        <v>2</v>
      </c>
      <c r="Y203" s="5">
        <v>30</v>
      </c>
      <c r="Z203" s="5">
        <v>6.7</v>
      </c>
      <c r="AA203" s="5">
        <v>8</v>
      </c>
      <c r="AB203" s="5">
        <v>14.4</v>
      </c>
      <c r="AC203" s="5">
        <v>248</v>
      </c>
      <c r="AD203" s="5">
        <v>11.2</v>
      </c>
      <c r="AE203" s="5">
        <v>47.6</v>
      </c>
      <c r="AF203" s="5">
        <v>2</v>
      </c>
      <c r="AG203" s="5">
        <v>138</v>
      </c>
      <c r="AH203" s="5">
        <v>13</v>
      </c>
      <c r="AI203" s="5">
        <f t="shared" si="6"/>
        <v>390</v>
      </c>
    </row>
    <row r="204" spans="1:52" x14ac:dyDescent="0.25">
      <c r="A204" s="5" t="s">
        <v>52</v>
      </c>
      <c r="B204" s="5" t="s">
        <v>90</v>
      </c>
      <c r="C204" s="5" t="s">
        <v>81</v>
      </c>
      <c r="F204" s="5" t="s">
        <v>55</v>
      </c>
      <c r="G204" s="5" t="s">
        <v>61</v>
      </c>
      <c r="H204" s="5" t="s">
        <v>57</v>
      </c>
      <c r="I204" s="5">
        <v>777</v>
      </c>
      <c r="J204" s="5" t="str">
        <f>IFERROR(VLOOKUP(I204,[1]INFO_LOCALES!$B:$C,2,FALSE),"")</f>
        <v>CENTRAL</v>
      </c>
      <c r="K204" s="5" t="str">
        <f>IFERROR(VLOOKUP(Tabla2[[#This Row],[TIENDA]],[1]INFO_LOCALES!$B:$D,3,FALSE),"")</f>
        <v>X - Los Lagos</v>
      </c>
      <c r="L204" s="5" t="str">
        <f>IFERROR(VLOOKUP(I204,[1]INFO_LOCALES!$B:$I,8,FALSE),"")</f>
        <v>Osorno</v>
      </c>
      <c r="M204" s="5" t="str">
        <f>IFERROR(VLOOKUP(I204,[1]INFO_LOCALES!$B:$H,7,FALSE),"")</f>
        <v>Patricio Lynch 1278</v>
      </c>
      <c r="N204" s="5">
        <f>IFERROR(VLOOKUP(I204,[1]INFO_LOCALES!$B:$E,4,FALSE),"")</f>
        <v>3684</v>
      </c>
      <c r="O204" s="5" t="str">
        <f>VLOOKUP(Tabla2[[#This Row],[TIENDA]],[1]INFO_LOCALES!$B:$J,9,0)</f>
        <v>CONVENIO</v>
      </c>
      <c r="P204" s="5" t="str">
        <f>IFERROR(VLOOKUP(I204,[1]INFO_LOCALES!$B:$F,5,FALSE),"")</f>
        <v>SURALIS</v>
      </c>
      <c r="Q204" s="5" t="s">
        <v>105</v>
      </c>
      <c r="R204" s="5" t="s">
        <v>58</v>
      </c>
      <c r="S204" s="6">
        <v>45504</v>
      </c>
      <c r="T204" s="5" t="s">
        <v>156</v>
      </c>
      <c r="U204" s="6">
        <v>45454</v>
      </c>
      <c r="V204" s="5" t="s">
        <v>59</v>
      </c>
      <c r="W2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04" s="7">
        <f t="shared" si="7"/>
        <v>1</v>
      </c>
      <c r="Y204" s="5">
        <v>14</v>
      </c>
      <c r="Z204" s="5">
        <v>6.76</v>
      </c>
      <c r="AA204" s="5">
        <v>2</v>
      </c>
      <c r="AB204" s="5">
        <v>14.8</v>
      </c>
      <c r="AC204" s="5">
        <v>73</v>
      </c>
      <c r="AD204" s="5">
        <v>1.6</v>
      </c>
      <c r="AE204" s="5">
        <v>0.1</v>
      </c>
      <c r="AF204" s="5">
        <v>0.5</v>
      </c>
      <c r="AG204" s="5">
        <v>63</v>
      </c>
      <c r="AH204" s="5">
        <v>7.3</v>
      </c>
      <c r="AI204" s="5">
        <f t="shared" si="6"/>
        <v>219</v>
      </c>
      <c r="AZ204" s="8" t="s">
        <v>182</v>
      </c>
    </row>
    <row r="205" spans="1:52" x14ac:dyDescent="0.25">
      <c r="A205" s="5" t="s">
        <v>52</v>
      </c>
      <c r="B205" s="5" t="s">
        <v>90</v>
      </c>
      <c r="C205" s="5" t="s">
        <v>81</v>
      </c>
      <c r="F205" s="5" t="s">
        <v>55</v>
      </c>
      <c r="G205" s="5" t="s">
        <v>61</v>
      </c>
      <c r="H205" s="5" t="s">
        <v>57</v>
      </c>
      <c r="I205" s="5">
        <v>778</v>
      </c>
      <c r="J205" s="5" t="str">
        <f>IFERROR(VLOOKUP(I205,[1]INFO_LOCALES!$B:$C,2,FALSE),"")</f>
        <v>ORIENTE</v>
      </c>
      <c r="K205" s="5" t="str">
        <f>IFERROR(VLOOKUP(Tabla2[[#This Row],[TIENDA]],[1]INFO_LOCALES!$B:$D,3,FALSE),"")</f>
        <v>X - Los Lagos</v>
      </c>
      <c r="L205" s="5" t="str">
        <f>IFERROR(VLOOKUP(I205,[1]INFO_LOCALES!$B:$I,8,FALSE),"")</f>
        <v>Osorno</v>
      </c>
      <c r="M205" s="5" t="str">
        <f>IFERROR(VLOOKUP(I205,[1]INFO_LOCALES!$B:$H,7,FALSE),"")</f>
        <v>Julio Buschman 2223</v>
      </c>
      <c r="N205" s="5">
        <f>IFERROR(VLOOKUP(I205,[1]INFO_LOCALES!$B:$E,4,FALSE),"")</f>
        <v>2867</v>
      </c>
      <c r="O205" s="5" t="str">
        <f>VLOOKUP(Tabla2[[#This Row],[TIENDA]],[1]INFO_LOCALES!$B:$J,9,0)</f>
        <v>CONVENIO</v>
      </c>
      <c r="P205" s="5" t="str">
        <f>IFERROR(VLOOKUP(I205,[1]INFO_LOCALES!$B:$F,5,FALSE),"")</f>
        <v>SURALIS</v>
      </c>
      <c r="Q205" s="5" t="s">
        <v>105</v>
      </c>
      <c r="R205" s="5" t="s">
        <v>58</v>
      </c>
      <c r="S205" s="6">
        <v>45504</v>
      </c>
      <c r="T205" s="5" t="s">
        <v>156</v>
      </c>
      <c r="U205" s="6">
        <v>45454</v>
      </c>
      <c r="V205" s="5" t="s">
        <v>59</v>
      </c>
      <c r="W2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05" s="7">
        <f t="shared" si="7"/>
        <v>1</v>
      </c>
      <c r="Y205" s="5">
        <v>14</v>
      </c>
      <c r="Z205" s="5">
        <v>7.06</v>
      </c>
      <c r="AA205" s="5">
        <v>2</v>
      </c>
      <c r="AB205" s="5">
        <v>17.8</v>
      </c>
      <c r="AC205" s="5">
        <v>51</v>
      </c>
      <c r="AD205" s="5">
        <v>1.8</v>
      </c>
      <c r="AE205" s="5">
        <v>13.96</v>
      </c>
      <c r="AF205" s="5">
        <v>1.5</v>
      </c>
      <c r="AG205" s="5">
        <v>31</v>
      </c>
      <c r="AH205" s="5">
        <v>11.7</v>
      </c>
      <c r="AI205" s="5">
        <f t="shared" si="6"/>
        <v>351</v>
      </c>
      <c r="AZ205" s="8" t="s">
        <v>183</v>
      </c>
    </row>
    <row r="206" spans="1:52" x14ac:dyDescent="0.25">
      <c r="A206" s="5" t="s">
        <v>52</v>
      </c>
      <c r="B206" s="5" t="s">
        <v>116</v>
      </c>
      <c r="C206" s="5" t="s">
        <v>70</v>
      </c>
      <c r="F206" s="5" t="s">
        <v>55</v>
      </c>
      <c r="G206" s="5" t="s">
        <v>65</v>
      </c>
      <c r="H206" s="5" t="s">
        <v>57</v>
      </c>
      <c r="I206" s="5">
        <v>445</v>
      </c>
      <c r="J206" s="5" t="str">
        <f>IFERROR(VLOOKUP(I206,[1]INFO_LOCALES!$B:$C,2,FALSE),"")</f>
        <v>VILLA ALEMANA</v>
      </c>
      <c r="K206" s="5" t="str">
        <f>IFERROR(VLOOKUP(Tabla2[[#This Row],[TIENDA]],[1]INFO_LOCALES!$B:$D,3,FALSE),"")</f>
        <v>V - Valparaiso</v>
      </c>
      <c r="L206" s="5" t="str">
        <f>IFERROR(VLOOKUP(I206,[1]INFO_LOCALES!$B:$I,8,FALSE),"")</f>
        <v>Villa Alemana</v>
      </c>
      <c r="M206" s="5" t="str">
        <f>IFERROR(VLOOKUP(I206,[1]INFO_LOCALES!$B:$H,7,FALSE),"")</f>
        <v>Av. Valparaiso 1982</v>
      </c>
      <c r="N206" s="5">
        <f>IFERROR(VLOOKUP(I206,[1]INFO_LOCALES!$B:$E,4,FALSE),"")</f>
        <v>0</v>
      </c>
      <c r="O206" s="5" t="str">
        <f>VLOOKUP(Tabla2[[#This Row],[TIENDA]],[1]INFO_LOCALES!$B:$J,9,0)</f>
        <v>SIN CONVENIO</v>
      </c>
      <c r="P206" s="5" t="str">
        <f>IFERROR(VLOOKUP(I206,[1]INFO_LOCALES!$B:$F,5,FALSE),"")</f>
        <v>ESVAL S.A.</v>
      </c>
      <c r="Q206" s="5" t="s">
        <v>66</v>
      </c>
      <c r="R206" s="5" t="s">
        <v>58</v>
      </c>
      <c r="S206" s="6">
        <v>45548</v>
      </c>
      <c r="T206" s="5" t="s">
        <v>156</v>
      </c>
      <c r="U206" s="6">
        <v>45454</v>
      </c>
      <c r="V206" s="5" t="s">
        <v>59</v>
      </c>
      <c r="W2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06" s="7">
        <f t="shared" si="7"/>
        <v>2</v>
      </c>
      <c r="Y206" s="5">
        <v>13.68</v>
      </c>
      <c r="Z206" s="5">
        <v>7.55</v>
      </c>
      <c r="AA206" s="5">
        <v>9.6999999999999993</v>
      </c>
      <c r="AB206" s="5">
        <v>17.100000000000001</v>
      </c>
      <c r="AC206" s="5">
        <v>27</v>
      </c>
      <c r="AD206" s="5">
        <v>1.46</v>
      </c>
      <c r="AE206" s="5">
        <v>21.1</v>
      </c>
      <c r="AF206" s="5">
        <v>1</v>
      </c>
      <c r="AG206" s="5">
        <v>93.33</v>
      </c>
      <c r="AH206" s="5">
        <v>7.05</v>
      </c>
      <c r="AI206" s="5">
        <f t="shared" si="6"/>
        <v>211.5</v>
      </c>
    </row>
    <row r="207" spans="1:52" x14ac:dyDescent="0.25">
      <c r="A207" s="5" t="s">
        <v>52</v>
      </c>
      <c r="B207" s="5" t="s">
        <v>93</v>
      </c>
      <c r="C207" s="5" t="s">
        <v>81</v>
      </c>
      <c r="F207" s="5" t="s">
        <v>55</v>
      </c>
      <c r="G207" s="5" t="s">
        <v>61</v>
      </c>
      <c r="H207" s="5" t="s">
        <v>57</v>
      </c>
      <c r="I207" s="5">
        <v>576</v>
      </c>
      <c r="J207" s="5" t="str">
        <f>IFERROR(VLOOKUP(I207,[1]INFO_LOCALES!$B:$C,2,FALSE),"")</f>
        <v>CASTRO I</v>
      </c>
      <c r="K207" s="5" t="str">
        <f>IFERROR(VLOOKUP(Tabla2[[#This Row],[TIENDA]],[1]INFO_LOCALES!$B:$D,3,FALSE),"")</f>
        <v>X - Los Lagos</v>
      </c>
      <c r="L207" s="5" t="str">
        <f>IFERROR(VLOOKUP(I207,[1]INFO_LOCALES!$B:$I,8,FALSE),"")</f>
        <v>Castro</v>
      </c>
      <c r="M207" s="5" t="str">
        <f>IFERROR(VLOOKUP(I207,[1]INFO_LOCALES!$B:$H,7,FALSE),"")</f>
        <v>O'Higgins 711</v>
      </c>
      <c r="N207" s="5">
        <f>IFERROR(VLOOKUP(I207,[1]INFO_LOCALES!$B:$E,4,FALSE),"")</f>
        <v>3875</v>
      </c>
      <c r="O207" s="5" t="str">
        <f>VLOOKUP(Tabla2[[#This Row],[TIENDA]],[1]INFO_LOCALES!$B:$J,9,0)</f>
        <v>SIN CONVENIO</v>
      </c>
      <c r="P207" s="5" t="str">
        <f>IFERROR(VLOOKUP(I207,[1]INFO_LOCALES!$B:$F,5,FALSE),"")</f>
        <v>SURALIS</v>
      </c>
      <c r="Q207" s="5" t="s">
        <v>85</v>
      </c>
      <c r="R207" s="5" t="s">
        <v>86</v>
      </c>
      <c r="S207" s="6" t="s">
        <v>87</v>
      </c>
      <c r="T207" s="5" t="s">
        <v>156</v>
      </c>
      <c r="U207" s="6">
        <v>45455</v>
      </c>
      <c r="V207" s="5" t="s">
        <v>59</v>
      </c>
      <c r="W2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07" s="7">
        <f t="shared" si="7"/>
        <v>1</v>
      </c>
      <c r="Y207" s="5">
        <v>21.8</v>
      </c>
      <c r="Z207" s="5">
        <v>7.89</v>
      </c>
      <c r="AA207" s="5">
        <v>2</v>
      </c>
      <c r="AB207" s="5">
        <v>10.8</v>
      </c>
      <c r="AC207" s="5">
        <v>239</v>
      </c>
      <c r="AD207" s="5">
        <v>15</v>
      </c>
      <c r="AE207" s="5">
        <v>46.3</v>
      </c>
      <c r="AF207" s="5">
        <v>1.2</v>
      </c>
      <c r="AG207" s="5">
        <v>102</v>
      </c>
      <c r="AH207" s="5">
        <v>6.6</v>
      </c>
      <c r="AI207" s="5">
        <f t="shared" si="6"/>
        <v>198</v>
      </c>
    </row>
    <row r="208" spans="1:52" x14ac:dyDescent="0.25">
      <c r="A208" s="5" t="s">
        <v>52</v>
      </c>
      <c r="B208" s="5" t="s">
        <v>128</v>
      </c>
      <c r="C208" s="5" t="s">
        <v>77</v>
      </c>
      <c r="F208" s="5" t="s">
        <v>55</v>
      </c>
      <c r="G208" s="5" t="s">
        <v>61</v>
      </c>
      <c r="H208" s="5" t="s">
        <v>57</v>
      </c>
      <c r="I208" s="5">
        <v>17</v>
      </c>
      <c r="J208" s="5" t="str">
        <f>IFERROR(VLOOKUP(I208,[1]INFO_LOCALES!$B:$C,2,FALSE),"")</f>
        <v>LOS ALAMOS</v>
      </c>
      <c r="K208" s="5" t="str">
        <f>IFERROR(VLOOKUP(Tabla2[[#This Row],[TIENDA]],[1]INFO_LOCALES!$B:$D,3,FALSE),"")</f>
        <v>IV - Coquimbo</v>
      </c>
      <c r="L208" s="5" t="str">
        <f>IFERROR(VLOOKUP(I208,[1]INFO_LOCALES!$B:$I,8,FALSE),"")</f>
        <v>Coquimbo</v>
      </c>
      <c r="M208" s="5" t="str">
        <f>IFERROR(VLOOKUP(I208,[1]INFO_LOCALES!$B:$H,7,FALSE),"")</f>
        <v>Los Alamos 580</v>
      </c>
      <c r="N208" s="5">
        <f>IFERROR(VLOOKUP(I208,[1]INFO_LOCALES!$B:$E,4,FALSE),"")</f>
        <v>2643</v>
      </c>
      <c r="O208" s="5" t="str">
        <f>VLOOKUP(Tabla2[[#This Row],[TIENDA]],[1]INFO_LOCALES!$B:$J,9,0)</f>
        <v>TERMINADO</v>
      </c>
      <c r="P208" s="5" t="str">
        <f>IFERROR(VLOOKUP(I208,[1]INFO_LOCALES!$B:$F,5,FALSE),"")</f>
        <v>AGUAS DEL VALLE S A</v>
      </c>
      <c r="Q208" s="5" t="s">
        <v>85</v>
      </c>
      <c r="R208" s="5" t="s">
        <v>86</v>
      </c>
      <c r="S208" s="6" t="s">
        <v>87</v>
      </c>
      <c r="T208" s="5" t="s">
        <v>156</v>
      </c>
      <c r="U208" s="6">
        <v>45455</v>
      </c>
      <c r="V208" s="5" t="s">
        <v>59</v>
      </c>
      <c r="W2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08" s="7">
        <f t="shared" si="7"/>
        <v>2</v>
      </c>
      <c r="Y208" s="5">
        <v>10.7</v>
      </c>
      <c r="Z208" s="5">
        <v>7.9</v>
      </c>
      <c r="AA208" s="5">
        <v>13</v>
      </c>
      <c r="AB208" s="5">
        <v>16.8</v>
      </c>
      <c r="AC208" s="5">
        <v>122</v>
      </c>
      <c r="AD208" s="5">
        <v>4.4000000000000004</v>
      </c>
      <c r="AE208" s="5">
        <v>14.5</v>
      </c>
      <c r="AF208" s="5">
        <v>0.5</v>
      </c>
      <c r="AG208" s="5">
        <v>33</v>
      </c>
      <c r="AH208" s="5">
        <v>23.5</v>
      </c>
      <c r="AI208" s="5">
        <f t="shared" si="6"/>
        <v>705</v>
      </c>
    </row>
    <row r="209" spans="1:52" x14ac:dyDescent="0.25">
      <c r="A209" s="5" t="s">
        <v>52</v>
      </c>
      <c r="B209" s="5" t="s">
        <v>149</v>
      </c>
      <c r="C209" s="5" t="s">
        <v>81</v>
      </c>
      <c r="F209" s="5" t="s">
        <v>55</v>
      </c>
      <c r="G209" s="5" t="s">
        <v>61</v>
      </c>
      <c r="H209" s="5" t="s">
        <v>57</v>
      </c>
      <c r="I209" s="5">
        <v>771</v>
      </c>
      <c r="J209" s="5" t="str">
        <f>IFERROR(VLOOKUP(I209,[1]INFO_LOCALES!$B:$C,2,FALSE),"")</f>
        <v>MIRASOL</v>
      </c>
      <c r="K209" s="5" t="str">
        <f>IFERROR(VLOOKUP(Tabla2[[#This Row],[TIENDA]],[1]INFO_LOCALES!$B:$D,3,FALSE),"")</f>
        <v>X - Los Lagos</v>
      </c>
      <c r="L209" s="5" t="str">
        <f>IFERROR(VLOOKUP(I209,[1]INFO_LOCALES!$B:$I,8,FALSE),"")</f>
        <v>Puerto Montt</v>
      </c>
      <c r="M209" s="5" t="str">
        <f>IFERROR(VLOOKUP(I209,[1]INFO_LOCALES!$B:$H,7,FALSE),"")</f>
        <v>Av. La Cruz 2006</v>
      </c>
      <c r="N209" s="5">
        <f>IFERROR(VLOOKUP(I209,[1]INFO_LOCALES!$B:$E,4,FALSE),"")</f>
        <v>3723</v>
      </c>
      <c r="O209" s="5" t="str">
        <f>VLOOKUP(Tabla2[[#This Row],[TIENDA]],[1]INFO_LOCALES!$B:$J,9,0)</f>
        <v>SIN CONVENIO</v>
      </c>
      <c r="P209" s="5" t="str">
        <f>IFERROR(VLOOKUP(I209,[1]INFO_LOCALES!$B:$F,5,FALSE),"")</f>
        <v>SURALIS</v>
      </c>
      <c r="Q209" s="5" t="s">
        <v>85</v>
      </c>
      <c r="R209" s="5" t="s">
        <v>86</v>
      </c>
      <c r="S209" s="6" t="s">
        <v>87</v>
      </c>
      <c r="T209" s="5" t="s">
        <v>156</v>
      </c>
      <c r="U209" s="6">
        <v>45456</v>
      </c>
      <c r="V209" s="5" t="s">
        <v>59</v>
      </c>
      <c r="W2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09" s="7">
        <f t="shared" si="7"/>
        <v>1</v>
      </c>
      <c r="Y209" s="5">
        <v>61</v>
      </c>
      <c r="Z209" s="5">
        <v>7.09</v>
      </c>
      <c r="AA209" s="5">
        <v>2</v>
      </c>
      <c r="AB209" s="5">
        <v>14.7</v>
      </c>
      <c r="AC209" s="5">
        <v>135</v>
      </c>
      <c r="AD209" s="5">
        <v>2.64</v>
      </c>
      <c r="AE209" s="5">
        <v>18.2</v>
      </c>
      <c r="AF209" s="5">
        <v>2</v>
      </c>
      <c r="AG209" s="5">
        <v>167</v>
      </c>
      <c r="AH209" s="10"/>
      <c r="AI209" s="10">
        <f t="shared" si="6"/>
        <v>0</v>
      </c>
    </row>
    <row r="210" spans="1:52" ht="15.75" customHeight="1" x14ac:dyDescent="0.25">
      <c r="A210" s="5" t="s">
        <v>52</v>
      </c>
      <c r="B210" s="5" t="s">
        <v>82</v>
      </c>
      <c r="C210" s="5" t="s">
        <v>77</v>
      </c>
      <c r="F210" s="5" t="s">
        <v>55</v>
      </c>
      <c r="G210" s="5" t="s">
        <v>61</v>
      </c>
      <c r="H210" s="5" t="s">
        <v>57</v>
      </c>
      <c r="I210" s="5">
        <v>25</v>
      </c>
      <c r="J210" s="5" t="str">
        <f>IFERROR(VLOOKUP(I210,[1]INFO_LOCALES!$B:$C,2,FALSE),"")</f>
        <v>EL PALOMAR</v>
      </c>
      <c r="K210" s="5" t="str">
        <f>IFERROR(VLOOKUP(Tabla2[[#This Row],[TIENDA]],[1]INFO_LOCALES!$B:$D,3,FALSE),"")</f>
        <v>III - Atacama</v>
      </c>
      <c r="L210" s="5" t="str">
        <f>IFERROR(VLOOKUP(I210,[1]INFO_LOCALES!$B:$I,8,FALSE),"")</f>
        <v>Copiapó</v>
      </c>
      <c r="M210" s="5" t="str">
        <f>IFERROR(VLOOKUP(I210,[1]INFO_LOCALES!$B:$H,7,FALSE),"")</f>
        <v>Av. Palomar 1525</v>
      </c>
      <c r="N210" s="5">
        <f>IFERROR(VLOOKUP(I210,[1]INFO_LOCALES!$B:$E,4,FALSE),"")</f>
        <v>3868</v>
      </c>
      <c r="O210" s="5" t="str">
        <f>VLOOKUP(Tabla2[[#This Row],[TIENDA]],[1]INFO_LOCALES!$B:$J,9,0)</f>
        <v>TERMINADO</v>
      </c>
      <c r="P210" s="5" t="str">
        <f>IFERROR(VLOOKUP(I210,[1]INFO_LOCALES!$B:$F,5,FALSE),"")</f>
        <v>NUEVA ATACAMA</v>
      </c>
      <c r="Q210" s="5" t="s">
        <v>85</v>
      </c>
      <c r="R210" s="5" t="s">
        <v>86</v>
      </c>
      <c r="S210" s="6" t="s">
        <v>87</v>
      </c>
      <c r="T210" s="5" t="s">
        <v>156</v>
      </c>
      <c r="U210" s="6">
        <v>45456</v>
      </c>
      <c r="V210" s="5" t="s">
        <v>59</v>
      </c>
      <c r="W2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10" s="7">
        <f t="shared" si="7"/>
        <v>1</v>
      </c>
      <c r="Y210" s="5">
        <v>26.1</v>
      </c>
      <c r="Z210" s="5">
        <v>7.8</v>
      </c>
      <c r="AA210" s="5">
        <v>2</v>
      </c>
      <c r="AB210" s="5">
        <v>19.239999999999998</v>
      </c>
      <c r="AC210" s="5">
        <v>104</v>
      </c>
      <c r="AD210" s="5">
        <v>5.9</v>
      </c>
      <c r="AE210" s="5">
        <v>20.309999999999999</v>
      </c>
      <c r="AF210" s="5">
        <v>0.5</v>
      </c>
      <c r="AG210" s="5">
        <v>50</v>
      </c>
      <c r="AH210" s="5">
        <v>8.3000000000000007</v>
      </c>
      <c r="AI210" s="5">
        <f t="shared" si="6"/>
        <v>249.00000000000003</v>
      </c>
    </row>
    <row r="211" spans="1:52" x14ac:dyDescent="0.25">
      <c r="A211" s="5" t="s">
        <v>60</v>
      </c>
      <c r="B211" s="5" t="e">
        <v>#N/A</v>
      </c>
      <c r="C211" s="5" t="e">
        <v>#N/A</v>
      </c>
      <c r="F211" s="5" t="s">
        <v>55</v>
      </c>
      <c r="G211" s="5" t="s">
        <v>61</v>
      </c>
      <c r="H211" s="5" t="s">
        <v>57</v>
      </c>
      <c r="I211" s="5">
        <v>3014</v>
      </c>
      <c r="J211" s="5" t="str">
        <f>IFERROR(VLOOKUP(I211,[1]INFO_LOCALES!$B:$C,2,FALSE),"")</f>
        <v>M10 SAN FERNANDO</v>
      </c>
      <c r="K211" s="5" t="str">
        <f>IFERROR(VLOOKUP(Tabla2[[#This Row],[TIENDA]],[1]INFO_LOCALES!$B:$D,3,FALSE),"")</f>
        <v>VI - O'Higgins</v>
      </c>
      <c r="L211" s="5" t="str">
        <f>IFERROR(VLOOKUP(I211,[1]INFO_LOCALES!$B:$I,8,FALSE),"")</f>
        <v>San Fernando</v>
      </c>
      <c r="M211" s="5" t="str">
        <f>IFERROR(VLOOKUP(I211,[1]INFO_LOCALES!$B:$H,7,FALSE),"")</f>
        <v>Chillan 745</v>
      </c>
      <c r="N211" s="5">
        <f>IFERROR(VLOOKUP(I211,[1]INFO_LOCALES!$B:$E,4,FALSE),"")</f>
        <v>1298</v>
      </c>
      <c r="O211" s="5" t="str">
        <f>VLOOKUP(Tabla2[[#This Row],[TIENDA]],[1]INFO_LOCALES!$B:$J,9,0)</f>
        <v>TERMINADO</v>
      </c>
      <c r="P211" s="5" t="str">
        <f>IFERROR(VLOOKUP(I211,[1]INFO_LOCALES!$B:$F,5,FALSE),"")</f>
        <v>ESSBIO S.A.</v>
      </c>
      <c r="Q211" s="5" t="s">
        <v>85</v>
      </c>
      <c r="R211" s="5" t="s">
        <v>86</v>
      </c>
      <c r="S211" s="6" t="s">
        <v>87</v>
      </c>
      <c r="T211" s="5" t="s">
        <v>156</v>
      </c>
      <c r="U211" s="6">
        <v>45460</v>
      </c>
      <c r="V211" s="5" t="s">
        <v>59</v>
      </c>
      <c r="W2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11" s="7">
        <f t="shared" si="7"/>
        <v>2</v>
      </c>
      <c r="Y211" s="5">
        <v>84.1</v>
      </c>
      <c r="Z211" s="5">
        <v>6.9</v>
      </c>
      <c r="AA211" s="5">
        <v>5</v>
      </c>
      <c r="AB211" s="5">
        <v>14.2</v>
      </c>
      <c r="AC211" s="5">
        <v>443</v>
      </c>
      <c r="AD211" s="5">
        <v>14</v>
      </c>
      <c r="AE211" s="5">
        <v>30.2</v>
      </c>
      <c r="AF211" s="5">
        <v>5.5</v>
      </c>
      <c r="AG211" s="5">
        <v>285</v>
      </c>
      <c r="AH211" s="5">
        <v>4.0999999999999996</v>
      </c>
      <c r="AI211" s="5">
        <f t="shared" si="6"/>
        <v>122.99999999999999</v>
      </c>
    </row>
    <row r="212" spans="1:52" x14ac:dyDescent="0.25">
      <c r="A212" s="5" t="s">
        <v>52</v>
      </c>
      <c r="B212" s="5" t="s">
        <v>90</v>
      </c>
      <c r="C212" s="5" t="s">
        <v>81</v>
      </c>
      <c r="F212" s="5" t="s">
        <v>55</v>
      </c>
      <c r="G212" s="5" t="s">
        <v>61</v>
      </c>
      <c r="H212" s="5" t="s">
        <v>57</v>
      </c>
      <c r="I212" s="5">
        <v>780</v>
      </c>
      <c r="J212" s="5" t="str">
        <f>IFERROR(VLOOKUP(I212,[1]INFO_LOCALES!$B:$C,2,FALSE),"")</f>
        <v>VICTORIA</v>
      </c>
      <c r="K212" s="5" t="str">
        <f>IFERROR(VLOOKUP(Tabla2[[#This Row],[TIENDA]],[1]INFO_LOCALES!$B:$D,3,FALSE),"")</f>
        <v>X - Los Lagos</v>
      </c>
      <c r="L212" s="5" t="str">
        <f>IFERROR(VLOOKUP(I212,[1]INFO_LOCALES!$B:$I,8,FALSE),"")</f>
        <v>Osorno</v>
      </c>
      <c r="M212" s="5" t="str">
        <f>IFERROR(VLOOKUP(I212,[1]INFO_LOCALES!$B:$H,7,FALSE),"")</f>
        <v>Victoria 367 Rahue Bajo</v>
      </c>
      <c r="N212" s="5">
        <f>IFERROR(VLOOKUP(I212,[1]INFO_LOCALES!$B:$E,4,FALSE),"")</f>
        <v>1362</v>
      </c>
      <c r="O212" s="5" t="str">
        <f>VLOOKUP(Tabla2[[#This Row],[TIENDA]],[1]INFO_LOCALES!$B:$J,9,0)</f>
        <v>SIN CONVENIO</v>
      </c>
      <c r="P212" s="5" t="str">
        <f>IFERROR(VLOOKUP(I212,[1]INFO_LOCALES!$B:$F,5,FALSE),"")</f>
        <v>SURALIS</v>
      </c>
      <c r="Q212" s="5" t="s">
        <v>85</v>
      </c>
      <c r="R212" s="5" t="s">
        <v>86</v>
      </c>
      <c r="S212" s="6" t="s">
        <v>87</v>
      </c>
      <c r="T212" s="5" t="s">
        <v>156</v>
      </c>
      <c r="U212" s="6">
        <v>45460</v>
      </c>
      <c r="V212" s="5" t="s">
        <v>59</v>
      </c>
      <c r="W2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12" s="7">
        <f t="shared" si="7"/>
        <v>3</v>
      </c>
      <c r="Y212" s="5">
        <v>28.8</v>
      </c>
      <c r="Z212" s="5">
        <v>6.63</v>
      </c>
      <c r="AA212" s="5">
        <v>26</v>
      </c>
      <c r="AB212" s="5">
        <v>12.9</v>
      </c>
      <c r="AC212" s="5">
        <v>152</v>
      </c>
      <c r="AD212" s="5">
        <v>7.36</v>
      </c>
      <c r="AE212" s="5">
        <v>15.4</v>
      </c>
      <c r="AF212" s="5">
        <v>2</v>
      </c>
      <c r="AG212" s="5">
        <v>206</v>
      </c>
      <c r="AH212" s="5">
        <v>2.5</v>
      </c>
      <c r="AI212" s="5">
        <f t="shared" si="6"/>
        <v>75</v>
      </c>
    </row>
    <row r="213" spans="1:52" x14ac:dyDescent="0.25">
      <c r="A213" s="5" t="s">
        <v>52</v>
      </c>
      <c r="B213" s="5" t="s">
        <v>69</v>
      </c>
      <c r="C213" s="5" t="s">
        <v>70</v>
      </c>
      <c r="F213" s="5" t="s">
        <v>55</v>
      </c>
      <c r="G213" s="5" t="s">
        <v>61</v>
      </c>
      <c r="H213" s="5" t="s">
        <v>57</v>
      </c>
      <c r="I213" s="5">
        <v>45</v>
      </c>
      <c r="J213" s="5" t="str">
        <f>IFERROR(VLOOKUP(I213,[1]INFO_LOCALES!$B:$C,2,FALSE),"")</f>
        <v>2° TRANSVERSAL MAIPU</v>
      </c>
      <c r="K213" s="5" t="str">
        <f>IFERROR(VLOOKUP(Tabla2[[#This Row],[TIENDA]],[1]INFO_LOCALES!$B:$D,3,FALSE),"")</f>
        <v>RM - Santiago</v>
      </c>
      <c r="L213" s="5" t="str">
        <f>IFERROR(VLOOKUP(I213,[1]INFO_LOCALES!$B:$I,8,FALSE),"")</f>
        <v>Maipú</v>
      </c>
      <c r="M213" s="5" t="str">
        <f>IFERROR(VLOOKUP(I213,[1]INFO_LOCALES!$B:$H,7,FALSE),"")</f>
        <v>Av. 2 Transversal 4090</v>
      </c>
      <c r="N213" s="5">
        <f>IFERROR(VLOOKUP(I213,[1]INFO_LOCALES!$B:$E,4,FALSE),"")</f>
        <v>0</v>
      </c>
      <c r="O213" s="5" t="str">
        <f>VLOOKUP(Tabla2[[#This Row],[TIENDA]],[1]INFO_LOCALES!$B:$J,9,0)</f>
        <v>SIN CONVENIO</v>
      </c>
      <c r="P213" s="5" t="str">
        <f>IFERROR(VLOOKUP(I213,[1]INFO_LOCALES!$B:$F,5,FALSE),"")</f>
        <v>SMAPA</v>
      </c>
      <c r="Q213" s="5" t="s">
        <v>71</v>
      </c>
      <c r="R213" s="5" t="s">
        <v>58</v>
      </c>
      <c r="S213" s="6">
        <v>45527</v>
      </c>
      <c r="T213" s="5" t="s">
        <v>156</v>
      </c>
      <c r="U213" s="6">
        <v>45460</v>
      </c>
      <c r="V213" s="5" t="s">
        <v>59</v>
      </c>
      <c r="W2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13" s="7">
        <f t="shared" si="7"/>
        <v>3</v>
      </c>
      <c r="Y213" s="5">
        <v>13.4</v>
      </c>
      <c r="Z213" s="5">
        <v>7.09</v>
      </c>
      <c r="AA213" s="5">
        <v>2</v>
      </c>
      <c r="AB213" s="5">
        <v>20.399999999999999</v>
      </c>
      <c r="AC213" s="5">
        <v>1179</v>
      </c>
      <c r="AD213" s="5">
        <v>18.2</v>
      </c>
      <c r="AE213" s="5">
        <v>53.8</v>
      </c>
      <c r="AF213" s="5">
        <v>0.8</v>
      </c>
      <c r="AG213" s="5">
        <v>422</v>
      </c>
      <c r="AH213" s="5">
        <v>0</v>
      </c>
      <c r="AI213" s="5">
        <f t="shared" si="6"/>
        <v>0</v>
      </c>
    </row>
    <row r="214" spans="1:52" x14ac:dyDescent="0.25">
      <c r="A214" s="5" t="s">
        <v>52</v>
      </c>
      <c r="B214" s="5" t="s">
        <v>76</v>
      </c>
      <c r="C214" s="5" t="s">
        <v>77</v>
      </c>
      <c r="F214" s="5" t="s">
        <v>55</v>
      </c>
      <c r="G214" s="5" t="s">
        <v>61</v>
      </c>
      <c r="H214" s="5" t="s">
        <v>57</v>
      </c>
      <c r="I214" s="5">
        <v>103</v>
      </c>
      <c r="J214" s="5" t="str">
        <f>IFERROR(VLOOKUP(I214,[1]INFO_LOCALES!$B:$C,2,FALSE),"")</f>
        <v>VIVAR</v>
      </c>
      <c r="K214" s="5" t="str">
        <f>IFERROR(VLOOKUP(Tabla2[[#This Row],[TIENDA]],[1]INFO_LOCALES!$B:$D,3,FALSE),"")</f>
        <v>I - Tarapacá</v>
      </c>
      <c r="L214" s="5" t="str">
        <f>IFERROR(VLOOKUP(I214,[1]INFO_LOCALES!$B:$I,8,FALSE),"")</f>
        <v>Iquique</v>
      </c>
      <c r="M214" s="5" t="str">
        <f>IFERROR(VLOOKUP(I214,[1]INFO_LOCALES!$B:$H,7,FALSE),"")</f>
        <v>Vivar 786</v>
      </c>
      <c r="N214" s="5">
        <f>IFERROR(VLOOKUP(I214,[1]INFO_LOCALES!$B:$E,4,FALSE),"")</f>
        <v>4420</v>
      </c>
      <c r="O214" s="5" t="str">
        <f>VLOOKUP(Tabla2[[#This Row],[TIENDA]],[1]INFO_LOCALES!$B:$J,9,0)</f>
        <v>CONVENIO</v>
      </c>
      <c r="P214" s="5" t="str">
        <f>IFERROR(VLOOKUP(I214,[1]INFO_LOCALES!$B:$F,5,FALSE),"")</f>
        <v>AGUAS DEL ALTIPLANO S.A.</v>
      </c>
      <c r="Q214" s="5" t="s">
        <v>78</v>
      </c>
      <c r="R214" s="5" t="s">
        <v>58</v>
      </c>
      <c r="S214" s="6">
        <v>45595</v>
      </c>
      <c r="T214" s="5" t="s">
        <v>156</v>
      </c>
      <c r="U214" s="6">
        <v>45460</v>
      </c>
      <c r="V214" s="5" t="s">
        <v>59</v>
      </c>
      <c r="W2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14" s="7">
        <f t="shared" si="7"/>
        <v>2</v>
      </c>
      <c r="Y214" s="5">
        <v>6</v>
      </c>
      <c r="Z214" s="5">
        <v>7.17</v>
      </c>
      <c r="AA214" s="5">
        <v>14</v>
      </c>
      <c r="AB214" s="5">
        <v>22.98</v>
      </c>
      <c r="AC214" s="5">
        <v>151</v>
      </c>
      <c r="AD214" s="5">
        <v>1.6</v>
      </c>
      <c r="AE214" s="5">
        <v>4.26</v>
      </c>
      <c r="AF214" s="5">
        <v>3.5</v>
      </c>
      <c r="AG214" s="5">
        <v>83</v>
      </c>
      <c r="AH214" s="5">
        <v>4.4000000000000004</v>
      </c>
      <c r="AI214" s="5">
        <f t="shared" si="6"/>
        <v>132</v>
      </c>
      <c r="AZ214" s="8" t="s">
        <v>184</v>
      </c>
    </row>
    <row r="215" spans="1:52" x14ac:dyDescent="0.25">
      <c r="A215" s="5" t="s">
        <v>52</v>
      </c>
      <c r="B215" s="5" t="s">
        <v>82</v>
      </c>
      <c r="C215" s="5" t="s">
        <v>77</v>
      </c>
      <c r="F215" s="5" t="s">
        <v>55</v>
      </c>
      <c r="G215" s="5" t="s">
        <v>65</v>
      </c>
      <c r="H215" s="5" t="s">
        <v>57</v>
      </c>
      <c r="I215" s="5">
        <v>14</v>
      </c>
      <c r="J215" s="5" t="str">
        <f>IFERROR(VLOOKUP(I215,[1]INFO_LOCALES!$B:$C,2,FALSE),"")</f>
        <v>COPIAPO</v>
      </c>
      <c r="K215" s="5" t="str">
        <f>IFERROR(VLOOKUP(Tabla2[[#This Row],[TIENDA]],[1]INFO_LOCALES!$B:$D,3,FALSE),"")</f>
        <v>III - Atacama</v>
      </c>
      <c r="L215" s="5" t="str">
        <f>IFERROR(VLOOKUP(I215,[1]INFO_LOCALES!$B:$I,8,FALSE),"")</f>
        <v>Copiapó</v>
      </c>
      <c r="M215" s="5" t="str">
        <f>IFERROR(VLOOKUP(I215,[1]INFO_LOCALES!$B:$H,7,FALSE),"")</f>
        <v>Av. Henrriquez N° 523</v>
      </c>
      <c r="N215" s="5">
        <f>IFERROR(VLOOKUP(I215,[1]INFO_LOCALES!$B:$E,4,FALSE),"")</f>
        <v>0</v>
      </c>
      <c r="O215" s="5" t="str">
        <f>VLOOKUP(Tabla2[[#This Row],[TIENDA]],[1]INFO_LOCALES!$B:$J,9,0)</f>
        <v>CONVENIO</v>
      </c>
      <c r="P215" s="5" t="str">
        <f>IFERROR(VLOOKUP(I215,[1]INFO_LOCALES!$B:$F,5,FALSE),"")</f>
        <v>NUEVA ATACAMA</v>
      </c>
      <c r="Q215" s="5" t="s">
        <v>66</v>
      </c>
      <c r="R215" s="5" t="s">
        <v>58</v>
      </c>
      <c r="S215" s="6">
        <v>45541</v>
      </c>
      <c r="T215" s="5" t="s">
        <v>156</v>
      </c>
      <c r="U215" s="6">
        <v>45461</v>
      </c>
      <c r="V215" s="5" t="s">
        <v>59</v>
      </c>
      <c r="W2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15" s="7">
        <f t="shared" si="7"/>
        <v>2</v>
      </c>
      <c r="Y215" s="5">
        <v>2.42</v>
      </c>
      <c r="AA215" s="5">
        <v>7</v>
      </c>
      <c r="AC215" s="5">
        <v>312</v>
      </c>
      <c r="AD215" s="5">
        <v>3.33</v>
      </c>
      <c r="AE215" s="5">
        <v>17.850000000000001</v>
      </c>
      <c r="AF215" s="5">
        <v>6</v>
      </c>
      <c r="AG215" s="5">
        <v>123.44</v>
      </c>
      <c r="AI215" s="5">
        <f t="shared" si="6"/>
        <v>0</v>
      </c>
      <c r="AY215" s="5">
        <v>0.1</v>
      </c>
    </row>
    <row r="216" spans="1:52" x14ac:dyDescent="0.25">
      <c r="A216" s="5" t="s">
        <v>52</v>
      </c>
      <c r="B216" s="5" t="s">
        <v>82</v>
      </c>
      <c r="C216" s="5" t="s">
        <v>77</v>
      </c>
      <c r="F216" s="5" t="s">
        <v>55</v>
      </c>
      <c r="G216" s="5" t="s">
        <v>65</v>
      </c>
      <c r="H216" s="5" t="s">
        <v>57</v>
      </c>
      <c r="I216" s="5">
        <v>14</v>
      </c>
      <c r="J216" s="5" t="str">
        <f>IFERROR(VLOOKUP(I216,[1]INFO_LOCALES!$B:$C,2,FALSE),"")</f>
        <v>COPIAPO</v>
      </c>
      <c r="K216" s="5" t="str">
        <f>IFERROR(VLOOKUP(Tabla2[[#This Row],[TIENDA]],[1]INFO_LOCALES!$B:$D,3,FALSE),"")</f>
        <v>III - Atacama</v>
      </c>
      <c r="L216" s="5" t="str">
        <f>IFERROR(VLOOKUP(I216,[1]INFO_LOCALES!$B:$I,8,FALSE),"")</f>
        <v>Copiapó</v>
      </c>
      <c r="M216" s="5" t="str">
        <f>IFERROR(VLOOKUP(I216,[1]INFO_LOCALES!$B:$H,7,FALSE),"")</f>
        <v>Av. Henrriquez N° 523</v>
      </c>
      <c r="N216" s="5">
        <f>IFERROR(VLOOKUP(I216,[1]INFO_LOCALES!$B:$E,4,FALSE),"")</f>
        <v>0</v>
      </c>
      <c r="O216" s="5" t="str">
        <f>VLOOKUP(Tabla2[[#This Row],[TIENDA]],[1]INFO_LOCALES!$B:$J,9,0)</f>
        <v>CONVENIO</v>
      </c>
      <c r="P216" s="5" t="str">
        <f>IFERROR(VLOOKUP(I216,[1]INFO_LOCALES!$B:$F,5,FALSE),"")</f>
        <v>NUEVA ATACAMA</v>
      </c>
      <c r="Q216" s="5" t="s">
        <v>85</v>
      </c>
      <c r="R216" s="5" t="s">
        <v>86</v>
      </c>
      <c r="S216" s="6" t="s">
        <v>87</v>
      </c>
      <c r="T216" s="5" t="s">
        <v>156</v>
      </c>
      <c r="U216" s="6">
        <v>45464</v>
      </c>
      <c r="V216" s="5" t="s">
        <v>59</v>
      </c>
      <c r="W2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16" s="7">
        <f t="shared" si="7"/>
        <v>2</v>
      </c>
      <c r="Y216" s="5">
        <v>18</v>
      </c>
      <c r="Z216" s="5">
        <v>7.7</v>
      </c>
      <c r="AA216" s="5">
        <v>14</v>
      </c>
      <c r="AB216" s="5">
        <v>19.8</v>
      </c>
      <c r="AC216" s="5">
        <v>359</v>
      </c>
      <c r="AD216" s="5">
        <v>8.6999999999999993</v>
      </c>
      <c r="AE216" s="5">
        <v>23.4</v>
      </c>
      <c r="AF216" s="5">
        <v>1</v>
      </c>
      <c r="AG216" s="5">
        <v>81</v>
      </c>
      <c r="AH216" s="5">
        <v>1.5</v>
      </c>
      <c r="AI216" s="5">
        <f t="shared" si="6"/>
        <v>45</v>
      </c>
    </row>
    <row r="217" spans="1:52" x14ac:dyDescent="0.25">
      <c r="A217" s="5" t="s">
        <v>52</v>
      </c>
      <c r="B217" s="5" t="s">
        <v>128</v>
      </c>
      <c r="C217" s="5" t="s">
        <v>77</v>
      </c>
      <c r="F217" s="5" t="s">
        <v>55</v>
      </c>
      <c r="G217" s="5" t="s">
        <v>61</v>
      </c>
      <c r="H217" s="5" t="s">
        <v>57</v>
      </c>
      <c r="I217" s="5">
        <v>5</v>
      </c>
      <c r="J217" s="5" t="str">
        <f>IFERROR(VLOOKUP(I217,[1]INFO_LOCALES!$B:$C,2,FALSE),"")</f>
        <v>LAS COMPAÑIAS</v>
      </c>
      <c r="K217" s="5" t="str">
        <f>IFERROR(VLOOKUP(Tabla2[[#This Row],[TIENDA]],[1]INFO_LOCALES!$B:$D,3,FALSE),"")</f>
        <v>IV - Coquimbo</v>
      </c>
      <c r="L217" s="5" t="str">
        <f>IFERROR(VLOOKUP(I217,[1]INFO_LOCALES!$B:$I,8,FALSE),"")</f>
        <v>La Serena</v>
      </c>
      <c r="M217" s="5" t="str">
        <f>IFERROR(VLOOKUP(I217,[1]INFO_LOCALES!$B:$H,7,FALSE),"")</f>
        <v>Nicaragua 1571</v>
      </c>
      <c r="N217" s="5">
        <f>IFERROR(VLOOKUP(I217,[1]INFO_LOCALES!$B:$E,4,FALSE),"")</f>
        <v>2644</v>
      </c>
      <c r="O217" s="5" t="str">
        <f>VLOOKUP(Tabla2[[#This Row],[TIENDA]],[1]INFO_LOCALES!$B:$J,9,0)</f>
        <v>SIN CONVENIO</v>
      </c>
      <c r="P217" s="5" t="str">
        <f>IFERROR(VLOOKUP(I217,[1]INFO_LOCALES!$B:$F,5,FALSE),"")</f>
        <v>AGUAS DEL VALLE S A</v>
      </c>
      <c r="Q217" s="5" t="s">
        <v>85</v>
      </c>
      <c r="R217" s="5" t="s">
        <v>86</v>
      </c>
      <c r="S217" s="6" t="s">
        <v>87</v>
      </c>
      <c r="T217" s="5" t="s">
        <v>156</v>
      </c>
      <c r="U217" s="6">
        <v>45464</v>
      </c>
      <c r="V217" s="5" t="s">
        <v>59</v>
      </c>
      <c r="W2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17" s="7">
        <f t="shared" si="7"/>
        <v>2</v>
      </c>
      <c r="Y217" s="5">
        <v>20.2</v>
      </c>
      <c r="Z217" s="5">
        <v>8.1999999999999993</v>
      </c>
      <c r="AA217" s="5">
        <v>3</v>
      </c>
      <c r="AB217" s="5">
        <v>15.9</v>
      </c>
      <c r="AC217" s="5">
        <v>337</v>
      </c>
      <c r="AD217" s="5">
        <v>8.6999999999999993</v>
      </c>
      <c r="AE217" s="5">
        <v>37.700000000000003</v>
      </c>
      <c r="AF217" s="5">
        <v>2</v>
      </c>
      <c r="AG217" s="5">
        <v>101</v>
      </c>
      <c r="AH217" s="5">
        <v>1.2</v>
      </c>
      <c r="AI217" s="5">
        <f t="shared" si="6"/>
        <v>36</v>
      </c>
    </row>
    <row r="218" spans="1:52" x14ac:dyDescent="0.25">
      <c r="A218" s="5" t="s">
        <v>52</v>
      </c>
      <c r="B218" s="5" t="s">
        <v>103</v>
      </c>
      <c r="C218" s="5" t="s">
        <v>77</v>
      </c>
      <c r="F218" s="5" t="s">
        <v>55</v>
      </c>
      <c r="G218" s="5" t="s">
        <v>61</v>
      </c>
      <c r="H218" s="5" t="s">
        <v>57</v>
      </c>
      <c r="I218" s="5">
        <v>111</v>
      </c>
      <c r="J218" s="5" t="str">
        <f>IFERROR(VLOOKUP(I218,[1]INFO_LOCALES!$B:$C,2,FALSE),"")</f>
        <v>CALAMA II</v>
      </c>
      <c r="K218" s="5" t="str">
        <f>IFERROR(VLOOKUP(Tabla2[[#This Row],[TIENDA]],[1]INFO_LOCALES!$B:$D,3,FALSE),"")</f>
        <v>II - Antofagasta</v>
      </c>
      <c r="L218" s="5" t="str">
        <f>IFERROR(VLOOKUP(I218,[1]INFO_LOCALES!$B:$I,8,FALSE),"")</f>
        <v>Calama</v>
      </c>
      <c r="M218" s="5" t="str">
        <f>IFERROR(VLOOKUP(I218,[1]INFO_LOCALES!$B:$H,7,FALSE),"")</f>
        <v>Aconcagua 2588</v>
      </c>
      <c r="N218" s="5">
        <f>IFERROR(VLOOKUP(I218,[1]INFO_LOCALES!$B:$E,4,FALSE),"")</f>
        <v>2966</v>
      </c>
      <c r="O218" s="5" t="str">
        <f>VLOOKUP(Tabla2[[#This Row],[TIENDA]],[1]INFO_LOCALES!$B:$J,9,0)</f>
        <v>SIN CONVENIO</v>
      </c>
      <c r="P218" s="5" t="str">
        <f>IFERROR(VLOOKUP(I218,[1]INFO_LOCALES!$B:$F,5,FALSE),"")</f>
        <v>AGUAS DE ANTOFAGASTA S A</v>
      </c>
      <c r="Q218" s="5" t="s">
        <v>85</v>
      </c>
      <c r="R218" s="5" t="s">
        <v>86</v>
      </c>
      <c r="S218" s="6" t="s">
        <v>87</v>
      </c>
      <c r="T218" s="5" t="s">
        <v>156</v>
      </c>
      <c r="U218" s="6">
        <v>45467</v>
      </c>
      <c r="V218" s="5" t="s">
        <v>59</v>
      </c>
      <c r="W2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18" s="7">
        <f t="shared" si="7"/>
        <v>3</v>
      </c>
      <c r="Y218" s="5">
        <v>67</v>
      </c>
      <c r="Z218" s="5">
        <v>7.54</v>
      </c>
      <c r="AA218" s="5">
        <v>19</v>
      </c>
      <c r="AB218" s="5">
        <v>19</v>
      </c>
      <c r="AC218" s="5">
        <v>168</v>
      </c>
      <c r="AD218" s="5">
        <v>7.2</v>
      </c>
      <c r="AE218" s="5">
        <v>20.23</v>
      </c>
      <c r="AF218" s="5">
        <v>1</v>
      </c>
      <c r="AG218" s="5">
        <v>98</v>
      </c>
      <c r="AH218" s="5">
        <v>4.5</v>
      </c>
      <c r="AI218" s="5">
        <f t="shared" si="6"/>
        <v>135</v>
      </c>
    </row>
    <row r="219" spans="1:52" x14ac:dyDescent="0.25">
      <c r="A219" s="5" t="s">
        <v>52</v>
      </c>
      <c r="B219" s="5" t="s">
        <v>103</v>
      </c>
      <c r="C219" s="5" t="s">
        <v>77</v>
      </c>
      <c r="F219" s="5" t="s">
        <v>55</v>
      </c>
      <c r="G219" s="5" t="s">
        <v>61</v>
      </c>
      <c r="H219" s="5" t="s">
        <v>57</v>
      </c>
      <c r="I219" s="5">
        <v>46</v>
      </c>
      <c r="J219" s="5" t="str">
        <f>IFERROR(VLOOKUP(I219,[1]INFO_LOCALES!$B:$C,2,FALSE),"")</f>
        <v>CALAMA I</v>
      </c>
      <c r="K219" s="5" t="str">
        <f>IFERROR(VLOOKUP(Tabla2[[#This Row],[TIENDA]],[1]INFO_LOCALES!$B:$D,3,FALSE),"")</f>
        <v>II - Antofagasta</v>
      </c>
      <c r="L219" s="5" t="str">
        <f>IFERROR(VLOOKUP(I219,[1]INFO_LOCALES!$B:$I,8,FALSE),"")</f>
        <v>Calama</v>
      </c>
      <c r="M219" s="5" t="str">
        <f>IFERROR(VLOOKUP(I219,[1]INFO_LOCALES!$B:$H,7,FALSE),"")</f>
        <v>Granaderos 3180</v>
      </c>
      <c r="N219" s="5">
        <f>IFERROR(VLOOKUP(I219,[1]INFO_LOCALES!$B:$E,4,FALSE),"")</f>
        <v>3035</v>
      </c>
      <c r="O219" s="5" t="str">
        <f>VLOOKUP(Tabla2[[#This Row],[TIENDA]],[1]INFO_LOCALES!$B:$J,9,0)</f>
        <v>SIN CONVENIO</v>
      </c>
      <c r="P219" s="5" t="str">
        <f>IFERROR(VLOOKUP(I219,[1]INFO_LOCALES!$B:$F,5,FALSE),"")</f>
        <v>AGUAS DE ANTOFAGASTA S A</v>
      </c>
      <c r="Q219" s="5" t="s">
        <v>85</v>
      </c>
      <c r="R219" s="5" t="s">
        <v>86</v>
      </c>
      <c r="S219" s="6" t="s">
        <v>87</v>
      </c>
      <c r="T219" s="5" t="s">
        <v>156</v>
      </c>
      <c r="U219" s="6">
        <v>45467</v>
      </c>
      <c r="V219" s="5" t="s">
        <v>59</v>
      </c>
      <c r="W2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19" s="7">
        <f t="shared" si="7"/>
        <v>1</v>
      </c>
      <c r="Y219" s="5">
        <v>86</v>
      </c>
      <c r="Z219" s="5">
        <v>7.53</v>
      </c>
      <c r="AA219" s="5">
        <v>2</v>
      </c>
      <c r="AB219" s="5">
        <v>19.399999999999999</v>
      </c>
      <c r="AC219" s="5">
        <v>152</v>
      </c>
      <c r="AD219" s="5">
        <v>4</v>
      </c>
      <c r="AE219" s="5">
        <v>7.98</v>
      </c>
      <c r="AF219" s="5">
        <v>0.5</v>
      </c>
      <c r="AG219" s="5">
        <v>19</v>
      </c>
      <c r="AH219" s="5">
        <v>0</v>
      </c>
      <c r="AI219" s="5">
        <f t="shared" si="6"/>
        <v>0</v>
      </c>
    </row>
    <row r="220" spans="1:52" x14ac:dyDescent="0.25">
      <c r="A220" s="5" t="s">
        <v>52</v>
      </c>
      <c r="B220" s="5" t="s">
        <v>82</v>
      </c>
      <c r="C220" s="5" t="s">
        <v>77</v>
      </c>
      <c r="F220" s="5" t="s">
        <v>55</v>
      </c>
      <c r="G220" s="5" t="s">
        <v>65</v>
      </c>
      <c r="H220" s="5" t="s">
        <v>57</v>
      </c>
      <c r="I220" s="5">
        <v>472</v>
      </c>
      <c r="J220" s="5" t="str">
        <f>IFERROR(VLOOKUP(I220,[1]INFO_LOCALES!$B:$C,2,FALSE),"")</f>
        <v>CALDERA I</v>
      </c>
      <c r="K220" s="5" t="str">
        <f>IFERROR(VLOOKUP(Tabla2[[#This Row],[TIENDA]],[1]INFO_LOCALES!$B:$D,3,FALSE),"")</f>
        <v>III - Atacama</v>
      </c>
      <c r="L220" s="5" t="str">
        <f>IFERROR(VLOOKUP(I220,[1]INFO_LOCALES!$B:$I,8,FALSE),"")</f>
        <v>Caldera</v>
      </c>
      <c r="M220" s="5" t="str">
        <f>IFERROR(VLOOKUP(I220,[1]INFO_LOCALES!$B:$H,7,FALSE),"")</f>
        <v>Batallon Atacama 319</v>
      </c>
      <c r="N220" s="5">
        <f>IFERROR(VLOOKUP(I220,[1]INFO_LOCALES!$B:$E,4,FALSE),"")</f>
        <v>0</v>
      </c>
      <c r="O220" s="5" t="str">
        <f>VLOOKUP(Tabla2[[#This Row],[TIENDA]],[1]INFO_LOCALES!$B:$J,9,0)</f>
        <v>CONVENIO</v>
      </c>
      <c r="P220" s="5" t="str">
        <f>IFERROR(VLOOKUP(I220,[1]INFO_LOCALES!$B:$F,5,FALSE),"")</f>
        <v>NUEVA ATACAMA</v>
      </c>
      <c r="Q220" s="5" t="s">
        <v>85</v>
      </c>
      <c r="R220" s="5" t="s">
        <v>86</v>
      </c>
      <c r="S220" s="6" t="s">
        <v>87</v>
      </c>
      <c r="T220" s="5" t="s">
        <v>156</v>
      </c>
      <c r="U220" s="6">
        <v>45467</v>
      </c>
      <c r="V220" s="5" t="s">
        <v>59</v>
      </c>
      <c r="W2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20" s="7">
        <f t="shared" si="7"/>
        <v>2</v>
      </c>
      <c r="Y220" s="5">
        <v>36</v>
      </c>
      <c r="Z220" s="5">
        <v>7.6</v>
      </c>
      <c r="AA220" s="5">
        <v>4</v>
      </c>
      <c r="AB220" s="5">
        <v>22.3</v>
      </c>
      <c r="AC220" s="5">
        <v>505</v>
      </c>
      <c r="AD220" s="5">
        <v>15.8</v>
      </c>
      <c r="AE220" s="5">
        <v>37.200000000000003</v>
      </c>
      <c r="AF220" s="5">
        <v>1.2</v>
      </c>
      <c r="AG220" s="5">
        <v>235</v>
      </c>
      <c r="AH220" s="5">
        <v>16</v>
      </c>
      <c r="AI220" s="5">
        <f t="shared" si="6"/>
        <v>480</v>
      </c>
    </row>
    <row r="221" spans="1:52" x14ac:dyDescent="0.25">
      <c r="A221" s="5" t="s">
        <v>52</v>
      </c>
      <c r="B221" s="5" t="s">
        <v>82</v>
      </c>
      <c r="C221" s="5" t="s">
        <v>77</v>
      </c>
      <c r="F221" s="5" t="s">
        <v>55</v>
      </c>
      <c r="G221" s="5" t="s">
        <v>61</v>
      </c>
      <c r="H221" s="5" t="s">
        <v>57</v>
      </c>
      <c r="I221" s="5">
        <v>22</v>
      </c>
      <c r="J221" s="5" t="str">
        <f>IFERROR(VLOOKUP(I221,[1]INFO_LOCALES!$B:$C,2,FALSE),"")</f>
        <v>ATACAMA</v>
      </c>
      <c r="K221" s="5" t="str">
        <f>IFERROR(VLOOKUP(Tabla2[[#This Row],[TIENDA]],[1]INFO_LOCALES!$B:$D,3,FALSE),"")</f>
        <v>III - Atacama</v>
      </c>
      <c r="L221" s="5" t="str">
        <f>IFERROR(VLOOKUP(I221,[1]INFO_LOCALES!$B:$I,8,FALSE),"")</f>
        <v>Copiapó</v>
      </c>
      <c r="M221" s="5" t="str">
        <f>IFERROR(VLOOKUP(I221,[1]INFO_LOCALES!$B:$H,7,FALSE),"")</f>
        <v>Los Carreras 2242</v>
      </c>
      <c r="N221" s="5">
        <f>IFERROR(VLOOKUP(I221,[1]INFO_LOCALES!$B:$E,4,FALSE),"")</f>
        <v>2666</v>
      </c>
      <c r="O221" s="5" t="str">
        <f>VLOOKUP(Tabla2[[#This Row],[TIENDA]],[1]INFO_LOCALES!$B:$J,9,0)</f>
        <v>CONVENIO</v>
      </c>
      <c r="P221" s="5" t="str">
        <f>IFERROR(VLOOKUP(I221,[1]INFO_LOCALES!$B:$F,5,FALSE),"")</f>
        <v>NUEVA ATACAMA</v>
      </c>
      <c r="Q221" s="5" t="s">
        <v>85</v>
      </c>
      <c r="R221" s="5" t="s">
        <v>86</v>
      </c>
      <c r="S221" s="6" t="s">
        <v>87</v>
      </c>
      <c r="T221" s="5" t="s">
        <v>156</v>
      </c>
      <c r="U221" s="6">
        <v>45468</v>
      </c>
      <c r="V221" s="5" t="s">
        <v>59</v>
      </c>
      <c r="W2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21" s="7">
        <f t="shared" si="7"/>
        <v>3</v>
      </c>
      <c r="Y221" s="5">
        <v>64.900000000000006</v>
      </c>
      <c r="Z221" s="5">
        <v>7.7</v>
      </c>
      <c r="AA221" s="5">
        <v>18</v>
      </c>
      <c r="AB221" s="5">
        <v>19.8</v>
      </c>
      <c r="AC221" s="5">
        <v>654</v>
      </c>
      <c r="AD221" s="5">
        <v>17.899999999999999</v>
      </c>
      <c r="AE221" s="5">
        <v>55.1</v>
      </c>
      <c r="AF221" s="5">
        <v>0.5</v>
      </c>
      <c r="AG221" s="5">
        <v>202</v>
      </c>
      <c r="AH221" s="5">
        <v>1.5</v>
      </c>
      <c r="AI221" s="5">
        <f t="shared" si="6"/>
        <v>45</v>
      </c>
    </row>
    <row r="222" spans="1:52" x14ac:dyDescent="0.25">
      <c r="A222" s="5" t="s">
        <v>52</v>
      </c>
      <c r="B222" s="5" t="s">
        <v>90</v>
      </c>
      <c r="C222" s="5" t="s">
        <v>81</v>
      </c>
      <c r="F222" s="5" t="s">
        <v>55</v>
      </c>
      <c r="G222" s="5" t="s">
        <v>61</v>
      </c>
      <c r="H222" s="5" t="s">
        <v>57</v>
      </c>
      <c r="I222" s="5">
        <v>777</v>
      </c>
      <c r="J222" s="5" t="str">
        <f>IFERROR(VLOOKUP(I222,[1]INFO_LOCALES!$B:$C,2,FALSE),"")</f>
        <v>CENTRAL</v>
      </c>
      <c r="K222" s="5" t="str">
        <f>IFERROR(VLOOKUP(Tabla2[[#This Row],[TIENDA]],[1]INFO_LOCALES!$B:$D,3,FALSE),"")</f>
        <v>X - Los Lagos</v>
      </c>
      <c r="L222" s="5" t="str">
        <f>IFERROR(VLOOKUP(I222,[1]INFO_LOCALES!$B:$I,8,FALSE),"")</f>
        <v>Osorno</v>
      </c>
      <c r="M222" s="5" t="str">
        <f>IFERROR(VLOOKUP(I222,[1]INFO_LOCALES!$B:$H,7,FALSE),"")</f>
        <v>Patricio Lynch 1278</v>
      </c>
      <c r="N222" s="5">
        <f>IFERROR(VLOOKUP(I222,[1]INFO_LOCALES!$B:$E,4,FALSE),"")</f>
        <v>3684</v>
      </c>
      <c r="O222" s="5" t="str">
        <f>VLOOKUP(Tabla2[[#This Row],[TIENDA]],[1]INFO_LOCALES!$B:$J,9,0)</f>
        <v>CONVENIO</v>
      </c>
      <c r="P222" s="5" t="str">
        <f>IFERROR(VLOOKUP(I222,[1]INFO_LOCALES!$B:$F,5,FALSE),"")</f>
        <v>SURALIS</v>
      </c>
      <c r="Q222" s="5" t="s">
        <v>85</v>
      </c>
      <c r="R222" s="5" t="s">
        <v>86</v>
      </c>
      <c r="S222" s="6" t="s">
        <v>87</v>
      </c>
      <c r="T222" s="5" t="s">
        <v>156</v>
      </c>
      <c r="U222" s="6">
        <v>45469</v>
      </c>
      <c r="V222" s="5" t="s">
        <v>59</v>
      </c>
      <c r="W2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22" s="7">
        <f t="shared" si="7"/>
        <v>3</v>
      </c>
      <c r="Y222" s="5">
        <v>35.5</v>
      </c>
      <c r="Z222" s="5">
        <v>7.2</v>
      </c>
      <c r="AA222" s="5">
        <v>33</v>
      </c>
      <c r="AB222" s="5">
        <v>12.6</v>
      </c>
      <c r="AC222" s="5">
        <v>213</v>
      </c>
      <c r="AD222" s="5">
        <v>2.91</v>
      </c>
      <c r="AE222" s="5">
        <v>5</v>
      </c>
      <c r="AF222" s="5">
        <v>3</v>
      </c>
      <c r="AG222" s="5">
        <v>260</v>
      </c>
      <c r="AH222" s="5">
        <v>1</v>
      </c>
      <c r="AI222" s="5">
        <f t="shared" si="6"/>
        <v>30</v>
      </c>
    </row>
    <row r="223" spans="1:52" x14ac:dyDescent="0.25">
      <c r="A223" s="5" t="s">
        <v>52</v>
      </c>
      <c r="B223" s="5" t="s">
        <v>90</v>
      </c>
      <c r="C223" s="5" t="s">
        <v>81</v>
      </c>
      <c r="F223" s="5" t="s">
        <v>55</v>
      </c>
      <c r="G223" s="5" t="s">
        <v>61</v>
      </c>
      <c r="H223" s="5" t="s">
        <v>57</v>
      </c>
      <c r="I223" s="5">
        <v>778</v>
      </c>
      <c r="J223" s="5" t="str">
        <f>IFERROR(VLOOKUP(I223,[1]INFO_LOCALES!$B:$C,2,FALSE),"")</f>
        <v>ORIENTE</v>
      </c>
      <c r="K223" s="5" t="str">
        <f>IFERROR(VLOOKUP(Tabla2[[#This Row],[TIENDA]],[1]INFO_LOCALES!$B:$D,3,FALSE),"")</f>
        <v>X - Los Lagos</v>
      </c>
      <c r="L223" s="5" t="str">
        <f>IFERROR(VLOOKUP(I223,[1]INFO_LOCALES!$B:$I,8,FALSE),"")</f>
        <v>Osorno</v>
      </c>
      <c r="M223" s="5" t="str">
        <f>IFERROR(VLOOKUP(I223,[1]INFO_LOCALES!$B:$H,7,FALSE),"")</f>
        <v>Julio Buschman 2223</v>
      </c>
      <c r="N223" s="5">
        <f>IFERROR(VLOOKUP(I223,[1]INFO_LOCALES!$B:$E,4,FALSE),"")</f>
        <v>2867</v>
      </c>
      <c r="O223" s="5" t="str">
        <f>VLOOKUP(Tabla2[[#This Row],[TIENDA]],[1]INFO_LOCALES!$B:$J,9,0)</f>
        <v>CONVENIO</v>
      </c>
      <c r="P223" s="5" t="str">
        <f>IFERROR(VLOOKUP(I223,[1]INFO_LOCALES!$B:$F,5,FALSE),"")</f>
        <v>SURALIS</v>
      </c>
      <c r="Q223" s="5" t="s">
        <v>85</v>
      </c>
      <c r="R223" s="5" t="s">
        <v>86</v>
      </c>
      <c r="S223" s="6" t="s">
        <v>87</v>
      </c>
      <c r="T223" s="5" t="s">
        <v>156</v>
      </c>
      <c r="U223" s="6">
        <v>45469</v>
      </c>
      <c r="V223" s="5" t="s">
        <v>59</v>
      </c>
      <c r="W2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23" s="7">
        <f t="shared" si="7"/>
        <v>3</v>
      </c>
      <c r="Y223" s="5">
        <v>20.5</v>
      </c>
      <c r="Z223" s="5">
        <v>7.41</v>
      </c>
      <c r="AA223" s="5">
        <v>22</v>
      </c>
      <c r="AB223" s="5">
        <v>12.2</v>
      </c>
      <c r="AC223" s="5">
        <v>128</v>
      </c>
      <c r="AD223" s="5">
        <v>1.08</v>
      </c>
      <c r="AE223" s="5">
        <v>5</v>
      </c>
      <c r="AF223" s="5">
        <v>1.2</v>
      </c>
      <c r="AG223" s="5">
        <v>90</v>
      </c>
      <c r="AH223" s="5">
        <v>1</v>
      </c>
      <c r="AI223" s="5">
        <f t="shared" si="6"/>
        <v>30</v>
      </c>
    </row>
    <row r="224" spans="1:52" x14ac:dyDescent="0.25">
      <c r="A224" s="5" t="s">
        <v>52</v>
      </c>
      <c r="B224" s="5" t="s">
        <v>76</v>
      </c>
      <c r="C224" s="5" t="s">
        <v>77</v>
      </c>
      <c r="F224" s="5" t="s">
        <v>55</v>
      </c>
      <c r="G224" s="5" t="s">
        <v>61</v>
      </c>
      <c r="H224" s="5" t="s">
        <v>57</v>
      </c>
      <c r="I224" s="5">
        <v>106</v>
      </c>
      <c r="J224" s="5" t="str">
        <f>IFERROR(VLOOKUP(I224,[1]INFO_LOCALES!$B:$C,2,FALSE),"")</f>
        <v>LOS MOLLES</v>
      </c>
      <c r="K224" s="5" t="str">
        <f>IFERROR(VLOOKUP(Tabla2[[#This Row],[TIENDA]],[1]INFO_LOCALES!$B:$D,3,FALSE),"")</f>
        <v>I - Tarapacá</v>
      </c>
      <c r="L224" s="5" t="str">
        <f>IFERROR(VLOOKUP(I224,[1]INFO_LOCALES!$B:$I,8,FALSE),"")</f>
        <v>Iquique</v>
      </c>
      <c r="M224" s="5" t="str">
        <f>IFERROR(VLOOKUP(I224,[1]INFO_LOCALES!$B:$H,7,FALSE),"")</f>
        <v>Santiago Polanco 2251</v>
      </c>
      <c r="N224" s="5">
        <f>IFERROR(VLOOKUP(I224,[1]INFO_LOCALES!$B:$E,4,FALSE),"")</f>
        <v>4050</v>
      </c>
      <c r="O224" s="5" t="str">
        <f>VLOOKUP(Tabla2[[#This Row],[TIENDA]],[1]INFO_LOCALES!$B:$J,9,0)</f>
        <v>CONVENIO</v>
      </c>
      <c r="P224" s="5" t="str">
        <f>IFERROR(VLOOKUP(I224,[1]INFO_LOCALES!$B:$F,5,FALSE),"")</f>
        <v>AGUAS DEL ALTIPLANO S.A.</v>
      </c>
      <c r="Q224" s="5" t="s">
        <v>85</v>
      </c>
      <c r="R224" s="5" t="s">
        <v>86</v>
      </c>
      <c r="S224" s="6" t="s">
        <v>87</v>
      </c>
      <c r="T224" s="5" t="s">
        <v>156</v>
      </c>
      <c r="U224" s="6">
        <v>45469</v>
      </c>
      <c r="V224" s="5" t="s">
        <v>59</v>
      </c>
      <c r="W2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24" s="7">
        <f t="shared" si="7"/>
        <v>3</v>
      </c>
      <c r="Y224" s="5">
        <v>61</v>
      </c>
      <c r="Z224" s="5">
        <v>7.2</v>
      </c>
      <c r="AA224" s="5">
        <v>15</v>
      </c>
      <c r="AB224" s="5">
        <v>20.399999999999999</v>
      </c>
      <c r="AC224" s="5">
        <v>188</v>
      </c>
      <c r="AD224" s="5">
        <v>5.4</v>
      </c>
      <c r="AE224" s="5">
        <v>39</v>
      </c>
      <c r="AF224" s="5">
        <v>0.5</v>
      </c>
      <c r="AG224" s="5">
        <v>158</v>
      </c>
      <c r="AH224" s="5">
        <v>7.5</v>
      </c>
      <c r="AI224" s="5">
        <f t="shared" si="6"/>
        <v>225</v>
      </c>
    </row>
    <row r="225" spans="1:52" x14ac:dyDescent="0.25">
      <c r="A225" s="5" t="s">
        <v>52</v>
      </c>
      <c r="B225" s="5" t="e">
        <v>#N/A</v>
      </c>
      <c r="C225" s="5" t="e">
        <v>#N/A</v>
      </c>
      <c r="F225" s="5" t="s">
        <v>55</v>
      </c>
      <c r="G225" s="5" t="s">
        <v>61</v>
      </c>
      <c r="H225" s="5" t="s">
        <v>57</v>
      </c>
      <c r="I225" s="5">
        <v>9139</v>
      </c>
      <c r="J225" s="5" t="str">
        <f>IFERROR(VLOOKUP(I225,[1]INFO_LOCALES!$B:$C,2,FALSE),"")</f>
        <v>CD LO AGUIRRE</v>
      </c>
      <c r="K225" s="5" t="str">
        <f>IFERROR(VLOOKUP(Tabla2[[#This Row],[TIENDA]],[1]INFO_LOCALES!$B:$D,3,FALSE),"")</f>
        <v>RM - Santiago</v>
      </c>
      <c r="L225" s="5" t="str">
        <f>IFERROR(VLOOKUP(I225,[1]INFO_LOCALES!$B:$I,8,FALSE),"")</f>
        <v>Pudahuel</v>
      </c>
      <c r="M225" s="5" t="str">
        <f>IFERROR(VLOOKUP(I225,[1]INFO_LOCALES!$B:$H,7,FALSE),"")</f>
        <v>CAMINO LO AGUIRRE SUR 537</v>
      </c>
      <c r="N225" s="5">
        <f>IFERROR(VLOOKUP(I225,[1]INFO_LOCALES!$B:$E,4,FALSE),"")</f>
        <v>3552</v>
      </c>
      <c r="O225" s="5" t="str">
        <f>VLOOKUP(Tabla2[[#This Row],[TIENDA]],[1]INFO_LOCALES!$B:$J,9,0)</f>
        <v>SIN CONVENIO</v>
      </c>
      <c r="P225" s="5" t="str">
        <f>IFERROR(VLOOKUP(I225,[1]INFO_LOCALES!$B:$F,5,FALSE),"")</f>
        <v>AGUAS IZARRA</v>
      </c>
      <c r="Q225" s="5" t="s">
        <v>85</v>
      </c>
      <c r="R225" s="5" t="s">
        <v>86</v>
      </c>
      <c r="S225" s="6" t="s">
        <v>87</v>
      </c>
      <c r="T225" s="5" t="s">
        <v>156</v>
      </c>
      <c r="U225" s="6">
        <v>45469</v>
      </c>
      <c r="V225" s="5" t="s">
        <v>59</v>
      </c>
      <c r="W2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25" s="7">
        <f t="shared" si="7"/>
        <v>1</v>
      </c>
      <c r="Y225" s="5">
        <v>14.5</v>
      </c>
      <c r="Z225" s="5">
        <v>7.8</v>
      </c>
      <c r="AA225" s="5">
        <v>2</v>
      </c>
      <c r="AB225" s="5">
        <v>15.58</v>
      </c>
      <c r="AC225" s="5">
        <v>48</v>
      </c>
      <c r="AD225" s="5">
        <v>1.6</v>
      </c>
      <c r="AE225" s="5">
        <v>17.3</v>
      </c>
      <c r="AF225" s="5">
        <v>0.5</v>
      </c>
      <c r="AG225" s="5">
        <v>25</v>
      </c>
      <c r="AH225" s="5">
        <v>59.4</v>
      </c>
      <c r="AI225" s="5">
        <f t="shared" ref="AI225:AI288" si="8">AH225*30</f>
        <v>1782</v>
      </c>
      <c r="AS225" s="5">
        <v>10</v>
      </c>
    </row>
    <row r="226" spans="1:52" x14ac:dyDescent="0.25">
      <c r="A226" s="5" t="s">
        <v>52</v>
      </c>
      <c r="B226" s="5" t="e">
        <v>#N/A</v>
      </c>
      <c r="C226" s="5" t="e">
        <v>#N/A</v>
      </c>
      <c r="F226" s="5" t="s">
        <v>55</v>
      </c>
      <c r="G226" s="5" t="s">
        <v>61</v>
      </c>
      <c r="H226" s="5" t="s">
        <v>57</v>
      </c>
      <c r="I226" s="5">
        <v>3143</v>
      </c>
      <c r="J226" s="5" t="str">
        <f>IFERROR(VLOOKUP(I226,[1]INFO_LOCALES!$B:$C,2,FALSE),"")</f>
        <v>M10 TEMUCO IV</v>
      </c>
      <c r="K226" s="5" t="str">
        <f>IFERROR(VLOOKUP(Tabla2[[#This Row],[TIENDA]],[1]INFO_LOCALES!$B:$D,3,FALSE),"")</f>
        <v>IX - Araucanía</v>
      </c>
      <c r="L226" s="5" t="str">
        <f>IFERROR(VLOOKUP(I226,[1]INFO_LOCALES!$B:$I,8,FALSE),"")</f>
        <v>Temuco</v>
      </c>
      <c r="M226" s="5" t="str">
        <f>IFERROR(VLOOKUP(I226,[1]INFO_LOCALES!$B:$H,7,FALSE),"")</f>
        <v>Francisco Salazar 01650</v>
      </c>
      <c r="N226" s="5">
        <f>IFERROR(VLOOKUP(I226,[1]INFO_LOCALES!$B:$E,4,FALSE),"")</f>
        <v>4422</v>
      </c>
      <c r="O226" s="5" t="str">
        <f>VLOOKUP(Tabla2[[#This Row],[TIENDA]],[1]INFO_LOCALES!$B:$J,9,0)</f>
        <v>CONVENIO</v>
      </c>
      <c r="P226" s="5" t="str">
        <f>IFERROR(VLOOKUP(I226,[1]INFO_LOCALES!$B:$F,5,FALSE),"")</f>
        <v>AGUAS ARAUCANIA S A</v>
      </c>
      <c r="Q226" s="5" t="s">
        <v>85</v>
      </c>
      <c r="R226" s="5" t="s">
        <v>86</v>
      </c>
      <c r="S226" s="6" t="s">
        <v>87</v>
      </c>
      <c r="T226" s="5" t="s">
        <v>156</v>
      </c>
      <c r="U226" s="6">
        <v>45470</v>
      </c>
      <c r="V226" s="5" t="s">
        <v>59</v>
      </c>
      <c r="W2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26" s="7">
        <f t="shared" si="7"/>
        <v>1</v>
      </c>
      <c r="Y226" s="5">
        <v>13.5</v>
      </c>
      <c r="Z226" s="5">
        <v>7.08</v>
      </c>
      <c r="AA226" s="5">
        <v>2</v>
      </c>
      <c r="AB226" s="5">
        <v>11.5</v>
      </c>
      <c r="AC226" s="5">
        <v>44</v>
      </c>
      <c r="AD226" s="5">
        <v>1.29</v>
      </c>
      <c r="AE226" s="5">
        <v>16.7</v>
      </c>
      <c r="AF226" s="5">
        <v>1</v>
      </c>
      <c r="AG226" s="5">
        <v>47.6</v>
      </c>
      <c r="AH226" s="5">
        <v>2.2999999999999998</v>
      </c>
      <c r="AI226" s="5">
        <f t="shared" si="8"/>
        <v>69</v>
      </c>
    </row>
    <row r="227" spans="1:52" x14ac:dyDescent="0.25">
      <c r="A227" s="5" t="s">
        <v>52</v>
      </c>
      <c r="B227" s="5" t="s">
        <v>76</v>
      </c>
      <c r="C227" s="5" t="s">
        <v>77</v>
      </c>
      <c r="F227" s="5" t="s">
        <v>55</v>
      </c>
      <c r="G227" s="5" t="s">
        <v>61</v>
      </c>
      <c r="H227" s="5" t="s">
        <v>57</v>
      </c>
      <c r="I227" s="5">
        <v>86</v>
      </c>
      <c r="J227" s="5" t="str">
        <f>IFERROR(VLOOKUP(I227,[1]INFO_LOCALES!$B:$C,2,FALSE),"")</f>
        <v>BILBAO</v>
      </c>
      <c r="K227" s="5" t="str">
        <f>IFERROR(VLOOKUP(Tabla2[[#This Row],[TIENDA]],[1]INFO_LOCALES!$B:$D,3,FALSE),"")</f>
        <v>I - Tarapacá</v>
      </c>
      <c r="L227" s="5" t="str">
        <f>IFERROR(VLOOKUP(I227,[1]INFO_LOCALES!$B:$I,8,FALSE),"")</f>
        <v>Iquique</v>
      </c>
      <c r="M227" s="5" t="str">
        <f>IFERROR(VLOOKUP(I227,[1]INFO_LOCALES!$B:$H,7,FALSE),"")</f>
        <v>Fco.Bilbao 3545</v>
      </c>
      <c r="N227" s="5">
        <f>IFERROR(VLOOKUP(I227,[1]INFO_LOCALES!$B:$E,4,FALSE),"")</f>
        <v>4049</v>
      </c>
      <c r="O227" s="5" t="str">
        <f>VLOOKUP(Tabla2[[#This Row],[TIENDA]],[1]INFO_LOCALES!$B:$J,9,0)</f>
        <v>CONVENIO</v>
      </c>
      <c r="P227" s="5" t="str">
        <f>IFERROR(VLOOKUP(I227,[1]INFO_LOCALES!$B:$F,5,FALSE),"")</f>
        <v>AGUAS DEL ALTIPLANO S.A.</v>
      </c>
      <c r="Q227" s="5" t="s">
        <v>85</v>
      </c>
      <c r="R227" s="5" t="s">
        <v>86</v>
      </c>
      <c r="S227" s="6" t="s">
        <v>87</v>
      </c>
      <c r="T227" s="5" t="s">
        <v>156</v>
      </c>
      <c r="U227" s="6">
        <v>45470</v>
      </c>
      <c r="V227" s="5" t="s">
        <v>59</v>
      </c>
      <c r="W2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27" s="7">
        <f t="shared" si="7"/>
        <v>2</v>
      </c>
      <c r="Y227" s="5">
        <v>22</v>
      </c>
      <c r="Z227" s="5">
        <v>6.99</v>
      </c>
      <c r="AA227" s="5">
        <v>10</v>
      </c>
      <c r="AB227" s="5">
        <v>19.899999999999999</v>
      </c>
      <c r="AC227" s="5">
        <v>124</v>
      </c>
      <c r="AD227" s="5">
        <v>7.5</v>
      </c>
      <c r="AE227" s="5">
        <v>27.5</v>
      </c>
      <c r="AF227" s="5">
        <v>0.5</v>
      </c>
      <c r="AG227" s="5">
        <v>43</v>
      </c>
      <c r="AH227" s="5">
        <v>1.4</v>
      </c>
      <c r="AI227" s="5">
        <f t="shared" si="8"/>
        <v>42</v>
      </c>
    </row>
    <row r="228" spans="1:52" x14ac:dyDescent="0.25">
      <c r="A228" s="5" t="s">
        <v>52</v>
      </c>
      <c r="B228" s="5" t="s">
        <v>82</v>
      </c>
      <c r="C228" s="5" t="s">
        <v>77</v>
      </c>
      <c r="F228" s="5" t="s">
        <v>55</v>
      </c>
      <c r="G228" s="5" t="s">
        <v>65</v>
      </c>
      <c r="H228" s="5" t="s">
        <v>57</v>
      </c>
      <c r="I228" s="5">
        <v>32</v>
      </c>
      <c r="J228" s="5" t="str">
        <f>IFERROR(VLOOKUP(I228,[1]INFO_LOCALES!$B:$C,2,FALSE),"")</f>
        <v>CHAÑARCILLO</v>
      </c>
      <c r="K228" s="5" t="str">
        <f>IFERROR(VLOOKUP(Tabla2[[#This Row],[TIENDA]],[1]INFO_LOCALES!$B:$D,3,FALSE),"")</f>
        <v>III - Atacama</v>
      </c>
      <c r="L228" s="5" t="str">
        <f>IFERROR(VLOOKUP(I228,[1]INFO_LOCALES!$B:$I,8,FALSE),"")</f>
        <v>Copiapó</v>
      </c>
      <c r="M228" s="5" t="str">
        <f>IFERROR(VLOOKUP(I228,[1]INFO_LOCALES!$B:$H,7,FALSE),"")</f>
        <v>Chacabuco Nº 231</v>
      </c>
      <c r="N228" s="5">
        <f>IFERROR(VLOOKUP(I228,[1]INFO_LOCALES!$B:$E,4,FALSE),"")</f>
        <v>0</v>
      </c>
      <c r="O228" s="5" t="str">
        <f>VLOOKUP(Tabla2[[#This Row],[TIENDA]],[1]INFO_LOCALES!$B:$J,9,0)</f>
        <v>CONVENIO</v>
      </c>
      <c r="P228" s="5" t="str">
        <f>IFERROR(VLOOKUP(I228,[1]INFO_LOCALES!$B:$F,5,FALSE),"")</f>
        <v>NUEVA ATACAMA</v>
      </c>
      <c r="Q228" s="5" t="s">
        <v>85</v>
      </c>
      <c r="R228" s="5" t="s">
        <v>86</v>
      </c>
      <c r="S228" s="6" t="s">
        <v>87</v>
      </c>
      <c r="T228" s="5" t="s">
        <v>156</v>
      </c>
      <c r="U228" s="6">
        <v>45470</v>
      </c>
      <c r="V228" s="5" t="s">
        <v>59</v>
      </c>
      <c r="W2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28" s="7">
        <f t="shared" si="7"/>
        <v>3</v>
      </c>
      <c r="Y228" s="5">
        <v>3.2</v>
      </c>
      <c r="Z228" s="5">
        <v>7.6</v>
      </c>
      <c r="AA228" s="5">
        <v>2</v>
      </c>
      <c r="AB228" s="5">
        <v>18.59</v>
      </c>
      <c r="AC228" s="5">
        <v>2145</v>
      </c>
      <c r="AD228" s="5">
        <v>27.3</v>
      </c>
      <c r="AE228" s="5">
        <v>88.3</v>
      </c>
      <c r="AF228" s="5">
        <v>60</v>
      </c>
      <c r="AG228" s="5">
        <v>1250</v>
      </c>
      <c r="AH228" s="5">
        <v>47.2</v>
      </c>
      <c r="AI228" s="5">
        <f t="shared" si="8"/>
        <v>1416</v>
      </c>
    </row>
    <row r="229" spans="1:52" x14ac:dyDescent="0.25">
      <c r="A229" s="5" t="s">
        <v>52</v>
      </c>
      <c r="B229" s="5" t="s">
        <v>76</v>
      </c>
      <c r="C229" s="5" t="s">
        <v>77</v>
      </c>
      <c r="F229" s="5" t="s">
        <v>55</v>
      </c>
      <c r="G229" s="5" t="s">
        <v>61</v>
      </c>
      <c r="H229" s="5" t="s">
        <v>57</v>
      </c>
      <c r="I229" s="5">
        <v>106</v>
      </c>
      <c r="J229" s="5" t="str">
        <f>IFERROR(VLOOKUP(I229,[1]INFO_LOCALES!$B:$C,2,FALSE),"")</f>
        <v>LOS MOLLES</v>
      </c>
      <c r="K229" s="5" t="str">
        <f>IFERROR(VLOOKUP(Tabla2[[#This Row],[TIENDA]],[1]INFO_LOCALES!$B:$D,3,FALSE),"")</f>
        <v>I - Tarapacá</v>
      </c>
      <c r="L229" s="5" t="str">
        <f>IFERROR(VLOOKUP(I229,[1]INFO_LOCALES!$B:$I,8,FALSE),"")</f>
        <v>Iquique</v>
      </c>
      <c r="M229" s="5" t="str">
        <f>IFERROR(VLOOKUP(I229,[1]INFO_LOCALES!$B:$H,7,FALSE),"")</f>
        <v>Santiago Polanco 2251</v>
      </c>
      <c r="N229" s="5">
        <f>IFERROR(VLOOKUP(I229,[1]INFO_LOCALES!$B:$E,4,FALSE),"")</f>
        <v>4050</v>
      </c>
      <c r="O229" s="5" t="str">
        <f>VLOOKUP(Tabla2[[#This Row],[TIENDA]],[1]INFO_LOCALES!$B:$J,9,0)</f>
        <v>CONVENIO</v>
      </c>
      <c r="P229" s="5" t="str">
        <f>IFERROR(VLOOKUP(I229,[1]INFO_LOCALES!$B:$F,5,FALSE),"")</f>
        <v>AGUAS DEL ALTIPLANO S.A.</v>
      </c>
      <c r="Q229" s="5" t="s">
        <v>78</v>
      </c>
      <c r="R229" s="5" t="s">
        <v>58</v>
      </c>
      <c r="S229" s="6">
        <v>45534</v>
      </c>
      <c r="T229" s="5" t="s">
        <v>63</v>
      </c>
      <c r="U229" s="6">
        <v>45474</v>
      </c>
      <c r="V229" s="5" t="s">
        <v>59</v>
      </c>
      <c r="W2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29" s="7">
        <f t="shared" si="7"/>
        <v>1</v>
      </c>
      <c r="Y229" s="5">
        <v>8</v>
      </c>
      <c r="Z229" s="5">
        <v>6.77</v>
      </c>
      <c r="AA229" s="5">
        <v>2</v>
      </c>
      <c r="AB229" s="5">
        <v>22.66</v>
      </c>
      <c r="AC229" s="5">
        <v>121</v>
      </c>
      <c r="AD229" s="5">
        <v>11.1</v>
      </c>
      <c r="AE229" s="5">
        <v>10.92</v>
      </c>
      <c r="AF229" s="5">
        <v>3</v>
      </c>
      <c r="AG229" s="5">
        <v>226</v>
      </c>
      <c r="AH229" s="5">
        <v>4.2</v>
      </c>
      <c r="AI229" s="5">
        <f t="shared" si="8"/>
        <v>126</v>
      </c>
    </row>
    <row r="230" spans="1:52" x14ac:dyDescent="0.25">
      <c r="A230" s="5" t="s">
        <v>52</v>
      </c>
      <c r="B230" s="5" t="s">
        <v>76</v>
      </c>
      <c r="C230" s="5" t="s">
        <v>77</v>
      </c>
      <c r="F230" s="5" t="s">
        <v>55</v>
      </c>
      <c r="G230" s="5" t="s">
        <v>56</v>
      </c>
      <c r="H230" s="5" t="s">
        <v>57</v>
      </c>
      <c r="I230" s="5">
        <v>86</v>
      </c>
      <c r="J230" s="5" t="str">
        <f>IFERROR(VLOOKUP(I230,[1]INFO_LOCALES!$B:$C,2,FALSE),"")</f>
        <v>BILBAO</v>
      </c>
      <c r="K230" s="5" t="str">
        <f>IFERROR(VLOOKUP(Tabla2[[#This Row],[TIENDA]],[1]INFO_LOCALES!$B:$D,3,FALSE),"")</f>
        <v>I - Tarapacá</v>
      </c>
      <c r="L230" s="5" t="str">
        <f>IFERROR(VLOOKUP(I230,[1]INFO_LOCALES!$B:$I,8,FALSE),"")</f>
        <v>Iquique</v>
      </c>
      <c r="M230" s="5" t="str">
        <f>IFERROR(VLOOKUP(I230,[1]INFO_LOCALES!$B:$H,7,FALSE),"")</f>
        <v>Fco.Bilbao 3545</v>
      </c>
      <c r="N230" s="5">
        <f>IFERROR(VLOOKUP(I230,[1]INFO_LOCALES!$B:$E,4,FALSE),"")</f>
        <v>4049</v>
      </c>
      <c r="O230" s="5" t="str">
        <f>VLOOKUP(Tabla2[[#This Row],[TIENDA]],[1]INFO_LOCALES!$B:$J,9,0)</f>
        <v>CONVENIO</v>
      </c>
      <c r="P230" s="5" t="str">
        <f>IFERROR(VLOOKUP(I230,[1]INFO_LOCALES!$B:$F,5,FALSE),"")</f>
        <v>AGUAS DEL ALTIPLANO S.A.</v>
      </c>
      <c r="Q230" s="5" t="s">
        <v>78</v>
      </c>
      <c r="R230" s="5" t="s">
        <v>58</v>
      </c>
      <c r="S230" s="6">
        <v>45595</v>
      </c>
      <c r="T230" s="5" t="s">
        <v>63</v>
      </c>
      <c r="U230" s="6">
        <v>45474</v>
      </c>
      <c r="V230" s="5" t="s">
        <v>59</v>
      </c>
      <c r="W2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30" s="7">
        <f t="shared" si="7"/>
        <v>3</v>
      </c>
      <c r="Y230" s="5">
        <v>7</v>
      </c>
      <c r="Z230" s="5">
        <v>6.68</v>
      </c>
      <c r="AA230" s="5">
        <v>12</v>
      </c>
      <c r="AB230" s="5">
        <v>21.14</v>
      </c>
      <c r="AC230" s="5">
        <v>627</v>
      </c>
      <c r="AD230" s="5">
        <v>13.4</v>
      </c>
      <c r="AE230" s="5">
        <v>10.53</v>
      </c>
      <c r="AF230" s="5">
        <v>7</v>
      </c>
      <c r="AG230" s="5">
        <v>278</v>
      </c>
      <c r="AH230" s="5">
        <v>6.6</v>
      </c>
      <c r="AI230" s="5">
        <f t="shared" si="8"/>
        <v>198</v>
      </c>
      <c r="AZ230" s="8" t="s">
        <v>185</v>
      </c>
    </row>
    <row r="231" spans="1:52" x14ac:dyDescent="0.25">
      <c r="A231" s="5" t="s">
        <v>52</v>
      </c>
      <c r="B231" s="5" t="s">
        <v>74</v>
      </c>
      <c r="C231" s="5" t="s">
        <v>74</v>
      </c>
      <c r="F231" s="5" t="s">
        <v>55</v>
      </c>
      <c r="G231" s="5" t="s">
        <v>61</v>
      </c>
      <c r="H231" s="5" t="s">
        <v>57</v>
      </c>
      <c r="I231" s="5">
        <v>463</v>
      </c>
      <c r="J231" s="5" t="str">
        <f>IFERROR(VLOOKUP(I231,[1]INFO_LOCALES!$B:$C,2,FALSE),"")</f>
        <v>BORIES AUSTRAL</v>
      </c>
      <c r="K231" s="5" t="str">
        <f>IFERROR(VLOOKUP(Tabla2[[#This Row],[TIENDA]],[1]INFO_LOCALES!$B:$D,3,FALSE),"")</f>
        <v>XII - Magallanes</v>
      </c>
      <c r="L231" s="5" t="str">
        <f>IFERROR(VLOOKUP(I231,[1]INFO_LOCALES!$B:$I,8,FALSE),"")</f>
        <v>Punta Arenas</v>
      </c>
      <c r="M231" s="5" t="str">
        <f>IFERROR(VLOOKUP(I231,[1]INFO_LOCALES!$B:$H,7,FALSE),"")</f>
        <v>Gobernador Bories 647</v>
      </c>
      <c r="N231" s="5">
        <f>IFERROR(VLOOKUP(I231,[1]INFO_LOCALES!$B:$E,4,FALSE),"")</f>
        <v>3739</v>
      </c>
      <c r="O231" s="5" t="str">
        <f>VLOOKUP(Tabla2[[#This Row],[TIENDA]],[1]INFO_LOCALES!$B:$J,9,0)</f>
        <v>SIN CONVENIO</v>
      </c>
      <c r="P231" s="5" t="str">
        <f>IFERROR(VLOOKUP(I231,[1]INFO_LOCALES!$B:$F,5,FALSE),"")</f>
        <v>AGUAS MAGALLANES S.A.</v>
      </c>
      <c r="Q231" s="5" t="s">
        <v>71</v>
      </c>
      <c r="R231" s="5" t="s">
        <v>86</v>
      </c>
      <c r="S231" s="6" t="s">
        <v>87</v>
      </c>
      <c r="T231" s="5" t="s">
        <v>63</v>
      </c>
      <c r="U231" s="6">
        <v>45475</v>
      </c>
      <c r="V231" s="5" t="s">
        <v>59</v>
      </c>
      <c r="W2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31" s="7">
        <f t="shared" si="7"/>
        <v>1</v>
      </c>
      <c r="Y231" s="5">
        <v>2.82</v>
      </c>
      <c r="Z231" s="5">
        <v>7.47</v>
      </c>
      <c r="AA231" s="5">
        <v>2</v>
      </c>
      <c r="AB231" s="5">
        <v>6.2</v>
      </c>
      <c r="AC231" s="5">
        <v>159</v>
      </c>
      <c r="AD231" s="5">
        <v>11.1</v>
      </c>
      <c r="AE231" s="5">
        <v>3.71</v>
      </c>
      <c r="AF231" s="5">
        <v>3</v>
      </c>
      <c r="AG231" s="5">
        <v>122</v>
      </c>
      <c r="AH231" s="5">
        <v>5.05</v>
      </c>
      <c r="AI231" s="5">
        <f t="shared" si="8"/>
        <v>151.5</v>
      </c>
    </row>
    <row r="232" spans="1:52" x14ac:dyDescent="0.25">
      <c r="A232" s="5" t="s">
        <v>52</v>
      </c>
      <c r="B232" s="5" t="s">
        <v>76</v>
      </c>
      <c r="C232" s="5" t="s">
        <v>77</v>
      </c>
      <c r="F232" s="5" t="s">
        <v>55</v>
      </c>
      <c r="G232" s="5" t="s">
        <v>61</v>
      </c>
      <c r="H232" s="5" t="s">
        <v>57</v>
      </c>
      <c r="I232" s="5">
        <v>103</v>
      </c>
      <c r="J232" s="5" t="str">
        <f>IFERROR(VLOOKUP(I232,[1]INFO_LOCALES!$B:$C,2,FALSE),"")</f>
        <v>VIVAR</v>
      </c>
      <c r="K232" s="5" t="str">
        <f>IFERROR(VLOOKUP(Tabla2[[#This Row],[TIENDA]],[1]INFO_LOCALES!$B:$D,3,FALSE),"")</f>
        <v>I - Tarapacá</v>
      </c>
      <c r="L232" s="5" t="str">
        <f>IFERROR(VLOOKUP(I232,[1]INFO_LOCALES!$B:$I,8,FALSE),"")</f>
        <v>Iquique</v>
      </c>
      <c r="M232" s="5" t="str">
        <f>IFERROR(VLOOKUP(I232,[1]INFO_LOCALES!$B:$H,7,FALSE),"")</f>
        <v>Vivar 786</v>
      </c>
      <c r="N232" s="5">
        <f>IFERROR(VLOOKUP(I232,[1]INFO_LOCALES!$B:$E,4,FALSE),"")</f>
        <v>4420</v>
      </c>
      <c r="O232" s="5" t="str">
        <f>VLOOKUP(Tabla2[[#This Row],[TIENDA]],[1]INFO_LOCALES!$B:$J,9,0)</f>
        <v>CONVENIO</v>
      </c>
      <c r="P232" s="5" t="str">
        <f>IFERROR(VLOOKUP(I232,[1]INFO_LOCALES!$B:$F,5,FALSE),"")</f>
        <v>AGUAS DEL ALTIPLANO S.A.</v>
      </c>
      <c r="Q232" s="5" t="s">
        <v>85</v>
      </c>
      <c r="R232" s="5" t="s">
        <v>86</v>
      </c>
      <c r="S232" s="6" t="s">
        <v>87</v>
      </c>
      <c r="T232" s="5" t="s">
        <v>156</v>
      </c>
      <c r="U232" s="6">
        <v>45476</v>
      </c>
      <c r="V232" s="5" t="s">
        <v>59</v>
      </c>
      <c r="W2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32" s="7">
        <f t="shared" si="7"/>
        <v>1</v>
      </c>
      <c r="Y232" s="5">
        <v>63</v>
      </c>
      <c r="Z232" s="5">
        <v>6.75</v>
      </c>
      <c r="AA232" s="5">
        <v>2</v>
      </c>
      <c r="AB232" s="5">
        <v>20</v>
      </c>
      <c r="AC232" s="5">
        <v>167</v>
      </c>
      <c r="AD232" s="5">
        <v>2.6</v>
      </c>
      <c r="AE232" s="5">
        <v>15.4</v>
      </c>
      <c r="AF232" s="5">
        <v>0.5</v>
      </c>
      <c r="AG232" s="5">
        <v>32</v>
      </c>
      <c r="AH232" s="5">
        <v>13.7</v>
      </c>
      <c r="AI232" s="5">
        <f t="shared" si="8"/>
        <v>411</v>
      </c>
    </row>
    <row r="233" spans="1:52" x14ac:dyDescent="0.25">
      <c r="A233" s="5" t="s">
        <v>52</v>
      </c>
      <c r="B233" s="5" t="s">
        <v>74</v>
      </c>
      <c r="C233" s="5" t="s">
        <v>74</v>
      </c>
      <c r="F233" s="5" t="s">
        <v>55</v>
      </c>
      <c r="G233" s="5" t="s">
        <v>61</v>
      </c>
      <c r="H233" s="5" t="s">
        <v>57</v>
      </c>
      <c r="I233" s="5">
        <v>461</v>
      </c>
      <c r="J233" s="5" t="str">
        <f>IFERROR(VLOOKUP(I233,[1]INFO_LOCALES!$B:$C,2,FALSE),"")</f>
        <v>ZENTENO AUSTRAL</v>
      </c>
      <c r="K233" s="5" t="str">
        <f>IFERROR(VLOOKUP(Tabla2[[#This Row],[TIENDA]],[1]INFO_LOCALES!$B:$D,3,FALSE),"")</f>
        <v>XII - Magallanes</v>
      </c>
      <c r="L233" s="5" t="str">
        <f>IFERROR(VLOOKUP(I233,[1]INFO_LOCALES!$B:$I,8,FALSE),"")</f>
        <v>Punta Arenas</v>
      </c>
      <c r="M233" s="5" t="str">
        <f>IFERROR(VLOOKUP(I233,[1]INFO_LOCALES!$B:$H,7,FALSE),"")</f>
        <v>Capitan Guillermo 05</v>
      </c>
      <c r="N233" s="5">
        <f>IFERROR(VLOOKUP(I233,[1]INFO_LOCALES!$B:$E,4,FALSE),"")</f>
        <v>3736</v>
      </c>
      <c r="O233" s="5" t="str">
        <f>VLOOKUP(Tabla2[[#This Row],[TIENDA]],[1]INFO_LOCALES!$B:$J,9,0)</f>
        <v>SIN CONVENIO</v>
      </c>
      <c r="P233" s="5" t="str">
        <f>IFERROR(VLOOKUP(I233,[1]INFO_LOCALES!$B:$F,5,FALSE),"")</f>
        <v>AGUAS MAGALLANES S.A.</v>
      </c>
      <c r="Q233" s="5" t="s">
        <v>71</v>
      </c>
      <c r="R233" s="5" t="s">
        <v>86</v>
      </c>
      <c r="S233" s="6" t="s">
        <v>87</v>
      </c>
      <c r="T233" s="5" t="s">
        <v>63</v>
      </c>
      <c r="U233" s="6">
        <v>45477</v>
      </c>
      <c r="V233" s="5" t="s">
        <v>59</v>
      </c>
      <c r="W2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33" s="7">
        <f t="shared" si="7"/>
        <v>1</v>
      </c>
      <c r="Y233" s="5">
        <v>1.1000000000000001</v>
      </c>
      <c r="Z233" s="5">
        <v>6.68</v>
      </c>
      <c r="AA233" s="5">
        <v>2</v>
      </c>
      <c r="AB233" s="5">
        <v>6.1</v>
      </c>
      <c r="AC233" s="5">
        <v>154</v>
      </c>
      <c r="AD233" s="5">
        <v>3.8</v>
      </c>
      <c r="AE233" s="5">
        <v>2.37</v>
      </c>
      <c r="AF233" s="5">
        <v>0.3</v>
      </c>
      <c r="AG233" s="5">
        <v>36</v>
      </c>
      <c r="AH233" s="5">
        <v>15.08</v>
      </c>
      <c r="AI233" s="5">
        <f t="shared" si="8"/>
        <v>452.4</v>
      </c>
    </row>
    <row r="234" spans="1:52" x14ac:dyDescent="0.25">
      <c r="A234" s="5" t="s">
        <v>52</v>
      </c>
      <c r="B234" s="5" t="s">
        <v>76</v>
      </c>
      <c r="C234" s="5" t="s">
        <v>77</v>
      </c>
      <c r="F234" s="5" t="s">
        <v>55</v>
      </c>
      <c r="G234" s="5" t="s">
        <v>61</v>
      </c>
      <c r="H234" s="5" t="s">
        <v>57</v>
      </c>
      <c r="I234" s="5">
        <v>105</v>
      </c>
      <c r="J234" s="5" t="str">
        <f>IFERROR(VLOOKUP(I234,[1]INFO_LOCALES!$B:$C,2,FALSE),"")</f>
        <v>IQUIQUE CENTRO</v>
      </c>
      <c r="K234" s="5" t="str">
        <f>IFERROR(VLOOKUP(Tabla2[[#This Row],[TIENDA]],[1]INFO_LOCALES!$B:$D,3,FALSE),"")</f>
        <v>I - Tarapacá</v>
      </c>
      <c r="L234" s="5" t="str">
        <f>IFERROR(VLOOKUP(I234,[1]INFO_LOCALES!$B:$I,8,FALSE),"")</f>
        <v>Iquique</v>
      </c>
      <c r="M234" s="5" t="str">
        <f>IFERROR(VLOOKUP(I234,[1]INFO_LOCALES!$B:$H,7,FALSE),"")</f>
        <v>Tarapaca 579</v>
      </c>
      <c r="N234" s="5">
        <f>IFERROR(VLOOKUP(I234,[1]INFO_LOCALES!$B:$E,4,FALSE),"")</f>
        <v>4051</v>
      </c>
      <c r="O234" s="5" t="str">
        <f>VLOOKUP(Tabla2[[#This Row],[TIENDA]],[1]INFO_LOCALES!$B:$J,9,0)</f>
        <v>TERMINADO</v>
      </c>
      <c r="P234" s="5" t="str">
        <f>IFERROR(VLOOKUP(I234,[1]INFO_LOCALES!$B:$F,5,FALSE),"")</f>
        <v>AGUAS DEL ALTIPLANO S.A.</v>
      </c>
      <c r="Q234" s="5" t="s">
        <v>85</v>
      </c>
      <c r="R234" s="5" t="s">
        <v>86</v>
      </c>
      <c r="S234" s="6" t="s">
        <v>87</v>
      </c>
      <c r="T234" s="5" t="s">
        <v>156</v>
      </c>
      <c r="U234" s="6">
        <v>45478</v>
      </c>
      <c r="V234" s="5" t="s">
        <v>59</v>
      </c>
      <c r="W2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34" s="7">
        <f t="shared" si="7"/>
        <v>1</v>
      </c>
      <c r="Y234" s="5">
        <v>44</v>
      </c>
      <c r="Z234" s="5">
        <v>7.94</v>
      </c>
      <c r="AA234" s="5">
        <v>2</v>
      </c>
      <c r="AB234" s="5">
        <v>19.2</v>
      </c>
      <c r="AC234" s="5">
        <v>103</v>
      </c>
      <c r="AD234" s="5">
        <v>2.8</v>
      </c>
      <c r="AE234" s="5">
        <v>17.399999999999999</v>
      </c>
      <c r="AF234" s="5">
        <v>1</v>
      </c>
      <c r="AG234" s="5">
        <v>16</v>
      </c>
      <c r="AH234" s="5">
        <v>11.9</v>
      </c>
      <c r="AI234" s="5">
        <f t="shared" si="8"/>
        <v>357</v>
      </c>
    </row>
    <row r="235" spans="1:52" x14ac:dyDescent="0.25">
      <c r="A235" s="5" t="s">
        <v>52</v>
      </c>
      <c r="B235" s="5" t="s">
        <v>74</v>
      </c>
      <c r="C235" s="5" t="s">
        <v>74</v>
      </c>
      <c r="F235" s="5" t="s">
        <v>55</v>
      </c>
      <c r="G235" s="5" t="s">
        <v>61</v>
      </c>
      <c r="H235" s="5" t="s">
        <v>57</v>
      </c>
      <c r="I235" s="5">
        <v>458</v>
      </c>
      <c r="J235" s="5" t="str">
        <f>IFERROR(VLOOKUP(I235,[1]INFO_LOCALES!$B:$C,2,FALSE),"")</f>
        <v>ESPAÑA AUSTRAL</v>
      </c>
      <c r="K235" s="5" t="str">
        <f>IFERROR(VLOOKUP(Tabla2[[#This Row],[TIENDA]],[1]INFO_LOCALES!$B:$D,3,FALSE),"")</f>
        <v>XII - Magallanes</v>
      </c>
      <c r="L235" s="5" t="str">
        <f>IFERROR(VLOOKUP(I235,[1]INFO_LOCALES!$B:$I,8,FALSE),"")</f>
        <v>Punta Arenas</v>
      </c>
      <c r="M235" s="5" t="str">
        <f>IFERROR(VLOOKUP(I235,[1]INFO_LOCALES!$B:$H,7,FALSE),"")</f>
        <v>Av. España 01375</v>
      </c>
      <c r="N235" s="5">
        <f>IFERROR(VLOOKUP(I235,[1]INFO_LOCALES!$B:$E,4,FALSE),"")</f>
        <v>1306</v>
      </c>
      <c r="O235" s="5" t="str">
        <f>VLOOKUP(Tabla2[[#This Row],[TIENDA]],[1]INFO_LOCALES!$B:$J,9,0)</f>
        <v>SIN CONVENIO</v>
      </c>
      <c r="P235" s="5" t="str">
        <f>IFERROR(VLOOKUP(I235,[1]INFO_LOCALES!$B:$F,5,FALSE),"")</f>
        <v>AGUAS MAGALLANES S.A.</v>
      </c>
      <c r="Q235" s="5" t="s">
        <v>71</v>
      </c>
      <c r="R235" s="5" t="s">
        <v>86</v>
      </c>
      <c r="S235" s="6" t="s">
        <v>87</v>
      </c>
      <c r="T235" s="5" t="s">
        <v>63</v>
      </c>
      <c r="U235" s="6">
        <v>45478</v>
      </c>
      <c r="V235" s="5" t="s">
        <v>59</v>
      </c>
      <c r="W2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35" s="7">
        <f t="shared" si="7"/>
        <v>1</v>
      </c>
      <c r="Y235" s="5">
        <v>22</v>
      </c>
      <c r="Z235" s="5">
        <v>8.2100000000000009</v>
      </c>
      <c r="AA235" s="5">
        <v>2</v>
      </c>
      <c r="AB235" s="5">
        <v>6</v>
      </c>
      <c r="AC235" s="5">
        <v>58.6</v>
      </c>
      <c r="AD235" s="5">
        <v>1.5</v>
      </c>
      <c r="AE235" s="5">
        <v>2.29</v>
      </c>
      <c r="AF235" s="5">
        <v>0.3</v>
      </c>
      <c r="AG235" s="5">
        <v>102</v>
      </c>
      <c r="AH235" s="5">
        <v>20.63</v>
      </c>
      <c r="AI235" s="5">
        <f t="shared" si="8"/>
        <v>618.9</v>
      </c>
    </row>
    <row r="236" spans="1:52" x14ac:dyDescent="0.25">
      <c r="A236" s="5" t="s">
        <v>52</v>
      </c>
      <c r="B236" s="5" t="s">
        <v>90</v>
      </c>
      <c r="C236" s="5" t="s">
        <v>81</v>
      </c>
      <c r="F236" s="5" t="s">
        <v>55</v>
      </c>
      <c r="G236" s="5" t="s">
        <v>56</v>
      </c>
      <c r="H236" s="5" t="s">
        <v>57</v>
      </c>
      <c r="I236" s="5">
        <v>777</v>
      </c>
      <c r="J236" s="5" t="str">
        <f>IFERROR(VLOOKUP(I236,[1]INFO_LOCALES!$B:$C,2,FALSE),"")</f>
        <v>CENTRAL</v>
      </c>
      <c r="K236" s="5" t="str">
        <f>IFERROR(VLOOKUP(Tabla2[[#This Row],[TIENDA]],[1]INFO_LOCALES!$B:$D,3,FALSE),"")</f>
        <v>X - Los Lagos</v>
      </c>
      <c r="L236" s="5" t="str">
        <f>IFERROR(VLOOKUP(I236,[1]INFO_LOCALES!$B:$I,8,FALSE),"")</f>
        <v>Osorno</v>
      </c>
      <c r="M236" s="5" t="str">
        <f>IFERROR(VLOOKUP(I236,[1]INFO_LOCALES!$B:$H,7,FALSE),"")</f>
        <v>Patricio Lynch 1278</v>
      </c>
      <c r="N236" s="5">
        <f>IFERROR(VLOOKUP(I236,[1]INFO_LOCALES!$B:$E,4,FALSE),"")</f>
        <v>3684</v>
      </c>
      <c r="O236" s="5" t="str">
        <f>VLOOKUP(Tabla2[[#This Row],[TIENDA]],[1]INFO_LOCALES!$B:$J,9,0)</f>
        <v>CONVENIO</v>
      </c>
      <c r="P236" s="5" t="str">
        <f>IFERROR(VLOOKUP(I236,[1]INFO_LOCALES!$B:$F,5,FALSE),"")</f>
        <v>SURALIS</v>
      </c>
      <c r="Q236" s="5" t="s">
        <v>105</v>
      </c>
      <c r="R236" s="5" t="s">
        <v>58</v>
      </c>
      <c r="S236" s="6">
        <v>45534</v>
      </c>
      <c r="T236" s="5" t="s">
        <v>63</v>
      </c>
      <c r="U236" s="6">
        <v>45478</v>
      </c>
      <c r="V236" s="5" t="s">
        <v>59</v>
      </c>
      <c r="W2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36" s="7">
        <f t="shared" si="7"/>
        <v>3</v>
      </c>
      <c r="Y236" s="5">
        <v>14</v>
      </c>
      <c r="Z236" s="5">
        <v>7.78</v>
      </c>
      <c r="AA236" s="5">
        <v>18</v>
      </c>
      <c r="AB236" s="5">
        <v>13.6</v>
      </c>
      <c r="AC236" s="5">
        <v>309</v>
      </c>
      <c r="AD236" s="5">
        <v>18.8</v>
      </c>
      <c r="AE236" s="5">
        <v>3.56</v>
      </c>
      <c r="AF236" s="5">
        <v>0.5</v>
      </c>
      <c r="AG236" s="5">
        <v>115</v>
      </c>
      <c r="AH236" s="5">
        <v>1.3</v>
      </c>
      <c r="AI236" s="5">
        <f t="shared" si="8"/>
        <v>39</v>
      </c>
      <c r="AZ236" s="8" t="s">
        <v>186</v>
      </c>
    </row>
    <row r="237" spans="1:52" x14ac:dyDescent="0.25">
      <c r="A237" s="5" t="s">
        <v>52</v>
      </c>
      <c r="B237" s="5" t="s">
        <v>90</v>
      </c>
      <c r="C237" s="5" t="s">
        <v>81</v>
      </c>
      <c r="F237" s="5" t="s">
        <v>55</v>
      </c>
      <c r="G237" s="5" t="s">
        <v>61</v>
      </c>
      <c r="H237" s="5" t="s">
        <v>57</v>
      </c>
      <c r="I237" s="5">
        <v>778</v>
      </c>
      <c r="J237" s="5" t="str">
        <f>IFERROR(VLOOKUP(I237,[1]INFO_LOCALES!$B:$C,2,FALSE),"")</f>
        <v>ORIENTE</v>
      </c>
      <c r="K237" s="5" t="str">
        <f>IFERROR(VLOOKUP(Tabla2[[#This Row],[TIENDA]],[1]INFO_LOCALES!$B:$D,3,FALSE),"")</f>
        <v>X - Los Lagos</v>
      </c>
      <c r="L237" s="5" t="str">
        <f>IFERROR(VLOOKUP(I237,[1]INFO_LOCALES!$B:$I,8,FALSE),"")</f>
        <v>Osorno</v>
      </c>
      <c r="M237" s="5" t="str">
        <f>IFERROR(VLOOKUP(I237,[1]INFO_LOCALES!$B:$H,7,FALSE),"")</f>
        <v>Julio Buschman 2223</v>
      </c>
      <c r="N237" s="5">
        <f>IFERROR(VLOOKUP(I237,[1]INFO_LOCALES!$B:$E,4,FALSE),"")</f>
        <v>2867</v>
      </c>
      <c r="O237" s="5" t="str">
        <f>VLOOKUP(Tabla2[[#This Row],[TIENDA]],[1]INFO_LOCALES!$B:$J,9,0)</f>
        <v>CONVENIO</v>
      </c>
      <c r="P237" s="5" t="str">
        <f>IFERROR(VLOOKUP(I237,[1]INFO_LOCALES!$B:$F,5,FALSE),"")</f>
        <v>SURALIS</v>
      </c>
      <c r="Q237" s="5" t="s">
        <v>105</v>
      </c>
      <c r="R237" s="5" t="s">
        <v>58</v>
      </c>
      <c r="S237" s="6">
        <v>45534</v>
      </c>
      <c r="T237" s="5" t="s">
        <v>63</v>
      </c>
      <c r="U237" s="6">
        <v>45478</v>
      </c>
      <c r="V237" s="5" t="s">
        <v>59</v>
      </c>
      <c r="W2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37" s="7">
        <f t="shared" si="7"/>
        <v>2</v>
      </c>
      <c r="Y237" s="5">
        <v>39</v>
      </c>
      <c r="Z237" s="5">
        <v>7.56</v>
      </c>
      <c r="AA237" s="5">
        <v>2</v>
      </c>
      <c r="AB237" s="5">
        <v>12.3</v>
      </c>
      <c r="AC237" s="5">
        <v>314</v>
      </c>
      <c r="AD237" s="5">
        <v>7.4</v>
      </c>
      <c r="AE237" s="5">
        <v>44.48</v>
      </c>
      <c r="AF237" s="5">
        <v>3.5</v>
      </c>
      <c r="AG237" s="5">
        <v>316</v>
      </c>
      <c r="AH237" s="5">
        <v>7.8</v>
      </c>
      <c r="AI237" s="5">
        <f t="shared" si="8"/>
        <v>234</v>
      </c>
      <c r="AZ237" s="8" t="s">
        <v>187</v>
      </c>
    </row>
    <row r="238" spans="1:52" x14ac:dyDescent="0.25">
      <c r="A238" s="5" t="s">
        <v>52</v>
      </c>
      <c r="B238" s="5" t="s">
        <v>74</v>
      </c>
      <c r="C238" s="5" t="s">
        <v>74</v>
      </c>
      <c r="F238" s="5" t="s">
        <v>55</v>
      </c>
      <c r="G238" s="5" t="s">
        <v>61</v>
      </c>
      <c r="H238" s="5" t="s">
        <v>57</v>
      </c>
      <c r="I238" s="5">
        <v>465</v>
      </c>
      <c r="J238" s="5" t="str">
        <f>IFERROR(VLOOKUP(I238,[1]INFO_LOCALES!$B:$C,2,FALSE),"")</f>
        <v>PUERTO NATALES</v>
      </c>
      <c r="K238" s="5" t="str">
        <f>IFERROR(VLOOKUP(Tabla2[[#This Row],[TIENDA]],[1]INFO_LOCALES!$B:$D,3,FALSE),"")</f>
        <v>XII - Magallanes</v>
      </c>
      <c r="L238" s="5" t="str">
        <f>IFERROR(VLOOKUP(I238,[1]INFO_LOCALES!$B:$I,8,FALSE),"")</f>
        <v>Puerto Natales</v>
      </c>
      <c r="M238" s="5" t="str">
        <f>IFERROR(VLOOKUP(I238,[1]INFO_LOCALES!$B:$H,7,FALSE),"")</f>
        <v>Bulnes 742</v>
      </c>
      <c r="N238" s="5">
        <f>IFERROR(VLOOKUP(I238,[1]INFO_LOCALES!$B:$E,4,FALSE),"")</f>
        <v>1133</v>
      </c>
      <c r="O238" s="5" t="str">
        <f>VLOOKUP(Tabla2[[#This Row],[TIENDA]],[1]INFO_LOCALES!$B:$J,9,0)</f>
        <v>SIN CONVENIO</v>
      </c>
      <c r="P238" s="5" t="str">
        <f>IFERROR(VLOOKUP(I238,[1]INFO_LOCALES!$B:$F,5,FALSE),"")</f>
        <v>AGUAS MAGALLANES S.A.</v>
      </c>
      <c r="Q238" s="5" t="s">
        <v>71</v>
      </c>
      <c r="R238" s="5" t="s">
        <v>86</v>
      </c>
      <c r="S238" s="6" t="s">
        <v>87</v>
      </c>
      <c r="T238" s="5" t="s">
        <v>63</v>
      </c>
      <c r="U238" s="6">
        <v>45480</v>
      </c>
      <c r="V238" s="5" t="s">
        <v>59</v>
      </c>
      <c r="W2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38" s="7">
        <f t="shared" si="7"/>
        <v>1</v>
      </c>
      <c r="Y238" s="5">
        <v>6</v>
      </c>
      <c r="Z238" s="5">
        <v>7.38</v>
      </c>
      <c r="AA238" s="5">
        <v>2</v>
      </c>
      <c r="AB238" s="5">
        <v>8.1999999999999993</v>
      </c>
      <c r="AC238" s="5">
        <v>35.4</v>
      </c>
      <c r="AD238" s="5">
        <v>7.1</v>
      </c>
      <c r="AE238" s="5">
        <v>8.74</v>
      </c>
      <c r="AF238" s="5">
        <v>1</v>
      </c>
      <c r="AG238" s="5">
        <v>40</v>
      </c>
      <c r="AH238" s="5">
        <v>44</v>
      </c>
      <c r="AI238" s="5">
        <f t="shared" si="8"/>
        <v>1320</v>
      </c>
    </row>
    <row r="239" spans="1:52" x14ac:dyDescent="0.25">
      <c r="A239" s="5" t="s">
        <v>52</v>
      </c>
      <c r="B239" s="5" t="s">
        <v>74</v>
      </c>
      <c r="C239" s="5" t="s">
        <v>74</v>
      </c>
      <c r="F239" s="5" t="s">
        <v>55</v>
      </c>
      <c r="G239" s="5" t="s">
        <v>61</v>
      </c>
      <c r="H239" s="5" t="s">
        <v>57</v>
      </c>
      <c r="I239" s="5">
        <v>465</v>
      </c>
      <c r="J239" s="5" t="str">
        <f>IFERROR(VLOOKUP(I239,[1]INFO_LOCALES!$B:$C,2,FALSE),"")</f>
        <v>PUERTO NATALES</v>
      </c>
      <c r="K239" s="5" t="str">
        <f>IFERROR(VLOOKUP(Tabla2[[#This Row],[TIENDA]],[1]INFO_LOCALES!$B:$D,3,FALSE),"")</f>
        <v>XII - Magallanes</v>
      </c>
      <c r="L239" s="5" t="str">
        <f>IFERROR(VLOOKUP(I239,[1]INFO_LOCALES!$B:$I,8,FALSE),"")</f>
        <v>Puerto Natales</v>
      </c>
      <c r="M239" s="5" t="str">
        <f>IFERROR(VLOOKUP(I239,[1]INFO_LOCALES!$B:$H,7,FALSE),"")</f>
        <v>Bulnes 742</v>
      </c>
      <c r="N239" s="5">
        <f>IFERROR(VLOOKUP(I239,[1]INFO_LOCALES!$B:$E,4,FALSE),"")</f>
        <v>1133</v>
      </c>
      <c r="O239" s="5" t="str">
        <f>VLOOKUP(Tabla2[[#This Row],[TIENDA]],[1]INFO_LOCALES!$B:$J,9,0)</f>
        <v>SIN CONVENIO</v>
      </c>
      <c r="P239" s="5" t="str">
        <f>IFERROR(VLOOKUP(I239,[1]INFO_LOCALES!$B:$F,5,FALSE),"")</f>
        <v>AGUAS MAGALLANES S.A.</v>
      </c>
      <c r="Q239" s="5" t="s">
        <v>71</v>
      </c>
      <c r="R239" s="5" t="s">
        <v>86</v>
      </c>
      <c r="S239" s="6" t="s">
        <v>87</v>
      </c>
      <c r="T239" s="5" t="s">
        <v>63</v>
      </c>
      <c r="U239" s="6">
        <v>45480</v>
      </c>
      <c r="V239" s="5" t="s">
        <v>59</v>
      </c>
      <c r="W2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39" s="7">
        <f t="shared" si="7"/>
        <v>1</v>
      </c>
      <c r="AH239" s="5">
        <v>44</v>
      </c>
      <c r="AI239" s="5">
        <f t="shared" si="8"/>
        <v>1320</v>
      </c>
    </row>
    <row r="240" spans="1:52" x14ac:dyDescent="0.25">
      <c r="A240" s="5" t="s">
        <v>52</v>
      </c>
      <c r="B240" s="5" t="s">
        <v>53</v>
      </c>
      <c r="C240" s="5" t="s">
        <v>54</v>
      </c>
      <c r="F240" s="5" t="s">
        <v>55</v>
      </c>
      <c r="G240" s="5" t="s">
        <v>61</v>
      </c>
      <c r="H240" s="5" t="s">
        <v>57</v>
      </c>
      <c r="I240" s="5">
        <v>344</v>
      </c>
      <c r="J240" s="5" t="str">
        <f>IFERROR(VLOOKUP(I240,[1]INFO_LOCALES!$B:$C,2,FALSE),"")</f>
        <v>CURICO ALAMEDA</v>
      </c>
      <c r="K240" s="5" t="str">
        <f>IFERROR(VLOOKUP(Tabla2[[#This Row],[TIENDA]],[1]INFO_LOCALES!$B:$D,3,FALSE),"")</f>
        <v>VII - Maule</v>
      </c>
      <c r="L240" s="5" t="str">
        <f>IFERROR(VLOOKUP(I240,[1]INFO_LOCALES!$B:$I,8,FALSE),"")</f>
        <v>Curicó</v>
      </c>
      <c r="M240" s="5" t="str">
        <f>IFERROR(VLOOKUP(I240,[1]INFO_LOCALES!$B:$H,7,FALSE),"")</f>
        <v>Estado 43</v>
      </c>
      <c r="N240" s="5">
        <f>IFERROR(VLOOKUP(I240,[1]INFO_LOCALES!$B:$E,4,FALSE),"")</f>
        <v>4530</v>
      </c>
      <c r="O240" s="5" t="str">
        <f>VLOOKUP(Tabla2[[#This Row],[TIENDA]],[1]INFO_LOCALES!$B:$J,9,0)</f>
        <v>SIN CONVENIO</v>
      </c>
      <c r="P240" s="5" t="str">
        <f>IFERROR(VLOOKUP(I240,[1]INFO_LOCALES!$B:$F,5,FALSE),"")</f>
        <v>NUEVOSUR S.A.</v>
      </c>
      <c r="Q240" s="5" t="s">
        <v>85</v>
      </c>
      <c r="R240" s="5" t="s">
        <v>86</v>
      </c>
      <c r="S240" s="6" t="s">
        <v>87</v>
      </c>
      <c r="T240" s="5" t="s">
        <v>63</v>
      </c>
      <c r="U240" s="6">
        <v>45481</v>
      </c>
      <c r="V240" s="5" t="s">
        <v>59</v>
      </c>
      <c r="W2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40" s="7">
        <f t="shared" si="7"/>
        <v>1</v>
      </c>
      <c r="Y240" s="5">
        <v>7.76</v>
      </c>
      <c r="Z240" s="5">
        <v>6.75</v>
      </c>
      <c r="AA240" s="5">
        <v>2</v>
      </c>
      <c r="AB240" s="5">
        <v>12</v>
      </c>
      <c r="AC240" s="5">
        <v>240</v>
      </c>
      <c r="AD240" s="5">
        <v>4.37</v>
      </c>
      <c r="AE240" s="5">
        <v>33</v>
      </c>
      <c r="AF240" s="5">
        <v>3</v>
      </c>
      <c r="AG240" s="5">
        <v>206</v>
      </c>
      <c r="AH240" s="5">
        <v>0</v>
      </c>
      <c r="AI240" s="5">
        <f t="shared" si="8"/>
        <v>0</v>
      </c>
    </row>
    <row r="241" spans="1:52" x14ac:dyDescent="0.25">
      <c r="A241" s="5" t="s">
        <v>52</v>
      </c>
      <c r="B241" s="5" t="s">
        <v>76</v>
      </c>
      <c r="C241" s="5" t="s">
        <v>77</v>
      </c>
      <c r="F241" s="5" t="s">
        <v>55</v>
      </c>
      <c r="G241" s="5" t="s">
        <v>65</v>
      </c>
      <c r="H241" s="5" t="s">
        <v>57</v>
      </c>
      <c r="I241" s="5">
        <v>87</v>
      </c>
      <c r="J241" s="5" t="str">
        <f>IFERROR(VLOOKUP(I241,[1]INFO_LOCALES!$B:$C,2,FALSE),"")</f>
        <v>JUAN MARTINEZ</v>
      </c>
      <c r="K241" s="5" t="str">
        <f>IFERROR(VLOOKUP(Tabla2[[#This Row],[TIENDA]],[1]INFO_LOCALES!$B:$D,3,FALSE),"")</f>
        <v>I - Tarapacá</v>
      </c>
      <c r="L241" s="5" t="str">
        <f>IFERROR(VLOOKUP(I241,[1]INFO_LOCALES!$B:$I,8,FALSE),"")</f>
        <v>Iquique</v>
      </c>
      <c r="M241" s="5" t="str">
        <f>IFERROR(VLOOKUP(I241,[1]INFO_LOCALES!$B:$H,7,FALSE),"")</f>
        <v>M. Rodriguez 964</v>
      </c>
      <c r="N241" s="5">
        <f>IFERROR(VLOOKUP(I241,[1]INFO_LOCALES!$B:$E,4,FALSE),"")</f>
        <v>0</v>
      </c>
      <c r="O241" s="5" t="str">
        <f>VLOOKUP(Tabla2[[#This Row],[TIENDA]],[1]INFO_LOCALES!$B:$J,9,0)</f>
        <v>CONVENIO</v>
      </c>
      <c r="P241" s="5" t="str">
        <f>IFERROR(VLOOKUP(I241,[1]INFO_LOCALES!$B:$F,5,FALSE),"")</f>
        <v>AGUAS DEL ALTIPLANO S.A.</v>
      </c>
      <c r="Q241" s="5" t="s">
        <v>78</v>
      </c>
      <c r="R241" s="5" t="s">
        <v>58</v>
      </c>
      <c r="S241" s="6">
        <v>45534</v>
      </c>
      <c r="T241" s="5" t="s">
        <v>63</v>
      </c>
      <c r="U241" s="6">
        <v>45481</v>
      </c>
      <c r="V241" s="5" t="s">
        <v>59</v>
      </c>
      <c r="W2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41" s="7">
        <f t="shared" si="7"/>
        <v>1</v>
      </c>
      <c r="Y241" s="5">
        <v>5</v>
      </c>
      <c r="Z241" s="5">
        <v>6.67</v>
      </c>
      <c r="AA241" s="5">
        <v>2</v>
      </c>
      <c r="AB241" s="5">
        <v>21.8</v>
      </c>
      <c r="AC241" s="5">
        <v>9</v>
      </c>
      <c r="AD241" s="5">
        <v>0.1</v>
      </c>
      <c r="AE241" s="5">
        <v>0.75</v>
      </c>
      <c r="AF241" s="5">
        <v>0.5</v>
      </c>
      <c r="AG241" s="5">
        <v>4</v>
      </c>
      <c r="AH241" s="5">
        <v>3.8</v>
      </c>
      <c r="AI241" s="5">
        <f t="shared" si="8"/>
        <v>114</v>
      </c>
    </row>
    <row r="242" spans="1:52" x14ac:dyDescent="0.25">
      <c r="A242" s="5" t="s">
        <v>52</v>
      </c>
      <c r="B242" s="5" t="s">
        <v>76</v>
      </c>
      <c r="C242" s="5" t="s">
        <v>77</v>
      </c>
      <c r="F242" s="5" t="s">
        <v>55</v>
      </c>
      <c r="G242" s="5" t="s">
        <v>61</v>
      </c>
      <c r="H242" s="5" t="s">
        <v>57</v>
      </c>
      <c r="I242" s="5">
        <v>103</v>
      </c>
      <c r="J242" s="5" t="str">
        <f>IFERROR(VLOOKUP(I242,[1]INFO_LOCALES!$B:$C,2,FALSE),"")</f>
        <v>VIVAR</v>
      </c>
      <c r="K242" s="5" t="str">
        <f>IFERROR(VLOOKUP(Tabla2[[#This Row],[TIENDA]],[1]INFO_LOCALES!$B:$D,3,FALSE),"")</f>
        <v>I - Tarapacá</v>
      </c>
      <c r="L242" s="5" t="str">
        <f>IFERROR(VLOOKUP(I242,[1]INFO_LOCALES!$B:$I,8,FALSE),"")</f>
        <v>Iquique</v>
      </c>
      <c r="M242" s="5" t="str">
        <f>IFERROR(VLOOKUP(I242,[1]INFO_LOCALES!$B:$H,7,FALSE),"")</f>
        <v>Vivar 786</v>
      </c>
      <c r="N242" s="5">
        <f>IFERROR(VLOOKUP(I242,[1]INFO_LOCALES!$B:$E,4,FALSE),"")</f>
        <v>4420</v>
      </c>
      <c r="O242" s="5" t="str">
        <f>VLOOKUP(Tabla2[[#This Row],[TIENDA]],[1]INFO_LOCALES!$B:$J,9,0)</f>
        <v>CONVENIO</v>
      </c>
      <c r="P242" s="5" t="str">
        <f>IFERROR(VLOOKUP(I242,[1]INFO_LOCALES!$B:$F,5,FALSE),"")</f>
        <v>AGUAS DEL ALTIPLANO S.A.</v>
      </c>
      <c r="Q242" s="5" t="s">
        <v>78</v>
      </c>
      <c r="R242" s="5" t="s">
        <v>58</v>
      </c>
      <c r="S242" s="6">
        <v>45595</v>
      </c>
      <c r="T242" s="5" t="s">
        <v>63</v>
      </c>
      <c r="U242" s="6">
        <v>45481</v>
      </c>
      <c r="V242" s="5" t="s">
        <v>59</v>
      </c>
      <c r="W2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42" s="7">
        <f t="shared" si="7"/>
        <v>1</v>
      </c>
      <c r="Y242" s="5">
        <v>6</v>
      </c>
      <c r="Z242" s="5">
        <v>6.53</v>
      </c>
      <c r="AA242" s="5">
        <v>2</v>
      </c>
      <c r="AB242" s="5">
        <v>20.89</v>
      </c>
      <c r="AC242" s="5">
        <v>10</v>
      </c>
      <c r="AD242" s="5">
        <v>0.2</v>
      </c>
      <c r="AE242" s="5">
        <v>0.47</v>
      </c>
      <c r="AF242" s="5">
        <v>0.5</v>
      </c>
      <c r="AG242" s="5">
        <v>11</v>
      </c>
      <c r="AH242" s="5">
        <v>17.2</v>
      </c>
      <c r="AI242" s="5">
        <f t="shared" si="8"/>
        <v>516</v>
      </c>
      <c r="AZ242" s="8" t="s">
        <v>145</v>
      </c>
    </row>
    <row r="243" spans="1:52" x14ac:dyDescent="0.25">
      <c r="A243" s="5" t="s">
        <v>52</v>
      </c>
      <c r="B243" s="5" t="s">
        <v>74</v>
      </c>
      <c r="C243" s="5" t="s">
        <v>74</v>
      </c>
      <c r="F243" s="5" t="s">
        <v>55</v>
      </c>
      <c r="G243" s="5" t="s">
        <v>61</v>
      </c>
      <c r="H243" s="5" t="s">
        <v>57</v>
      </c>
      <c r="I243" s="5">
        <v>459</v>
      </c>
      <c r="J243" s="5" t="str">
        <f>IFERROR(VLOOKUP(I243,[1]INFO_LOCALES!$B:$C,2,FALSE),"")</f>
        <v>ALLENDE AUSTRAL</v>
      </c>
      <c r="K243" s="5" t="str">
        <f>IFERROR(VLOOKUP(Tabla2[[#This Row],[TIENDA]],[1]INFO_LOCALES!$B:$D,3,FALSE),"")</f>
        <v>XII - Magallanes</v>
      </c>
      <c r="L243" s="5" t="str">
        <f>IFERROR(VLOOKUP(I243,[1]INFO_LOCALES!$B:$I,8,FALSE),"")</f>
        <v>Punta Arenas</v>
      </c>
      <c r="M243" s="5" t="str">
        <f>IFERROR(VLOOKUP(I243,[1]INFO_LOCALES!$B:$H,7,FALSE),"")</f>
        <v>Salvador Allende 0399</v>
      </c>
      <c r="N243" s="5">
        <f>IFERROR(VLOOKUP(I243,[1]INFO_LOCALES!$B:$E,4,FALSE),"")</f>
        <v>3735</v>
      </c>
      <c r="O243" s="5" t="str">
        <f>VLOOKUP(Tabla2[[#This Row],[TIENDA]],[1]INFO_LOCALES!$B:$J,9,0)</f>
        <v>SIN CONVENIO</v>
      </c>
      <c r="P243" s="5" t="str">
        <f>IFERROR(VLOOKUP(I243,[1]INFO_LOCALES!$B:$F,5,FALSE),"")</f>
        <v>AGUAS MAGALLANES S.A.</v>
      </c>
      <c r="Q243" s="5" t="s">
        <v>71</v>
      </c>
      <c r="R243" s="5" t="s">
        <v>86</v>
      </c>
      <c r="S243" s="6" t="s">
        <v>87</v>
      </c>
      <c r="T243" s="5" t="s">
        <v>63</v>
      </c>
      <c r="U243" s="6">
        <v>45482</v>
      </c>
      <c r="V243" s="5" t="s">
        <v>59</v>
      </c>
      <c r="W2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43" s="7">
        <f t="shared" si="7"/>
        <v>1</v>
      </c>
      <c r="Y243" s="5">
        <v>4.0999999999999996</v>
      </c>
      <c r="Z243" s="5">
        <v>6.39</v>
      </c>
      <c r="AA243" s="5">
        <v>2</v>
      </c>
      <c r="AB243" s="5">
        <v>8.1</v>
      </c>
      <c r="AC243" s="5">
        <v>134</v>
      </c>
      <c r="AD243" s="5">
        <v>2.9</v>
      </c>
      <c r="AE243" s="5">
        <v>3.57</v>
      </c>
      <c r="AF243" s="5">
        <v>0.5</v>
      </c>
      <c r="AG243" s="5">
        <v>61</v>
      </c>
      <c r="AH243" s="5">
        <v>21.13</v>
      </c>
      <c r="AI243" s="5">
        <f t="shared" si="8"/>
        <v>633.9</v>
      </c>
    </row>
    <row r="244" spans="1:52" x14ac:dyDescent="0.25">
      <c r="A244" s="5" t="s">
        <v>60</v>
      </c>
      <c r="B244" s="5" t="e">
        <v>#N/A</v>
      </c>
      <c r="C244" s="5" t="e">
        <v>#N/A</v>
      </c>
      <c r="F244" s="5" t="s">
        <v>55</v>
      </c>
      <c r="G244" s="5" t="s">
        <v>61</v>
      </c>
      <c r="H244" s="5" t="s">
        <v>57</v>
      </c>
      <c r="I244" s="5">
        <v>3143</v>
      </c>
      <c r="J244" s="5" t="str">
        <f>IFERROR(VLOOKUP(I244,[1]INFO_LOCALES!$B:$C,2,FALSE),"")</f>
        <v>M10 TEMUCO IV</v>
      </c>
      <c r="K244" s="5" t="str">
        <f>IFERROR(VLOOKUP(Tabla2[[#This Row],[TIENDA]],[1]INFO_LOCALES!$B:$D,3,FALSE),"")</f>
        <v>IX - Araucanía</v>
      </c>
      <c r="L244" s="5" t="str">
        <f>IFERROR(VLOOKUP(I244,[1]INFO_LOCALES!$B:$I,8,FALSE),"")</f>
        <v>Temuco</v>
      </c>
      <c r="M244" s="5" t="str">
        <f>IFERROR(VLOOKUP(I244,[1]INFO_LOCALES!$B:$H,7,FALSE),"")</f>
        <v>Francisco Salazar 01650</v>
      </c>
      <c r="N244" s="5">
        <f>IFERROR(VLOOKUP(I244,[1]INFO_LOCALES!$B:$E,4,FALSE),"")</f>
        <v>4422</v>
      </c>
      <c r="O244" s="5" t="str">
        <f>VLOOKUP(Tabla2[[#This Row],[TIENDA]],[1]INFO_LOCALES!$B:$J,9,0)</f>
        <v>CONVENIO</v>
      </c>
      <c r="P244" s="5" t="str">
        <f>IFERROR(VLOOKUP(I244,[1]INFO_LOCALES!$B:$F,5,FALSE),"")</f>
        <v>AGUAS ARAUCANIA S A</v>
      </c>
      <c r="Q244" s="5" t="s">
        <v>62</v>
      </c>
      <c r="R244" s="5" t="s">
        <v>58</v>
      </c>
      <c r="S244" s="6">
        <v>45583</v>
      </c>
      <c r="T244" s="5" t="s">
        <v>63</v>
      </c>
      <c r="U244" s="6">
        <v>45482</v>
      </c>
      <c r="V244" s="5" t="s">
        <v>59</v>
      </c>
      <c r="W2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44" s="7">
        <f t="shared" si="7"/>
        <v>1</v>
      </c>
      <c r="Z244" s="5">
        <v>8.02</v>
      </c>
      <c r="AB244" s="5">
        <v>10.58</v>
      </c>
      <c r="AH244" s="5">
        <v>3.96</v>
      </c>
      <c r="AI244" s="5">
        <f t="shared" si="8"/>
        <v>118.8</v>
      </c>
    </row>
    <row r="245" spans="1:52" x14ac:dyDescent="0.25">
      <c r="A245" s="5" t="s">
        <v>52</v>
      </c>
      <c r="B245" s="5" t="s">
        <v>82</v>
      </c>
      <c r="C245" s="5" t="s">
        <v>77</v>
      </c>
      <c r="F245" s="5" t="s">
        <v>55</v>
      </c>
      <c r="G245" s="5" t="s">
        <v>61</v>
      </c>
      <c r="H245" s="5" t="s">
        <v>57</v>
      </c>
      <c r="I245" s="5">
        <v>32</v>
      </c>
      <c r="J245" s="5" t="str">
        <f>IFERROR(VLOOKUP(I245,[1]INFO_LOCALES!$B:$C,2,FALSE),"")</f>
        <v>CHAÑARCILLO</v>
      </c>
      <c r="K245" s="5" t="str">
        <f>IFERROR(VLOOKUP(Tabla2[[#This Row],[TIENDA]],[1]INFO_LOCALES!$B:$D,3,FALSE),"")</f>
        <v>III - Atacama</v>
      </c>
      <c r="L245" s="5" t="str">
        <f>IFERROR(VLOOKUP(I245,[1]INFO_LOCALES!$B:$I,8,FALSE),"")</f>
        <v>Copiapó</v>
      </c>
      <c r="M245" s="5" t="str">
        <f>IFERROR(VLOOKUP(I245,[1]INFO_LOCALES!$B:$H,7,FALSE),"")</f>
        <v>Chacabuco Nº 231</v>
      </c>
      <c r="N245" s="5">
        <f>IFERROR(VLOOKUP(I245,[1]INFO_LOCALES!$B:$E,4,FALSE),"")</f>
        <v>0</v>
      </c>
      <c r="O245" s="5" t="str">
        <f>VLOOKUP(Tabla2[[#This Row],[TIENDA]],[1]INFO_LOCALES!$B:$J,9,0)</f>
        <v>CONVENIO</v>
      </c>
      <c r="P245" s="5" t="str">
        <f>IFERROR(VLOOKUP(I245,[1]INFO_LOCALES!$B:$F,5,FALSE),"")</f>
        <v>NUEVA ATACAMA</v>
      </c>
      <c r="Q245" s="5" t="s">
        <v>66</v>
      </c>
      <c r="R245" s="5" t="s">
        <v>58</v>
      </c>
      <c r="S245" s="6">
        <v>45541</v>
      </c>
      <c r="T245" s="5" t="s">
        <v>63</v>
      </c>
      <c r="U245" s="6">
        <v>45484</v>
      </c>
      <c r="V245" s="5" t="s">
        <v>59</v>
      </c>
      <c r="W2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45" s="7">
        <f t="shared" si="7"/>
        <v>3</v>
      </c>
      <c r="Y245" s="5">
        <v>36.229999999999997</v>
      </c>
      <c r="AA245" s="5">
        <v>39.700000000000003</v>
      </c>
      <c r="AC245" s="5">
        <v>406</v>
      </c>
      <c r="AD245" s="5">
        <v>3.01</v>
      </c>
      <c r="AE245" s="5">
        <v>65</v>
      </c>
      <c r="AF245" s="5">
        <v>1.5</v>
      </c>
      <c r="AG245" s="5">
        <v>175.93</v>
      </c>
      <c r="AI245" s="5">
        <f t="shared" si="8"/>
        <v>0</v>
      </c>
      <c r="AY245" s="5">
        <v>0.1</v>
      </c>
    </row>
    <row r="246" spans="1:52" x14ac:dyDescent="0.25">
      <c r="A246" s="5" t="s">
        <v>52</v>
      </c>
      <c r="B246" s="5" t="s">
        <v>104</v>
      </c>
      <c r="C246" s="5" t="s">
        <v>54</v>
      </c>
      <c r="F246" s="5" t="s">
        <v>55</v>
      </c>
      <c r="G246" s="5" t="s">
        <v>61</v>
      </c>
      <c r="H246" s="5" t="s">
        <v>57</v>
      </c>
      <c r="I246" s="5">
        <v>555</v>
      </c>
      <c r="J246" s="5" t="str">
        <f>IFERROR(VLOOKUP(I246,[1]INFO_LOCALES!$B:$C,2,FALSE),"")</f>
        <v>GRANEROS</v>
      </c>
      <c r="K246" s="5" t="str">
        <f>IFERROR(VLOOKUP(Tabla2[[#This Row],[TIENDA]],[1]INFO_LOCALES!$B:$D,3,FALSE),"")</f>
        <v>VI - O'Higgins</v>
      </c>
      <c r="L246" s="5" t="str">
        <f>IFERROR(VLOOKUP(I246,[1]INFO_LOCALES!$B:$I,8,FALSE),"")</f>
        <v>Graneros</v>
      </c>
      <c r="M246" s="5" t="str">
        <f>IFERROR(VLOOKUP(I246,[1]INFO_LOCALES!$B:$H,7,FALSE),"")</f>
        <v>Obispo Rafael Lira 042</v>
      </c>
      <c r="N246" s="5">
        <f>IFERROR(VLOOKUP(I246,[1]INFO_LOCALES!$B:$E,4,FALSE),"")</f>
        <v>4574</v>
      </c>
      <c r="O246" s="5" t="str">
        <f>VLOOKUP(Tabla2[[#This Row],[TIENDA]],[1]INFO_LOCALES!$B:$J,9,0)</f>
        <v>SIN CONVENIO</v>
      </c>
      <c r="P246" s="5" t="str">
        <f>IFERROR(VLOOKUP(I246,[1]INFO_LOCALES!$B:$F,5,FALSE),"")</f>
        <v>ESSBIO S.A.</v>
      </c>
      <c r="Q246" s="5" t="s">
        <v>85</v>
      </c>
      <c r="R246" s="5" t="s">
        <v>86</v>
      </c>
      <c r="S246" s="6" t="s">
        <v>87</v>
      </c>
      <c r="T246" s="5" t="s">
        <v>63</v>
      </c>
      <c r="U246" s="6">
        <v>45485</v>
      </c>
      <c r="V246" s="5" t="s">
        <v>59</v>
      </c>
      <c r="W2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46" s="7">
        <f t="shared" si="7"/>
        <v>2</v>
      </c>
      <c r="Y246" s="5">
        <v>72.7</v>
      </c>
      <c r="Z246" s="5">
        <v>7.7</v>
      </c>
      <c r="AA246" s="5">
        <v>5</v>
      </c>
      <c r="AB246" s="5">
        <v>10.6</v>
      </c>
      <c r="AC246" s="5">
        <v>383</v>
      </c>
      <c r="AD246" s="5">
        <v>7.8</v>
      </c>
      <c r="AE246" s="5">
        <v>8.2899999999999991</v>
      </c>
      <c r="AF246" s="5">
        <v>7</v>
      </c>
      <c r="AG246" s="5">
        <v>337.5</v>
      </c>
      <c r="AH246" s="5">
        <v>4.32</v>
      </c>
      <c r="AI246" s="5">
        <f t="shared" si="8"/>
        <v>129.60000000000002</v>
      </c>
    </row>
    <row r="247" spans="1:52" x14ac:dyDescent="0.25">
      <c r="A247" s="5" t="s">
        <v>52</v>
      </c>
      <c r="B247" s="5" t="s">
        <v>93</v>
      </c>
      <c r="C247" s="5" t="s">
        <v>81</v>
      </c>
      <c r="F247" s="5" t="s">
        <v>55</v>
      </c>
      <c r="G247" s="5" t="s">
        <v>61</v>
      </c>
      <c r="H247" s="5" t="s">
        <v>57</v>
      </c>
      <c r="I247" s="5">
        <v>576</v>
      </c>
      <c r="J247" s="5" t="str">
        <f>IFERROR(VLOOKUP(I247,[1]INFO_LOCALES!$B:$C,2,FALSE),"")</f>
        <v>CASTRO I</v>
      </c>
      <c r="K247" s="5" t="str">
        <f>IFERROR(VLOOKUP(Tabla2[[#This Row],[TIENDA]],[1]INFO_LOCALES!$B:$D,3,FALSE),"")</f>
        <v>X - Los Lagos</v>
      </c>
      <c r="L247" s="5" t="str">
        <f>IFERROR(VLOOKUP(I247,[1]INFO_LOCALES!$B:$I,8,FALSE),"")</f>
        <v>Castro</v>
      </c>
      <c r="M247" s="5" t="str">
        <f>IFERROR(VLOOKUP(I247,[1]INFO_LOCALES!$B:$H,7,FALSE),"")</f>
        <v>O'Higgins 711</v>
      </c>
      <c r="N247" s="5">
        <f>IFERROR(VLOOKUP(I247,[1]INFO_LOCALES!$B:$E,4,FALSE),"")</f>
        <v>3875</v>
      </c>
      <c r="O247" s="5" t="str">
        <f>VLOOKUP(Tabla2[[#This Row],[TIENDA]],[1]INFO_LOCALES!$B:$J,9,0)</f>
        <v>SIN CONVENIO</v>
      </c>
      <c r="P247" s="5" t="str">
        <f>IFERROR(VLOOKUP(I247,[1]INFO_LOCALES!$B:$F,5,FALSE),"")</f>
        <v>SURALIS</v>
      </c>
      <c r="Q247" s="5" t="s">
        <v>105</v>
      </c>
      <c r="R247" s="5" t="s">
        <v>58</v>
      </c>
      <c r="S247" s="6">
        <v>45534</v>
      </c>
      <c r="T247" s="5" t="s">
        <v>63</v>
      </c>
      <c r="U247" s="6">
        <v>45485</v>
      </c>
      <c r="V247" s="5" t="s">
        <v>59</v>
      </c>
      <c r="W2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47" s="7">
        <f t="shared" si="7"/>
        <v>2</v>
      </c>
      <c r="Y247" s="5">
        <v>85</v>
      </c>
      <c r="Z247" s="5">
        <v>7.84</v>
      </c>
      <c r="AA247" s="5">
        <v>2</v>
      </c>
      <c r="AB247" s="5">
        <v>13.6</v>
      </c>
      <c r="AC247" s="5">
        <v>404</v>
      </c>
      <c r="AD247" s="5">
        <v>7.6</v>
      </c>
      <c r="AE247" s="5">
        <v>15.48</v>
      </c>
      <c r="AF247" s="5">
        <v>2</v>
      </c>
      <c r="AG247" s="5">
        <v>177</v>
      </c>
      <c r="AH247" s="5">
        <v>4</v>
      </c>
      <c r="AI247" s="5">
        <f t="shared" si="8"/>
        <v>120</v>
      </c>
      <c r="AZ247" s="8" t="s">
        <v>188</v>
      </c>
    </row>
    <row r="248" spans="1:52" x14ac:dyDescent="0.25">
      <c r="A248" s="5" t="s">
        <v>52</v>
      </c>
      <c r="B248" s="5" t="s">
        <v>80</v>
      </c>
      <c r="C248" s="5" t="s">
        <v>81</v>
      </c>
      <c r="D248" s="5">
        <v>2024</v>
      </c>
      <c r="F248" s="5" t="s">
        <v>58</v>
      </c>
      <c r="G248" s="5" t="s">
        <v>65</v>
      </c>
      <c r="H248" s="5" t="s">
        <v>57</v>
      </c>
      <c r="I248" s="5">
        <v>519</v>
      </c>
      <c r="J248" s="5" t="str">
        <f>IFERROR(VLOOKUP(I248,[1]INFO_LOCALES!$B:$C,2,FALSE),"")</f>
        <v>TRAIGUEN</v>
      </c>
      <c r="K248" s="5" t="str">
        <f>IFERROR(VLOOKUP(Tabla2[[#This Row],[TIENDA]],[1]INFO_LOCALES!$B:$D,3,FALSE),"")</f>
        <v>IX - Araucanía</v>
      </c>
      <c r="L248" s="5" t="str">
        <f>IFERROR(VLOOKUP(I248,[1]INFO_LOCALES!$B:$I,8,FALSE),"")</f>
        <v>Traiguén</v>
      </c>
      <c r="M248" s="5" t="str">
        <f>IFERROR(VLOOKUP(I248,[1]INFO_LOCALES!$B:$H,7,FALSE),"")</f>
        <v>Santa Cruz 1170</v>
      </c>
      <c r="N248" s="5">
        <f>IFERROR(VLOOKUP(I248,[1]INFO_LOCALES!$B:$E,4,FALSE),"")</f>
        <v>0</v>
      </c>
      <c r="O248" s="5" t="str">
        <f>VLOOKUP(Tabla2[[#This Row],[TIENDA]],[1]INFO_LOCALES!$B:$J,9,0)</f>
        <v>CONVENIO</v>
      </c>
      <c r="P248" s="5" t="str">
        <f>IFERROR(VLOOKUP(I248,[1]INFO_LOCALES!$B:$F,5,FALSE),"")</f>
        <v>AGUAS ARAUCANIA S A</v>
      </c>
      <c r="Q248" s="5" t="s">
        <v>62</v>
      </c>
      <c r="R248" s="5" t="s">
        <v>58</v>
      </c>
      <c r="S248" s="6">
        <v>45583</v>
      </c>
      <c r="T248" s="5" t="s">
        <v>63</v>
      </c>
      <c r="U248" s="6">
        <v>45488</v>
      </c>
      <c r="V248" s="5" t="s">
        <v>59</v>
      </c>
      <c r="W2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48" s="7">
        <f t="shared" si="7"/>
        <v>1</v>
      </c>
      <c r="Y248" s="5">
        <v>14</v>
      </c>
      <c r="Z248" s="5">
        <v>6.7</v>
      </c>
      <c r="AA248" s="5">
        <v>1</v>
      </c>
      <c r="AB248" s="5">
        <v>16.25</v>
      </c>
      <c r="AC248" s="5">
        <v>16.2</v>
      </c>
      <c r="AD248" s="5">
        <v>2.48</v>
      </c>
      <c r="AE248" s="5">
        <v>5.7</v>
      </c>
      <c r="AF248" s="5">
        <v>0.1</v>
      </c>
      <c r="AG248" s="5">
        <v>26</v>
      </c>
      <c r="AH248" s="5">
        <v>1.87</v>
      </c>
      <c r="AI248" s="5">
        <f t="shared" si="8"/>
        <v>56.1</v>
      </c>
    </row>
    <row r="249" spans="1:52" x14ac:dyDescent="0.25">
      <c r="A249" s="5" t="s">
        <v>52</v>
      </c>
      <c r="B249" s="5" t="s">
        <v>82</v>
      </c>
      <c r="C249" s="5" t="s">
        <v>77</v>
      </c>
      <c r="F249" s="5" t="s">
        <v>55</v>
      </c>
      <c r="G249" s="5" t="s">
        <v>61</v>
      </c>
      <c r="H249" s="5" t="s">
        <v>57</v>
      </c>
      <c r="I249" s="5">
        <v>472</v>
      </c>
      <c r="J249" s="5" t="str">
        <f>IFERROR(VLOOKUP(I249,[1]INFO_LOCALES!$B:$C,2,FALSE),"")</f>
        <v>CALDERA I</v>
      </c>
      <c r="K249" s="5" t="str">
        <f>IFERROR(VLOOKUP(Tabla2[[#This Row],[TIENDA]],[1]INFO_LOCALES!$B:$D,3,FALSE),"")</f>
        <v>III - Atacama</v>
      </c>
      <c r="L249" s="5" t="str">
        <f>IFERROR(VLOOKUP(I249,[1]INFO_LOCALES!$B:$I,8,FALSE),"")</f>
        <v>Caldera</v>
      </c>
      <c r="M249" s="5" t="str">
        <f>IFERROR(VLOOKUP(I249,[1]INFO_LOCALES!$B:$H,7,FALSE),"")</f>
        <v>Batallon Atacama 319</v>
      </c>
      <c r="N249" s="5">
        <f>IFERROR(VLOOKUP(I249,[1]INFO_LOCALES!$B:$E,4,FALSE),"")</f>
        <v>0</v>
      </c>
      <c r="O249" s="5" t="str">
        <f>VLOOKUP(Tabla2[[#This Row],[TIENDA]],[1]INFO_LOCALES!$B:$J,9,0)</f>
        <v>CONVENIO</v>
      </c>
      <c r="P249" s="5" t="str">
        <f>IFERROR(VLOOKUP(I249,[1]INFO_LOCALES!$B:$F,5,FALSE),"")</f>
        <v>NUEVA ATACAMA</v>
      </c>
      <c r="Q249" s="5" t="s">
        <v>66</v>
      </c>
      <c r="R249" s="5" t="s">
        <v>58</v>
      </c>
      <c r="S249" s="6">
        <v>45541</v>
      </c>
      <c r="T249" s="5" t="s">
        <v>63</v>
      </c>
      <c r="U249" s="6">
        <v>45490</v>
      </c>
      <c r="V249" s="5" t="s">
        <v>59</v>
      </c>
      <c r="W2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49" s="7">
        <f t="shared" si="7"/>
        <v>3</v>
      </c>
      <c r="Y249" s="5">
        <v>5.16</v>
      </c>
      <c r="AA249" s="5">
        <v>40.299999999999997</v>
      </c>
      <c r="AC249" s="5">
        <v>354</v>
      </c>
      <c r="AD249" s="5">
        <v>3.03</v>
      </c>
      <c r="AE249" s="5">
        <v>31.1</v>
      </c>
      <c r="AF249" s="5">
        <v>0.9</v>
      </c>
      <c r="AG249" s="5">
        <v>52.3</v>
      </c>
      <c r="AI249" s="5">
        <f t="shared" si="8"/>
        <v>0</v>
      </c>
      <c r="AY249" s="5">
        <v>0.1</v>
      </c>
    </row>
    <row r="250" spans="1:52" x14ac:dyDescent="0.25">
      <c r="A250" s="5" t="s">
        <v>52</v>
      </c>
      <c r="B250" s="5" t="s">
        <v>149</v>
      </c>
      <c r="C250" s="5" t="s">
        <v>81</v>
      </c>
      <c r="F250" s="5" t="s">
        <v>55</v>
      </c>
      <c r="G250" s="5" t="s">
        <v>56</v>
      </c>
      <c r="H250" s="5" t="s">
        <v>57</v>
      </c>
      <c r="I250" s="5">
        <v>771</v>
      </c>
      <c r="J250" s="5" t="str">
        <f>IFERROR(VLOOKUP(I250,[1]INFO_LOCALES!$B:$C,2,FALSE),"")</f>
        <v>MIRASOL</v>
      </c>
      <c r="K250" s="5" t="str">
        <f>IFERROR(VLOOKUP(Tabla2[[#This Row],[TIENDA]],[1]INFO_LOCALES!$B:$D,3,FALSE),"")</f>
        <v>X - Los Lagos</v>
      </c>
      <c r="L250" s="5" t="str">
        <f>IFERROR(VLOOKUP(I250,[1]INFO_LOCALES!$B:$I,8,FALSE),"")</f>
        <v>Puerto Montt</v>
      </c>
      <c r="M250" s="5" t="str">
        <f>IFERROR(VLOOKUP(I250,[1]INFO_LOCALES!$B:$H,7,FALSE),"")</f>
        <v>Av. La Cruz 2006</v>
      </c>
      <c r="N250" s="5">
        <f>IFERROR(VLOOKUP(I250,[1]INFO_LOCALES!$B:$E,4,FALSE),"")</f>
        <v>3723</v>
      </c>
      <c r="O250" s="5" t="str">
        <f>VLOOKUP(Tabla2[[#This Row],[TIENDA]],[1]INFO_LOCALES!$B:$J,9,0)</f>
        <v>SIN CONVENIO</v>
      </c>
      <c r="P250" s="5" t="str">
        <f>IFERROR(VLOOKUP(I250,[1]INFO_LOCALES!$B:$F,5,FALSE),"")</f>
        <v>SURALIS</v>
      </c>
      <c r="Q250" s="5" t="s">
        <v>105</v>
      </c>
      <c r="R250" s="5" t="s">
        <v>58</v>
      </c>
      <c r="S250" s="6">
        <v>45534</v>
      </c>
      <c r="T250" s="5" t="s">
        <v>63</v>
      </c>
      <c r="U250" s="6">
        <v>45492</v>
      </c>
      <c r="V250" s="5" t="s">
        <v>59</v>
      </c>
      <c r="W2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50" s="7">
        <f t="shared" si="7"/>
        <v>3</v>
      </c>
      <c r="Y250" s="5">
        <v>200</v>
      </c>
      <c r="Z250" s="5">
        <v>6.9</v>
      </c>
      <c r="AA250" s="5">
        <v>2</v>
      </c>
      <c r="AB250" s="5">
        <v>13.9</v>
      </c>
      <c r="AC250" s="5">
        <v>1132</v>
      </c>
      <c r="AD250" s="5">
        <v>16.399999999999999</v>
      </c>
      <c r="AE250" s="5">
        <v>66.05</v>
      </c>
      <c r="AF250" s="5">
        <v>40</v>
      </c>
      <c r="AG250" s="5">
        <v>1100</v>
      </c>
      <c r="AH250" s="5">
        <v>8</v>
      </c>
      <c r="AI250" s="5">
        <f t="shared" si="8"/>
        <v>240</v>
      </c>
      <c r="AZ250" s="8" t="s">
        <v>189</v>
      </c>
    </row>
    <row r="251" spans="1:52" x14ac:dyDescent="0.25">
      <c r="A251" s="5" t="s">
        <v>60</v>
      </c>
      <c r="B251" s="5" t="e">
        <v>#N/A</v>
      </c>
      <c r="C251" s="5" t="e">
        <v>#N/A</v>
      </c>
      <c r="F251" s="5" t="s">
        <v>55</v>
      </c>
      <c r="G251" s="5" t="s">
        <v>61</v>
      </c>
      <c r="H251" s="5" t="s">
        <v>57</v>
      </c>
      <c r="I251" s="5">
        <v>3022</v>
      </c>
      <c r="J251" s="5" t="str">
        <f>IFERROR(VLOOKUP(I251,[1]INFO_LOCALES!$B:$C,2,FALSE),"")</f>
        <v>M10 TEMUCO II</v>
      </c>
      <c r="K251" s="5" t="str">
        <f>IFERROR(VLOOKUP(Tabla2[[#This Row],[TIENDA]],[1]INFO_LOCALES!$B:$D,3,FALSE),"")</f>
        <v>IX - Araucanía</v>
      </c>
      <c r="L251" s="5" t="str">
        <f>IFERROR(VLOOKUP(I251,[1]INFO_LOCALES!$B:$I,8,FALSE),"")</f>
        <v>Temuco</v>
      </c>
      <c r="M251" s="5" t="str">
        <f>IFERROR(VLOOKUP(I251,[1]INFO_LOCALES!$B:$H,7,FALSE),"")</f>
        <v>Pedro De Valdivia 2285</v>
      </c>
      <c r="N251" s="5">
        <f>IFERROR(VLOOKUP(I251,[1]INFO_LOCALES!$B:$E,4,FALSE),"")</f>
        <v>3721</v>
      </c>
      <c r="O251" s="5" t="str">
        <f>VLOOKUP(Tabla2[[#This Row],[TIENDA]],[1]INFO_LOCALES!$B:$J,9,0)</f>
        <v>CONVENIO</v>
      </c>
      <c r="P251" s="5" t="str">
        <f>IFERROR(VLOOKUP(I251,[1]INFO_LOCALES!$B:$F,5,FALSE),"")</f>
        <v>AGUAS ARAUCANIA S A</v>
      </c>
      <c r="Q251" s="5" t="s">
        <v>62</v>
      </c>
      <c r="R251" s="5" t="s">
        <v>58</v>
      </c>
      <c r="S251" s="6">
        <v>45583</v>
      </c>
      <c r="T251" s="5" t="s">
        <v>63</v>
      </c>
      <c r="U251" s="6">
        <v>45492</v>
      </c>
      <c r="V251" s="5" t="s">
        <v>59</v>
      </c>
      <c r="W2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51" s="7">
        <f t="shared" si="7"/>
        <v>1</v>
      </c>
      <c r="Y251" s="5">
        <v>14</v>
      </c>
      <c r="Z251" s="5">
        <v>6.7</v>
      </c>
      <c r="AA251" s="5">
        <v>1</v>
      </c>
      <c r="AB251" s="5">
        <v>11.6</v>
      </c>
      <c r="AC251" s="5">
        <v>273</v>
      </c>
      <c r="AD251" s="5">
        <v>0.98</v>
      </c>
      <c r="AE251" s="5">
        <v>29.2</v>
      </c>
      <c r="AF251" s="5">
        <v>0.3</v>
      </c>
      <c r="AG251" s="5">
        <v>58</v>
      </c>
      <c r="AH251" s="5">
        <v>4.54</v>
      </c>
      <c r="AI251" s="5">
        <f t="shared" si="8"/>
        <v>136.19999999999999</v>
      </c>
    </row>
    <row r="252" spans="1:52" x14ac:dyDescent="0.25">
      <c r="A252" s="5" t="s">
        <v>52</v>
      </c>
      <c r="B252" s="5" t="s">
        <v>117</v>
      </c>
      <c r="C252" s="5" t="s">
        <v>81</v>
      </c>
      <c r="F252" s="5" t="s">
        <v>58</v>
      </c>
      <c r="G252" s="5" t="s">
        <v>65</v>
      </c>
      <c r="H252" s="5" t="s">
        <v>57</v>
      </c>
      <c r="I252" s="5">
        <v>754</v>
      </c>
      <c r="J252" s="5" t="str">
        <f>IFERROR(VLOOKUP(I252,[1]INFO_LOCALES!$B:$C,2,FALSE),"")</f>
        <v>TEMUCO IV</v>
      </c>
      <c r="K252" s="5" t="str">
        <f>IFERROR(VLOOKUP(Tabla2[[#This Row],[TIENDA]],[1]INFO_LOCALES!$B:$D,3,FALSE),"")</f>
        <v>IX - Araucanía</v>
      </c>
      <c r="L252" s="5" t="str">
        <f>IFERROR(VLOOKUP(I252,[1]INFO_LOCALES!$B:$I,8,FALSE),"")</f>
        <v>Temuco</v>
      </c>
      <c r="M252" s="5" t="str">
        <f>IFERROR(VLOOKUP(I252,[1]INFO_LOCALES!$B:$H,7,FALSE),"")</f>
        <v>Avenida Javiera Carrera 1610</v>
      </c>
      <c r="N252" s="5">
        <f>IFERROR(VLOOKUP(I252,[1]INFO_LOCALES!$B:$E,4,FALSE),"")</f>
        <v>0</v>
      </c>
      <c r="O252" s="5" t="str">
        <f>VLOOKUP(Tabla2[[#This Row],[TIENDA]],[1]INFO_LOCALES!$B:$J,9,0)</f>
        <v>CONVENIO</v>
      </c>
      <c r="P252" s="5" t="str">
        <f>IFERROR(VLOOKUP(I252,[1]INFO_LOCALES!$B:$F,5,FALSE),"")</f>
        <v>AGUAS ARAUCANIA S A</v>
      </c>
      <c r="Q252" s="5" t="s">
        <v>62</v>
      </c>
      <c r="R252" s="5" t="s">
        <v>58</v>
      </c>
      <c r="S252" s="6">
        <v>45583</v>
      </c>
      <c r="T252" s="5" t="s">
        <v>63</v>
      </c>
      <c r="U252" s="6">
        <v>45492</v>
      </c>
      <c r="V252" s="5" t="s">
        <v>59</v>
      </c>
      <c r="W2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52" s="7">
        <f t="shared" si="7"/>
        <v>1</v>
      </c>
      <c r="Y252" s="5">
        <v>14</v>
      </c>
      <c r="Z252" s="5">
        <v>6.8</v>
      </c>
      <c r="AA252" s="5">
        <v>1</v>
      </c>
      <c r="AB252" s="5">
        <v>12.8</v>
      </c>
      <c r="AC252" s="5">
        <v>2</v>
      </c>
      <c r="AD252" s="5">
        <v>0.6</v>
      </c>
      <c r="AE252" s="5">
        <v>3.02</v>
      </c>
      <c r="AF252" s="5">
        <v>0.3</v>
      </c>
      <c r="AG252" s="5">
        <v>24</v>
      </c>
      <c r="AH252" s="5">
        <v>5.98</v>
      </c>
      <c r="AI252" s="5">
        <f t="shared" si="8"/>
        <v>179.4</v>
      </c>
    </row>
    <row r="253" spans="1:52" x14ac:dyDescent="0.25">
      <c r="A253" s="5" t="s">
        <v>52</v>
      </c>
      <c r="B253" s="5" t="s">
        <v>82</v>
      </c>
      <c r="C253" s="5" t="s">
        <v>77</v>
      </c>
      <c r="F253" s="5" t="s">
        <v>55</v>
      </c>
      <c r="G253" s="5" t="s">
        <v>56</v>
      </c>
      <c r="H253" s="5" t="s">
        <v>57</v>
      </c>
      <c r="I253" s="5">
        <v>22</v>
      </c>
      <c r="J253" s="5" t="str">
        <f>IFERROR(VLOOKUP(I253,[1]INFO_LOCALES!$B:$C,2,FALSE),"")</f>
        <v>ATACAMA</v>
      </c>
      <c r="K253" s="5" t="str">
        <f>IFERROR(VLOOKUP(Tabla2[[#This Row],[TIENDA]],[1]INFO_LOCALES!$B:$D,3,FALSE),"")</f>
        <v>III - Atacama</v>
      </c>
      <c r="L253" s="5" t="str">
        <f>IFERROR(VLOOKUP(I253,[1]INFO_LOCALES!$B:$I,8,FALSE),"")</f>
        <v>Copiapó</v>
      </c>
      <c r="M253" s="5" t="str">
        <f>IFERROR(VLOOKUP(I253,[1]INFO_LOCALES!$B:$H,7,FALSE),"")</f>
        <v>Los Carreras 2242</v>
      </c>
      <c r="N253" s="5">
        <f>IFERROR(VLOOKUP(I253,[1]INFO_LOCALES!$B:$E,4,FALSE),"")</f>
        <v>2666</v>
      </c>
      <c r="O253" s="5" t="str">
        <f>VLOOKUP(Tabla2[[#This Row],[TIENDA]],[1]INFO_LOCALES!$B:$J,9,0)</f>
        <v>CONVENIO</v>
      </c>
      <c r="P253" s="5" t="str">
        <f>IFERROR(VLOOKUP(I253,[1]INFO_LOCALES!$B:$F,5,FALSE),"")</f>
        <v>NUEVA ATACAMA</v>
      </c>
      <c r="Q253" s="5" t="s">
        <v>66</v>
      </c>
      <c r="R253" s="5" t="s">
        <v>58</v>
      </c>
      <c r="S253" s="6">
        <v>45541</v>
      </c>
      <c r="T253" s="5" t="s">
        <v>63</v>
      </c>
      <c r="U253" s="6">
        <v>45495</v>
      </c>
      <c r="V253" s="5" t="s">
        <v>59</v>
      </c>
      <c r="W2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53" s="7">
        <f t="shared" si="7"/>
        <v>3</v>
      </c>
      <c r="Y253" s="5">
        <v>34.64</v>
      </c>
      <c r="AA253" s="5">
        <v>61.3</v>
      </c>
      <c r="AC253" s="5">
        <v>1420</v>
      </c>
      <c r="AD253" s="5">
        <v>14.66</v>
      </c>
      <c r="AE253" s="5">
        <v>52</v>
      </c>
      <c r="AF253" s="5">
        <v>1.5</v>
      </c>
      <c r="AG253" s="5">
        <v>191.49</v>
      </c>
      <c r="AI253" s="5">
        <f t="shared" si="8"/>
        <v>0</v>
      </c>
      <c r="AY253" s="5">
        <v>0.1</v>
      </c>
    </row>
    <row r="254" spans="1:52" x14ac:dyDescent="0.25">
      <c r="A254" s="5" t="s">
        <v>52</v>
      </c>
      <c r="B254" s="5" t="s">
        <v>76</v>
      </c>
      <c r="C254" s="5" t="s">
        <v>77</v>
      </c>
      <c r="F254" s="5" t="s">
        <v>55</v>
      </c>
      <c r="G254" s="5" t="s">
        <v>65</v>
      </c>
      <c r="H254" s="5" t="s">
        <v>57</v>
      </c>
      <c r="I254" s="5">
        <v>85</v>
      </c>
      <c r="J254" s="5" t="str">
        <f>IFERROR(VLOOKUP(I254,[1]INFO_LOCALES!$B:$C,2,FALSE),"")</f>
        <v>AMUNATEGUI</v>
      </c>
      <c r="K254" s="5" t="str">
        <f>IFERROR(VLOOKUP(Tabla2[[#This Row],[TIENDA]],[1]INFO_LOCALES!$B:$D,3,FALSE),"")</f>
        <v>I - Tarapacá</v>
      </c>
      <c r="L254" s="5" t="str">
        <f>IFERROR(VLOOKUP(I254,[1]INFO_LOCALES!$B:$I,8,FALSE),"")</f>
        <v>Iquique</v>
      </c>
      <c r="M254" s="5" t="str">
        <f>IFERROR(VLOOKUP(I254,[1]INFO_LOCALES!$B:$H,7,FALSE),"")</f>
        <v>Amunategui 902</v>
      </c>
      <c r="N254" s="5">
        <f>IFERROR(VLOOKUP(I254,[1]INFO_LOCALES!$B:$E,4,FALSE),"")</f>
        <v>0</v>
      </c>
      <c r="O254" s="5" t="str">
        <f>VLOOKUP(Tabla2[[#This Row],[TIENDA]],[1]INFO_LOCALES!$B:$J,9,0)</f>
        <v>CONVENIO</v>
      </c>
      <c r="P254" s="5" t="str">
        <f>IFERROR(VLOOKUP(I254,[1]INFO_LOCALES!$B:$F,5,FALSE),"")</f>
        <v>AGUAS DEL ALTIPLANO S.A.</v>
      </c>
      <c r="Q254" s="5" t="s">
        <v>78</v>
      </c>
      <c r="R254" s="5" t="s">
        <v>58</v>
      </c>
      <c r="S254" s="6">
        <v>45595</v>
      </c>
      <c r="T254" s="5" t="s">
        <v>63</v>
      </c>
      <c r="U254" s="6">
        <v>45495</v>
      </c>
      <c r="V254" s="5" t="s">
        <v>59</v>
      </c>
      <c r="W2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54" s="7">
        <f t="shared" si="7"/>
        <v>1</v>
      </c>
      <c r="Y254" s="5">
        <v>2</v>
      </c>
      <c r="Z254" s="5">
        <v>6.9</v>
      </c>
      <c r="AA254" s="5">
        <v>2</v>
      </c>
      <c r="AB254" s="5">
        <v>20.420000000000002</v>
      </c>
      <c r="AC254" s="5">
        <v>18</v>
      </c>
      <c r="AD254" s="5">
        <v>1.5</v>
      </c>
      <c r="AE254" s="5">
        <v>4.37</v>
      </c>
      <c r="AF254" s="5">
        <v>0.5</v>
      </c>
      <c r="AG254" s="5">
        <v>5</v>
      </c>
      <c r="AH254" s="5">
        <v>17.600000000000001</v>
      </c>
      <c r="AI254" s="5">
        <f t="shared" si="8"/>
        <v>528</v>
      </c>
      <c r="AZ254" s="8" t="s">
        <v>190</v>
      </c>
    </row>
    <row r="255" spans="1:52" x14ac:dyDescent="0.25">
      <c r="A255" s="5" t="s">
        <v>52</v>
      </c>
      <c r="B255" s="5" t="s">
        <v>74</v>
      </c>
      <c r="C255" s="5" t="s">
        <v>74</v>
      </c>
      <c r="F255" s="5" t="s">
        <v>55</v>
      </c>
      <c r="G255" s="5" t="s">
        <v>61</v>
      </c>
      <c r="H255" s="5" t="s">
        <v>57</v>
      </c>
      <c r="I255" s="5">
        <v>459</v>
      </c>
      <c r="J255" s="5" t="str">
        <f>IFERROR(VLOOKUP(I255,[1]INFO_LOCALES!$B:$C,2,FALSE),"")</f>
        <v>ALLENDE AUSTRAL</v>
      </c>
      <c r="K255" s="5" t="str">
        <f>IFERROR(VLOOKUP(Tabla2[[#This Row],[TIENDA]],[1]INFO_LOCALES!$B:$D,3,FALSE),"")</f>
        <v>XII - Magallanes</v>
      </c>
      <c r="L255" s="5" t="str">
        <f>IFERROR(VLOOKUP(I255,[1]INFO_LOCALES!$B:$I,8,FALSE),"")</f>
        <v>Punta Arenas</v>
      </c>
      <c r="M255" s="5" t="str">
        <f>IFERROR(VLOOKUP(I255,[1]INFO_LOCALES!$B:$H,7,FALSE),"")</f>
        <v>Salvador Allende 0399</v>
      </c>
      <c r="N255" s="5">
        <f>IFERROR(VLOOKUP(I255,[1]INFO_LOCALES!$B:$E,4,FALSE),"")</f>
        <v>3735</v>
      </c>
      <c r="O255" s="5" t="str">
        <f>VLOOKUP(Tabla2[[#This Row],[TIENDA]],[1]INFO_LOCALES!$B:$J,9,0)</f>
        <v>SIN CONVENIO</v>
      </c>
      <c r="P255" s="5" t="str">
        <f>IFERROR(VLOOKUP(I255,[1]INFO_LOCALES!$B:$F,5,FALSE),"")</f>
        <v>AGUAS MAGALLANES S.A.</v>
      </c>
      <c r="Q255" s="5" t="s">
        <v>71</v>
      </c>
      <c r="R255" s="5" t="s">
        <v>58</v>
      </c>
      <c r="S255" s="6">
        <v>45533</v>
      </c>
      <c r="T255" s="5" t="s">
        <v>63</v>
      </c>
      <c r="U255" s="6">
        <v>45498</v>
      </c>
      <c r="V255" s="5" t="s">
        <v>59</v>
      </c>
      <c r="W2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55" s="7">
        <f t="shared" si="7"/>
        <v>1</v>
      </c>
      <c r="Y255" s="5">
        <v>3.5</v>
      </c>
      <c r="Z255" s="5">
        <v>8.3699999999999992</v>
      </c>
      <c r="AA255" s="5">
        <v>2</v>
      </c>
      <c r="AB255" s="5">
        <v>20.8</v>
      </c>
      <c r="AC255" s="5">
        <v>40</v>
      </c>
      <c r="AD255" s="5">
        <v>10.9</v>
      </c>
      <c r="AE255" s="5">
        <v>13</v>
      </c>
      <c r="AF255" s="5">
        <v>0.5</v>
      </c>
      <c r="AG255" s="5">
        <v>54</v>
      </c>
      <c r="AH255" s="5">
        <v>0</v>
      </c>
      <c r="AI255" s="5">
        <f t="shared" si="8"/>
        <v>0</v>
      </c>
    </row>
    <row r="256" spans="1:52" x14ac:dyDescent="0.25">
      <c r="A256" s="5" t="s">
        <v>52</v>
      </c>
      <c r="B256" s="5" t="s">
        <v>82</v>
      </c>
      <c r="C256" s="5" t="s">
        <v>77</v>
      </c>
      <c r="F256" s="5" t="s">
        <v>55</v>
      </c>
      <c r="G256" s="5" t="s">
        <v>61</v>
      </c>
      <c r="H256" s="5" t="s">
        <v>57</v>
      </c>
      <c r="I256" s="5">
        <v>7</v>
      </c>
      <c r="J256" s="5" t="str">
        <f>IFERROR(VLOOKUP(I256,[1]INFO_LOCALES!$B:$C,2,FALSE),"")</f>
        <v>VALLENAR I</v>
      </c>
      <c r="K256" s="5" t="str">
        <f>IFERROR(VLOOKUP(Tabla2[[#This Row],[TIENDA]],[1]INFO_LOCALES!$B:$D,3,FALSE),"")</f>
        <v>III - Atacama</v>
      </c>
      <c r="L256" s="5" t="str">
        <f>IFERROR(VLOOKUP(I256,[1]INFO_LOCALES!$B:$I,8,FALSE),"")</f>
        <v>Vallenar</v>
      </c>
      <c r="M256" s="5" t="str">
        <f>IFERROR(VLOOKUP(I256,[1]INFO_LOCALES!$B:$H,7,FALSE),"")</f>
        <v>Brasil 663</v>
      </c>
      <c r="N256" s="5">
        <f>IFERROR(VLOOKUP(I256,[1]INFO_LOCALES!$B:$E,4,FALSE),"")</f>
        <v>0</v>
      </c>
      <c r="O256" s="5" t="str">
        <f>VLOOKUP(Tabla2[[#This Row],[TIENDA]],[1]INFO_LOCALES!$B:$J,9,0)</f>
        <v>CONVENIO</v>
      </c>
      <c r="P256" s="5" t="str">
        <f>IFERROR(VLOOKUP(I256,[1]INFO_LOCALES!$B:$F,5,FALSE),"")</f>
        <v>NUEVA ATACAMA</v>
      </c>
      <c r="Q256" s="5" t="s">
        <v>66</v>
      </c>
      <c r="R256" s="5" t="s">
        <v>58</v>
      </c>
      <c r="S256" s="6">
        <v>45541</v>
      </c>
      <c r="T256" s="5" t="s">
        <v>63</v>
      </c>
      <c r="U256" s="6">
        <v>45499</v>
      </c>
      <c r="V256" s="5" t="s">
        <v>59</v>
      </c>
      <c r="W2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56" s="7">
        <f t="shared" si="7"/>
        <v>3</v>
      </c>
      <c r="Y256" s="5">
        <v>37.71</v>
      </c>
      <c r="AA256" s="5">
        <v>53.3</v>
      </c>
      <c r="AC256" s="5">
        <v>821</v>
      </c>
      <c r="AD256" s="5">
        <v>14.17</v>
      </c>
      <c r="AE256" s="5">
        <v>45.5</v>
      </c>
      <c r="AF256" s="5">
        <v>0.9</v>
      </c>
      <c r="AG256" s="5">
        <v>85.48</v>
      </c>
      <c r="AI256" s="5">
        <f t="shared" si="8"/>
        <v>0</v>
      </c>
      <c r="AY256" s="5">
        <v>0.1</v>
      </c>
    </row>
    <row r="257" spans="1:52" x14ac:dyDescent="0.25">
      <c r="A257" s="5" t="s">
        <v>52</v>
      </c>
      <c r="B257" s="5" t="s">
        <v>80</v>
      </c>
      <c r="C257" s="5" t="s">
        <v>81</v>
      </c>
      <c r="F257" s="5" t="s">
        <v>55</v>
      </c>
      <c r="G257" s="5" t="s">
        <v>65</v>
      </c>
      <c r="H257" s="5" t="s">
        <v>57</v>
      </c>
      <c r="I257" s="5">
        <v>532</v>
      </c>
      <c r="J257" s="5" t="str">
        <f>IFERROR(VLOOKUP(I257,[1]INFO_LOCALES!$B:$C,2,FALSE),"")</f>
        <v>CURACAUTIN</v>
      </c>
      <c r="K257" s="5" t="str">
        <f>IFERROR(VLOOKUP(Tabla2[[#This Row],[TIENDA]],[1]INFO_LOCALES!$B:$D,3,FALSE),"")</f>
        <v>IX - Araucanía</v>
      </c>
      <c r="L257" s="5" t="str">
        <f>IFERROR(VLOOKUP(I257,[1]INFO_LOCALES!$B:$I,8,FALSE),"")</f>
        <v>Curacautin</v>
      </c>
      <c r="M257" s="5" t="str">
        <f>IFERROR(VLOOKUP(I257,[1]INFO_LOCALES!$B:$H,7,FALSE),"")</f>
        <v>O"Higgins 515</v>
      </c>
      <c r="N257" s="5">
        <f>IFERROR(VLOOKUP(I257,[1]INFO_LOCALES!$B:$E,4,FALSE),"")</f>
        <v>0</v>
      </c>
      <c r="O257" s="5" t="str">
        <f>VLOOKUP(Tabla2[[#This Row],[TIENDA]],[1]INFO_LOCALES!$B:$J,9,0)</f>
        <v>CONVENIO</v>
      </c>
      <c r="P257" s="5" t="str">
        <f>IFERROR(VLOOKUP(I257,[1]INFO_LOCALES!$B:$F,5,FALSE),"")</f>
        <v>AGUAS ARAUCANIA S A</v>
      </c>
      <c r="Q257" s="5" t="s">
        <v>62</v>
      </c>
      <c r="R257" s="5" t="s">
        <v>58</v>
      </c>
      <c r="S257" s="6">
        <v>45583</v>
      </c>
      <c r="T257" s="5" t="s">
        <v>63</v>
      </c>
      <c r="U257" s="6">
        <v>45499</v>
      </c>
      <c r="V257" s="5" t="s">
        <v>59</v>
      </c>
      <c r="W2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57" s="7">
        <f t="shared" si="7"/>
        <v>1</v>
      </c>
      <c r="Y257" s="5">
        <v>14</v>
      </c>
      <c r="Z257" s="5">
        <v>8.1300000000000008</v>
      </c>
      <c r="AA257" s="5">
        <v>1</v>
      </c>
      <c r="AB257" s="5">
        <v>8.85</v>
      </c>
      <c r="AC257" s="5">
        <v>2</v>
      </c>
      <c r="AD257" s="5">
        <v>0.6</v>
      </c>
      <c r="AE257" s="5">
        <v>6.74</v>
      </c>
      <c r="AF257" s="5">
        <v>1.8</v>
      </c>
      <c r="AG257" s="5">
        <v>41</v>
      </c>
      <c r="AH257" s="5">
        <v>0.72</v>
      </c>
      <c r="AI257" s="5">
        <f t="shared" si="8"/>
        <v>21.599999999999998</v>
      </c>
    </row>
    <row r="258" spans="1:52" x14ac:dyDescent="0.25">
      <c r="A258" s="5" t="s">
        <v>52</v>
      </c>
      <c r="B258" s="5" t="e">
        <v>#N/A</v>
      </c>
      <c r="C258" s="5" t="e">
        <v>#N/A</v>
      </c>
      <c r="F258" s="5" t="s">
        <v>55</v>
      </c>
      <c r="G258" s="5" t="s">
        <v>61</v>
      </c>
      <c r="H258" s="5" t="s">
        <v>57</v>
      </c>
      <c r="I258" s="5">
        <v>9139</v>
      </c>
      <c r="J258" s="5" t="str">
        <f>IFERROR(VLOOKUP(I258,[1]INFO_LOCALES!$B:$C,2,FALSE),"")</f>
        <v>CD LO AGUIRRE</v>
      </c>
      <c r="K258" s="5" t="str">
        <f>IFERROR(VLOOKUP(Tabla2[[#This Row],[TIENDA]],[1]INFO_LOCALES!$B:$D,3,FALSE),"")</f>
        <v>RM - Santiago</v>
      </c>
      <c r="L258" s="5" t="str">
        <f>IFERROR(VLOOKUP(I258,[1]INFO_LOCALES!$B:$I,8,FALSE),"")</f>
        <v>Pudahuel</v>
      </c>
      <c r="M258" s="5" t="str">
        <f>IFERROR(VLOOKUP(I258,[1]INFO_LOCALES!$B:$H,7,FALSE),"")</f>
        <v>CAMINO LO AGUIRRE SUR 537</v>
      </c>
      <c r="N258" s="5">
        <f>IFERROR(VLOOKUP(I258,[1]INFO_LOCALES!$B:$E,4,FALSE),"")</f>
        <v>3552</v>
      </c>
      <c r="O258" s="5" t="str">
        <f>VLOOKUP(Tabla2[[#This Row],[TIENDA]],[1]INFO_LOCALES!$B:$J,9,0)</f>
        <v>SIN CONVENIO</v>
      </c>
      <c r="P258" s="5" t="str">
        <f>IFERROR(VLOOKUP(I258,[1]INFO_LOCALES!$B:$F,5,FALSE),"")</f>
        <v>AGUAS IZARRA</v>
      </c>
      <c r="Q258" s="5" t="s">
        <v>85</v>
      </c>
      <c r="R258" s="5" t="s">
        <v>86</v>
      </c>
      <c r="S258" s="6" t="s">
        <v>87</v>
      </c>
      <c r="T258" s="5" t="s">
        <v>63</v>
      </c>
      <c r="U258" s="6">
        <v>45502</v>
      </c>
      <c r="V258" s="5" t="s">
        <v>59</v>
      </c>
      <c r="W2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58" s="7">
        <f t="shared" ref="X258:X321" si="9">IF(W258="CUMPLE",1,IF(W258="CUMPLE CON TOLERANCIA",2,IF(W258="NO CUMPLE",3)))</f>
        <v>1</v>
      </c>
      <c r="Y258" s="5">
        <v>10.3</v>
      </c>
      <c r="Z258" s="5">
        <v>7.4</v>
      </c>
      <c r="AA258" s="5">
        <v>2</v>
      </c>
      <c r="AB258" s="5">
        <v>18.399999999999999</v>
      </c>
      <c r="AC258" s="5">
        <v>69</v>
      </c>
      <c r="AD258" s="5">
        <v>4.2</v>
      </c>
      <c r="AE258" s="5">
        <v>55.4</v>
      </c>
      <c r="AF258" s="5">
        <v>2.5</v>
      </c>
      <c r="AG258" s="5">
        <v>26</v>
      </c>
      <c r="AH258" s="5">
        <v>105.48</v>
      </c>
      <c r="AI258" s="5">
        <f t="shared" si="8"/>
        <v>3164.4</v>
      </c>
      <c r="AS258" s="5">
        <v>10</v>
      </c>
    </row>
    <row r="259" spans="1:52" x14ac:dyDescent="0.25">
      <c r="A259" s="5" t="s">
        <v>52</v>
      </c>
      <c r="B259" s="5" t="s">
        <v>76</v>
      </c>
      <c r="C259" s="5" t="s">
        <v>77</v>
      </c>
      <c r="F259" s="5" t="s">
        <v>55</v>
      </c>
      <c r="G259" s="5" t="s">
        <v>61</v>
      </c>
      <c r="H259" s="5" t="s">
        <v>57</v>
      </c>
      <c r="I259" s="5">
        <v>105</v>
      </c>
      <c r="J259" s="5" t="str">
        <f>IFERROR(VLOOKUP(I259,[1]INFO_LOCALES!$B:$C,2,FALSE),"")</f>
        <v>IQUIQUE CENTRO</v>
      </c>
      <c r="K259" s="5" t="str">
        <f>IFERROR(VLOOKUP(Tabla2[[#This Row],[TIENDA]],[1]INFO_LOCALES!$B:$D,3,FALSE),"")</f>
        <v>I - Tarapacá</v>
      </c>
      <c r="L259" s="5" t="str">
        <f>IFERROR(VLOOKUP(I259,[1]INFO_LOCALES!$B:$I,8,FALSE),"")</f>
        <v>Iquique</v>
      </c>
      <c r="M259" s="5" t="str">
        <f>IFERROR(VLOOKUP(I259,[1]INFO_LOCALES!$B:$H,7,FALSE),"")</f>
        <v>Tarapaca 579</v>
      </c>
      <c r="N259" s="5">
        <f>IFERROR(VLOOKUP(I259,[1]INFO_LOCALES!$B:$E,4,FALSE),"")</f>
        <v>4051</v>
      </c>
      <c r="O259" s="5" t="str">
        <f>VLOOKUP(Tabla2[[#This Row],[TIENDA]],[1]INFO_LOCALES!$B:$J,9,0)</f>
        <v>TERMINADO</v>
      </c>
      <c r="P259" s="5" t="str">
        <f>IFERROR(VLOOKUP(I259,[1]INFO_LOCALES!$B:$F,5,FALSE),"")</f>
        <v>AGUAS DEL ALTIPLANO S.A.</v>
      </c>
      <c r="Q259" s="5" t="s">
        <v>78</v>
      </c>
      <c r="R259" s="5" t="s">
        <v>58</v>
      </c>
      <c r="S259" s="6">
        <v>45534</v>
      </c>
      <c r="T259" s="5" t="s">
        <v>63</v>
      </c>
      <c r="U259" s="6">
        <v>45502</v>
      </c>
      <c r="V259" s="5" t="s">
        <v>59</v>
      </c>
      <c r="W2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59" s="7">
        <f t="shared" si="9"/>
        <v>2</v>
      </c>
      <c r="Y259" s="5">
        <v>16</v>
      </c>
      <c r="Z259" s="5">
        <v>6.65</v>
      </c>
      <c r="AA259" s="5">
        <v>12</v>
      </c>
      <c r="AB259" s="5">
        <v>23.54</v>
      </c>
      <c r="AC259" s="5">
        <v>88</v>
      </c>
      <c r="AD259" s="5">
        <v>6.2</v>
      </c>
      <c r="AE259" s="5">
        <v>35.020000000000003</v>
      </c>
      <c r="AF259" s="5">
        <v>0.5</v>
      </c>
      <c r="AG259" s="5">
        <v>67</v>
      </c>
      <c r="AH259" s="5">
        <v>3</v>
      </c>
      <c r="AI259" s="5">
        <f t="shared" si="8"/>
        <v>90</v>
      </c>
    </row>
    <row r="260" spans="1:52" x14ac:dyDescent="0.25">
      <c r="A260" s="5" t="s">
        <v>52</v>
      </c>
      <c r="B260" s="5" t="s">
        <v>76</v>
      </c>
      <c r="C260" s="5" t="s">
        <v>77</v>
      </c>
      <c r="F260" s="5" t="s">
        <v>55</v>
      </c>
      <c r="G260" s="5" t="s">
        <v>65</v>
      </c>
      <c r="H260" s="5" t="s">
        <v>57</v>
      </c>
      <c r="I260" s="5">
        <v>87</v>
      </c>
      <c r="J260" s="5" t="str">
        <f>IFERROR(VLOOKUP(I260,[1]INFO_LOCALES!$B:$C,2,FALSE),"")</f>
        <v>JUAN MARTINEZ</v>
      </c>
      <c r="K260" s="5" t="str">
        <f>IFERROR(VLOOKUP(Tabla2[[#This Row],[TIENDA]],[1]INFO_LOCALES!$B:$D,3,FALSE),"")</f>
        <v>I - Tarapacá</v>
      </c>
      <c r="L260" s="5" t="str">
        <f>IFERROR(VLOOKUP(I260,[1]INFO_LOCALES!$B:$I,8,FALSE),"")</f>
        <v>Iquique</v>
      </c>
      <c r="M260" s="5" t="str">
        <f>IFERROR(VLOOKUP(I260,[1]INFO_LOCALES!$B:$H,7,FALSE),"")</f>
        <v>M. Rodriguez 964</v>
      </c>
      <c r="N260" s="5">
        <f>IFERROR(VLOOKUP(I260,[1]INFO_LOCALES!$B:$E,4,FALSE),"")</f>
        <v>0</v>
      </c>
      <c r="O260" s="5" t="str">
        <f>VLOOKUP(Tabla2[[#This Row],[TIENDA]],[1]INFO_LOCALES!$B:$J,9,0)</f>
        <v>CONVENIO</v>
      </c>
      <c r="P260" s="5" t="str">
        <f>IFERROR(VLOOKUP(I260,[1]INFO_LOCALES!$B:$F,5,FALSE),"")</f>
        <v>AGUAS DEL ALTIPLANO S.A.</v>
      </c>
      <c r="Q260" s="5" t="s">
        <v>78</v>
      </c>
      <c r="R260" s="5" t="s">
        <v>58</v>
      </c>
      <c r="S260" s="6">
        <v>45534</v>
      </c>
      <c r="T260" s="5" t="s">
        <v>63</v>
      </c>
      <c r="U260" s="6">
        <v>45502</v>
      </c>
      <c r="V260" s="5" t="s">
        <v>59</v>
      </c>
      <c r="W2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60" s="7">
        <f t="shared" si="9"/>
        <v>1</v>
      </c>
      <c r="Y260" s="5">
        <v>10</v>
      </c>
      <c r="Z260" s="5">
        <v>7</v>
      </c>
      <c r="AA260" s="5">
        <v>2</v>
      </c>
      <c r="AB260" s="5">
        <v>21.12</v>
      </c>
      <c r="AC260" s="5">
        <v>72</v>
      </c>
      <c r="AD260" s="5">
        <v>5.6</v>
      </c>
      <c r="AE260" s="5">
        <v>52.26</v>
      </c>
      <c r="AF260" s="5">
        <v>0.5</v>
      </c>
      <c r="AG260" s="5">
        <v>69</v>
      </c>
      <c r="AH260" s="5">
        <v>14</v>
      </c>
      <c r="AI260" s="5">
        <f t="shared" si="8"/>
        <v>420</v>
      </c>
    </row>
    <row r="261" spans="1:52" x14ac:dyDescent="0.25">
      <c r="A261" s="5" t="s">
        <v>60</v>
      </c>
      <c r="B261" s="5" t="e">
        <v>#N/A</v>
      </c>
      <c r="C261" s="5" t="e">
        <v>#N/A</v>
      </c>
      <c r="F261" s="5" t="s">
        <v>55</v>
      </c>
      <c r="G261" s="5" t="s">
        <v>61</v>
      </c>
      <c r="H261" s="5" t="s">
        <v>57</v>
      </c>
      <c r="I261" s="5">
        <v>3014</v>
      </c>
      <c r="J261" s="5" t="str">
        <f>IFERROR(VLOOKUP(I261,[1]INFO_LOCALES!$B:$C,2,FALSE),"")</f>
        <v>M10 SAN FERNANDO</v>
      </c>
      <c r="K261" s="5" t="str">
        <f>IFERROR(VLOOKUP(Tabla2[[#This Row],[TIENDA]],[1]INFO_LOCALES!$B:$D,3,FALSE),"")</f>
        <v>VI - O'Higgins</v>
      </c>
      <c r="L261" s="5" t="str">
        <f>IFERROR(VLOOKUP(I261,[1]INFO_LOCALES!$B:$I,8,FALSE),"")</f>
        <v>San Fernando</v>
      </c>
      <c r="M261" s="5" t="str">
        <f>IFERROR(VLOOKUP(I261,[1]INFO_LOCALES!$B:$H,7,FALSE),"")</f>
        <v>Chillan 745</v>
      </c>
      <c r="N261" s="5">
        <f>IFERROR(VLOOKUP(I261,[1]INFO_LOCALES!$B:$E,4,FALSE),"")</f>
        <v>1298</v>
      </c>
      <c r="O261" s="5" t="str">
        <f>VLOOKUP(Tabla2[[#This Row],[TIENDA]],[1]INFO_LOCALES!$B:$J,9,0)</f>
        <v>TERMINADO</v>
      </c>
      <c r="P261" s="5" t="str">
        <f>IFERROR(VLOOKUP(I261,[1]INFO_LOCALES!$B:$F,5,FALSE),"")</f>
        <v>ESSBIO S.A.</v>
      </c>
      <c r="Q261" s="5" t="s">
        <v>85</v>
      </c>
      <c r="R261" s="5" t="s">
        <v>86</v>
      </c>
      <c r="S261" s="6" t="s">
        <v>87</v>
      </c>
      <c r="T261" s="5" t="s">
        <v>63</v>
      </c>
      <c r="U261" s="6">
        <v>45503</v>
      </c>
      <c r="V261" s="5" t="s">
        <v>59</v>
      </c>
      <c r="W2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61" s="7">
        <f t="shared" si="9"/>
        <v>3</v>
      </c>
      <c r="Y261" s="5">
        <v>36</v>
      </c>
      <c r="Z261" s="5">
        <v>7.5</v>
      </c>
      <c r="AA261" s="5">
        <v>5</v>
      </c>
      <c r="AB261" s="5">
        <v>13.7</v>
      </c>
      <c r="AC261" s="5">
        <v>613</v>
      </c>
      <c r="AD261" s="5">
        <v>20</v>
      </c>
      <c r="AE261" s="5">
        <v>34.24</v>
      </c>
      <c r="AF261" s="5">
        <v>6</v>
      </c>
      <c r="AG261" s="5">
        <v>170</v>
      </c>
      <c r="AH261" s="5">
        <v>0.68400000000000005</v>
      </c>
      <c r="AI261" s="5">
        <f t="shared" si="8"/>
        <v>20.520000000000003</v>
      </c>
    </row>
    <row r="262" spans="1:52" x14ac:dyDescent="0.25">
      <c r="A262" s="5" t="s">
        <v>52</v>
      </c>
      <c r="B262" s="5" t="s">
        <v>103</v>
      </c>
      <c r="C262" s="5" t="s">
        <v>77</v>
      </c>
      <c r="F262" s="5" t="s">
        <v>55</v>
      </c>
      <c r="G262" s="5" t="s">
        <v>65</v>
      </c>
      <c r="H262" s="5" t="s">
        <v>57</v>
      </c>
      <c r="I262" s="5">
        <v>28</v>
      </c>
      <c r="J262" s="5" t="str">
        <f>IFERROR(VLOOKUP(I262,[1]INFO_LOCALES!$B:$C,2,FALSE),"")</f>
        <v>PARQUE</v>
      </c>
      <c r="K262" s="5" t="str">
        <f>IFERROR(VLOOKUP(Tabla2[[#This Row],[TIENDA]],[1]INFO_LOCALES!$B:$D,3,FALSE),"")</f>
        <v>II - Antofagasta</v>
      </c>
      <c r="L262" s="5" t="str">
        <f>IFERROR(VLOOKUP(I262,[1]INFO_LOCALES!$B:$I,8,FALSE),"")</f>
        <v>Antofagasta</v>
      </c>
      <c r="M262" s="5" t="str">
        <f>IFERROR(VLOOKUP(I262,[1]INFO_LOCALES!$B:$H,7,FALSE),"")</f>
        <v>Av. Jose Miguel Carrera 1527</v>
      </c>
      <c r="N262" s="5">
        <f>IFERROR(VLOOKUP(I262,[1]INFO_LOCALES!$B:$E,4,FALSE),"")</f>
        <v>0</v>
      </c>
      <c r="O262" s="5" t="str">
        <f>VLOOKUP(Tabla2[[#This Row],[TIENDA]],[1]INFO_LOCALES!$B:$J,9,0)</f>
        <v>SIN CONVENIO</v>
      </c>
      <c r="P262" s="5" t="str">
        <f>IFERROR(VLOOKUP(I262,[1]INFO_LOCALES!$B:$F,5,FALSE),"")</f>
        <v>AGUAS DE ANTOFAGASTA S A</v>
      </c>
      <c r="Q262" s="5" t="s">
        <v>105</v>
      </c>
      <c r="R262" s="5" t="s">
        <v>58</v>
      </c>
      <c r="S262" s="6">
        <v>45659</v>
      </c>
      <c r="T262" s="5" t="str">
        <f>UPPER(IF(Tabla2[[#This Row],[FECHA DE MUESTREO ]]=0,"",TEXT(Tabla2[[#This Row],[FECHA DE MUESTREO ]],("MMMM"))))</f>
        <v>JULIO</v>
      </c>
      <c r="U262" s="6">
        <v>45504</v>
      </c>
      <c r="V262" s="5" t="s">
        <v>59</v>
      </c>
      <c r="W2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62" s="7">
        <f t="shared" si="9"/>
        <v>2</v>
      </c>
      <c r="Y262" s="5">
        <v>14</v>
      </c>
      <c r="Z262" s="5">
        <v>6.65</v>
      </c>
      <c r="AA262" s="5">
        <v>0.8</v>
      </c>
      <c r="AB262" s="5" t="s">
        <v>191</v>
      </c>
      <c r="AC262" s="5">
        <v>86</v>
      </c>
      <c r="AD262" s="5">
        <v>0.8</v>
      </c>
      <c r="AE262" s="5">
        <v>5.69</v>
      </c>
      <c r="AF262" s="5">
        <v>0.2</v>
      </c>
      <c r="AG262" s="5">
        <v>41</v>
      </c>
      <c r="AH262" s="5">
        <v>2.093</v>
      </c>
      <c r="AI262" s="5">
        <f t="shared" si="8"/>
        <v>62.79</v>
      </c>
      <c r="AX262" s="5">
        <v>1673</v>
      </c>
      <c r="AY262" s="5">
        <v>0.03</v>
      </c>
    </row>
    <row r="263" spans="1:52" x14ac:dyDescent="0.25">
      <c r="A263" s="5" t="s">
        <v>52</v>
      </c>
      <c r="B263" s="5" t="s">
        <v>90</v>
      </c>
      <c r="C263" s="5" t="s">
        <v>81</v>
      </c>
      <c r="F263" s="5" t="s">
        <v>55</v>
      </c>
      <c r="G263" s="5" t="s">
        <v>61</v>
      </c>
      <c r="H263" s="5" t="s">
        <v>57</v>
      </c>
      <c r="I263" s="5">
        <v>777</v>
      </c>
      <c r="J263" s="5" t="str">
        <f>IFERROR(VLOOKUP(I263,[1]INFO_LOCALES!$B:$C,2,FALSE),"")</f>
        <v>CENTRAL</v>
      </c>
      <c r="K263" s="5" t="str">
        <f>IFERROR(VLOOKUP(Tabla2[[#This Row],[TIENDA]],[1]INFO_LOCALES!$B:$D,3,FALSE),"")</f>
        <v>X - Los Lagos</v>
      </c>
      <c r="L263" s="5" t="str">
        <f>IFERROR(VLOOKUP(I263,[1]INFO_LOCALES!$B:$I,8,FALSE),"")</f>
        <v>Osorno</v>
      </c>
      <c r="M263" s="5" t="str">
        <f>IFERROR(VLOOKUP(I263,[1]INFO_LOCALES!$B:$H,7,FALSE),"")</f>
        <v>Patricio Lynch 1278</v>
      </c>
      <c r="N263" s="5">
        <f>IFERROR(VLOOKUP(I263,[1]INFO_LOCALES!$B:$E,4,FALSE),"")</f>
        <v>3684</v>
      </c>
      <c r="O263" s="5" t="str">
        <f>VLOOKUP(Tabla2[[#This Row],[TIENDA]],[1]INFO_LOCALES!$B:$J,9,0)</f>
        <v>CONVENIO</v>
      </c>
      <c r="P263" s="5" t="str">
        <f>IFERROR(VLOOKUP(I263,[1]INFO_LOCALES!$B:$F,5,FALSE),"")</f>
        <v>SURALIS</v>
      </c>
      <c r="Q263" s="5" t="s">
        <v>105</v>
      </c>
      <c r="R263" s="5" t="s">
        <v>58</v>
      </c>
      <c r="S263" s="6">
        <v>45565</v>
      </c>
      <c r="T263" s="5" t="s">
        <v>192</v>
      </c>
      <c r="U263" s="6">
        <v>45508</v>
      </c>
      <c r="V263" s="5" t="s">
        <v>59</v>
      </c>
      <c r="W2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63" s="7">
        <f t="shared" si="9"/>
        <v>1</v>
      </c>
      <c r="Y263" s="5">
        <v>26</v>
      </c>
      <c r="Z263" s="5">
        <v>7.14</v>
      </c>
      <c r="AA263" s="5">
        <v>4</v>
      </c>
      <c r="AB263" s="5">
        <v>14.8</v>
      </c>
      <c r="AC263" s="5">
        <v>243</v>
      </c>
      <c r="AD263" s="5">
        <v>12.6</v>
      </c>
      <c r="AE263" s="5">
        <v>1.81</v>
      </c>
      <c r="AF263" s="5">
        <v>1</v>
      </c>
      <c r="AG263" s="5">
        <v>105</v>
      </c>
      <c r="AH263" s="5">
        <v>6.3</v>
      </c>
      <c r="AI263" s="5">
        <f t="shared" si="8"/>
        <v>189</v>
      </c>
      <c r="AZ263" s="8" t="s">
        <v>193</v>
      </c>
    </row>
    <row r="264" spans="1:52" x14ac:dyDescent="0.25">
      <c r="A264" s="5" t="s">
        <v>52</v>
      </c>
      <c r="B264" s="5" t="s">
        <v>90</v>
      </c>
      <c r="C264" s="5" t="s">
        <v>81</v>
      </c>
      <c r="F264" s="5" t="s">
        <v>55</v>
      </c>
      <c r="G264" s="5" t="s">
        <v>61</v>
      </c>
      <c r="H264" s="5" t="s">
        <v>57</v>
      </c>
      <c r="I264" s="5">
        <v>777</v>
      </c>
      <c r="J264" s="5" t="str">
        <f>IFERROR(VLOOKUP(I264,[1]INFO_LOCALES!$B:$C,2,FALSE),"")</f>
        <v>CENTRAL</v>
      </c>
      <c r="K264" s="5" t="str">
        <f>IFERROR(VLOOKUP(Tabla2[[#This Row],[TIENDA]],[1]INFO_LOCALES!$B:$D,3,FALSE),"")</f>
        <v>X - Los Lagos</v>
      </c>
      <c r="L264" s="5" t="str">
        <f>IFERROR(VLOOKUP(I264,[1]INFO_LOCALES!$B:$I,8,FALSE),"")</f>
        <v>Osorno</v>
      </c>
      <c r="M264" s="5" t="str">
        <f>IFERROR(VLOOKUP(I264,[1]INFO_LOCALES!$B:$H,7,FALSE),"")</f>
        <v>Patricio Lynch 1278</v>
      </c>
      <c r="N264" s="5">
        <f>IFERROR(VLOOKUP(I264,[1]INFO_LOCALES!$B:$E,4,FALSE),"")</f>
        <v>3684</v>
      </c>
      <c r="O264" s="5" t="str">
        <f>VLOOKUP(Tabla2[[#This Row],[TIENDA]],[1]INFO_LOCALES!$B:$J,9,0)</f>
        <v>CONVENIO</v>
      </c>
      <c r="P264" s="5" t="str">
        <f>IFERROR(VLOOKUP(I264,[1]INFO_LOCALES!$B:$F,5,FALSE),"")</f>
        <v>SURALIS</v>
      </c>
      <c r="Q264" s="5" t="s">
        <v>105</v>
      </c>
      <c r="R264" s="5" t="s">
        <v>58</v>
      </c>
      <c r="S264" s="6">
        <v>45624</v>
      </c>
      <c r="T264" s="5" t="str">
        <f>UPPER(IF(Tabla2[[#This Row],[FECHA DE MUESTREO ]]=0,"",TEXT(Tabla2[[#This Row],[FECHA DE MUESTREO ]],("MMMM"))))</f>
        <v>AGOSTO</v>
      </c>
      <c r="U264" s="6">
        <v>45508</v>
      </c>
      <c r="V264" s="5" t="s">
        <v>59</v>
      </c>
      <c r="W2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64" s="7">
        <f t="shared" si="9"/>
        <v>1</v>
      </c>
      <c r="Y264" s="5">
        <v>26</v>
      </c>
      <c r="Z264" s="5">
        <v>7.2</v>
      </c>
      <c r="AA264" s="5">
        <v>4</v>
      </c>
      <c r="AB264" s="5">
        <v>13.2</v>
      </c>
      <c r="AC264" s="5">
        <v>243</v>
      </c>
      <c r="AD264" s="5">
        <v>12.6</v>
      </c>
      <c r="AE264" s="5">
        <v>1.81</v>
      </c>
      <c r="AF264" s="5">
        <v>1</v>
      </c>
      <c r="AG264" s="5">
        <v>105</v>
      </c>
      <c r="AH264" s="5">
        <v>6</v>
      </c>
      <c r="AI264" s="5">
        <f t="shared" si="8"/>
        <v>180</v>
      </c>
    </row>
    <row r="265" spans="1:52" x14ac:dyDescent="0.25">
      <c r="A265" s="5" t="s">
        <v>52</v>
      </c>
      <c r="B265" s="5" t="s">
        <v>76</v>
      </c>
      <c r="C265" s="5" t="s">
        <v>77</v>
      </c>
      <c r="F265" s="5" t="s">
        <v>55</v>
      </c>
      <c r="G265" s="5" t="s">
        <v>56</v>
      </c>
      <c r="H265" s="5" t="s">
        <v>57</v>
      </c>
      <c r="I265" s="5">
        <v>106</v>
      </c>
      <c r="J265" s="5" t="str">
        <f>IFERROR(VLOOKUP(I265,[1]INFO_LOCALES!$B:$C,2,FALSE),"")</f>
        <v>LOS MOLLES</v>
      </c>
      <c r="K265" s="5" t="str">
        <f>IFERROR(VLOOKUP(Tabla2[[#This Row],[TIENDA]],[1]INFO_LOCALES!$B:$D,3,FALSE),"")</f>
        <v>I - Tarapacá</v>
      </c>
      <c r="L265" s="5" t="str">
        <f>IFERROR(VLOOKUP(I265,[1]INFO_LOCALES!$B:$I,8,FALSE),"")</f>
        <v>Iquique</v>
      </c>
      <c r="M265" s="5" t="str">
        <f>IFERROR(VLOOKUP(I265,[1]INFO_LOCALES!$B:$H,7,FALSE),"")</f>
        <v>Santiago Polanco 2251</v>
      </c>
      <c r="N265" s="5">
        <f>IFERROR(VLOOKUP(I265,[1]INFO_LOCALES!$B:$E,4,FALSE),"")</f>
        <v>4050</v>
      </c>
      <c r="O265" s="5" t="str">
        <f>VLOOKUP(Tabla2[[#This Row],[TIENDA]],[1]INFO_LOCALES!$B:$J,9,0)</f>
        <v>CONVENIO</v>
      </c>
      <c r="P265" s="5" t="str">
        <f>IFERROR(VLOOKUP(I265,[1]INFO_LOCALES!$B:$F,5,FALSE),"")</f>
        <v>AGUAS DEL ALTIPLANO S.A.</v>
      </c>
      <c r="Q265" s="5" t="s">
        <v>78</v>
      </c>
      <c r="R265" s="5" t="s">
        <v>58</v>
      </c>
      <c r="S265" s="6">
        <v>45565</v>
      </c>
      <c r="T265" s="5" t="s">
        <v>192</v>
      </c>
      <c r="U265" s="6">
        <v>45509</v>
      </c>
      <c r="V265" s="5" t="s">
        <v>59</v>
      </c>
      <c r="W2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65" s="7">
        <f t="shared" si="9"/>
        <v>3</v>
      </c>
      <c r="Y265" s="5">
        <v>13</v>
      </c>
      <c r="Z265" s="5">
        <v>6.76</v>
      </c>
      <c r="AA265" s="5">
        <v>21</v>
      </c>
      <c r="AB265" s="5">
        <v>22.66</v>
      </c>
      <c r="AC265" s="5">
        <v>180</v>
      </c>
      <c r="AD265" s="5">
        <v>4.8</v>
      </c>
      <c r="AE265" s="5">
        <v>31.36</v>
      </c>
      <c r="AF265" s="5">
        <v>1</v>
      </c>
      <c r="AG265" s="5">
        <v>121</v>
      </c>
      <c r="AH265" s="5">
        <v>3</v>
      </c>
      <c r="AI265" s="5">
        <f t="shared" si="8"/>
        <v>90</v>
      </c>
      <c r="AZ265" s="8" t="s">
        <v>194</v>
      </c>
    </row>
    <row r="266" spans="1:52" x14ac:dyDescent="0.25">
      <c r="A266" s="5" t="s">
        <v>52</v>
      </c>
      <c r="B266" s="5" t="s">
        <v>76</v>
      </c>
      <c r="C266" s="5" t="s">
        <v>77</v>
      </c>
      <c r="F266" s="5" t="s">
        <v>55</v>
      </c>
      <c r="G266" s="5" t="s">
        <v>56</v>
      </c>
      <c r="H266" s="5" t="s">
        <v>57</v>
      </c>
      <c r="I266" s="5">
        <v>86</v>
      </c>
      <c r="J266" s="5" t="str">
        <f>IFERROR(VLOOKUP(I266,[1]INFO_LOCALES!$B:$C,2,FALSE),"")</f>
        <v>BILBAO</v>
      </c>
      <c r="K266" s="5" t="str">
        <f>IFERROR(VLOOKUP(Tabla2[[#This Row],[TIENDA]],[1]INFO_LOCALES!$B:$D,3,FALSE),"")</f>
        <v>I - Tarapacá</v>
      </c>
      <c r="L266" s="5" t="str">
        <f>IFERROR(VLOOKUP(I266,[1]INFO_LOCALES!$B:$I,8,FALSE),"")</f>
        <v>Iquique</v>
      </c>
      <c r="M266" s="5" t="str">
        <f>IFERROR(VLOOKUP(I266,[1]INFO_LOCALES!$B:$H,7,FALSE),"")</f>
        <v>Fco.Bilbao 3545</v>
      </c>
      <c r="N266" s="5">
        <f>IFERROR(VLOOKUP(I266,[1]INFO_LOCALES!$B:$E,4,FALSE),"")</f>
        <v>4049</v>
      </c>
      <c r="O266" s="5" t="str">
        <f>VLOOKUP(Tabla2[[#This Row],[TIENDA]],[1]INFO_LOCALES!$B:$J,9,0)</f>
        <v>CONVENIO</v>
      </c>
      <c r="P266" s="5" t="str">
        <f>IFERROR(VLOOKUP(I266,[1]INFO_LOCALES!$B:$F,5,FALSE),"")</f>
        <v>AGUAS DEL ALTIPLANO S.A.</v>
      </c>
      <c r="Q266" s="5" t="s">
        <v>78</v>
      </c>
      <c r="R266" s="5" t="s">
        <v>58</v>
      </c>
      <c r="S266" s="6">
        <v>45595</v>
      </c>
      <c r="T266" s="5" t="s">
        <v>192</v>
      </c>
      <c r="U266" s="6">
        <v>45509</v>
      </c>
      <c r="V266" s="5" t="s">
        <v>59</v>
      </c>
      <c r="W2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66" s="7">
        <f t="shared" si="9"/>
        <v>3</v>
      </c>
      <c r="Y266" s="5">
        <v>9</v>
      </c>
      <c r="Z266" s="5">
        <v>7</v>
      </c>
      <c r="AA266" s="5">
        <v>19</v>
      </c>
      <c r="AB266" s="5">
        <v>24.18</v>
      </c>
      <c r="AC266" s="5">
        <v>320</v>
      </c>
      <c r="AD266" s="5">
        <v>6</v>
      </c>
      <c r="AE266" s="5">
        <v>25.82</v>
      </c>
      <c r="AF266" s="5">
        <v>0.5</v>
      </c>
      <c r="AG266" s="5">
        <v>79</v>
      </c>
      <c r="AH266" s="5">
        <v>10.3</v>
      </c>
      <c r="AI266" s="5">
        <f t="shared" si="8"/>
        <v>309</v>
      </c>
      <c r="AZ266" s="8" t="s">
        <v>195</v>
      </c>
    </row>
    <row r="267" spans="1:52" x14ac:dyDescent="0.25">
      <c r="A267" s="5" t="s">
        <v>52</v>
      </c>
      <c r="B267" s="5" t="s">
        <v>76</v>
      </c>
      <c r="C267" s="5" t="s">
        <v>77</v>
      </c>
      <c r="F267" s="5" t="s">
        <v>55</v>
      </c>
      <c r="G267" s="5" t="s">
        <v>61</v>
      </c>
      <c r="H267" s="5" t="s">
        <v>57</v>
      </c>
      <c r="I267" s="5">
        <v>86</v>
      </c>
      <c r="J267" s="5" t="str">
        <f>IFERROR(VLOOKUP(I267,[1]INFO_LOCALES!$B:$C,2,FALSE),"")</f>
        <v>BILBAO</v>
      </c>
      <c r="K267" s="5" t="str">
        <f>IFERROR(VLOOKUP(Tabla2[[#This Row],[TIENDA]],[1]INFO_LOCALES!$B:$D,3,FALSE),"")</f>
        <v>I - Tarapacá</v>
      </c>
      <c r="L267" s="5" t="str">
        <f>IFERROR(VLOOKUP(I267,[1]INFO_LOCALES!$B:$I,8,FALSE),"")</f>
        <v>Iquique</v>
      </c>
      <c r="M267" s="5" t="str">
        <f>IFERROR(VLOOKUP(I267,[1]INFO_LOCALES!$B:$H,7,FALSE),"")</f>
        <v>Fco.Bilbao 3545</v>
      </c>
      <c r="N267" s="5">
        <f>IFERROR(VLOOKUP(I267,[1]INFO_LOCALES!$B:$E,4,FALSE),"")</f>
        <v>4049</v>
      </c>
      <c r="O267" s="5" t="str">
        <f>VLOOKUP(Tabla2[[#This Row],[TIENDA]],[1]INFO_LOCALES!$B:$J,9,0)</f>
        <v>CONVENIO</v>
      </c>
      <c r="P267" s="5" t="str">
        <f>IFERROR(VLOOKUP(I267,[1]INFO_LOCALES!$B:$F,5,FALSE),"")</f>
        <v>AGUAS DEL ALTIPLANO S.A.</v>
      </c>
      <c r="Q267" s="5" t="s">
        <v>78</v>
      </c>
      <c r="R267" s="5" t="s">
        <v>58</v>
      </c>
      <c r="S267" s="6">
        <v>45595</v>
      </c>
      <c r="T267" s="5" t="s">
        <v>192</v>
      </c>
      <c r="U267" s="6">
        <v>45510</v>
      </c>
      <c r="V267" s="5" t="s">
        <v>59</v>
      </c>
      <c r="W2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67" s="7">
        <f t="shared" si="9"/>
        <v>2</v>
      </c>
      <c r="Y267" s="5">
        <v>9</v>
      </c>
      <c r="Z267" s="5">
        <v>6.79</v>
      </c>
      <c r="AA267" s="5">
        <v>13</v>
      </c>
      <c r="AB267" s="5">
        <v>22.78</v>
      </c>
      <c r="AC267" s="5">
        <v>292</v>
      </c>
      <c r="AD267" s="5">
        <v>6.9</v>
      </c>
      <c r="AE267" s="5">
        <v>49.45</v>
      </c>
      <c r="AF267" s="5">
        <v>2</v>
      </c>
      <c r="AG267" s="5">
        <v>125</v>
      </c>
      <c r="AH267" s="5">
        <v>36.1</v>
      </c>
      <c r="AI267" s="5">
        <f t="shared" si="8"/>
        <v>1083</v>
      </c>
      <c r="AZ267" s="8" t="s">
        <v>195</v>
      </c>
    </row>
    <row r="268" spans="1:52" x14ac:dyDescent="0.25">
      <c r="A268" s="5" t="s">
        <v>52</v>
      </c>
      <c r="B268" s="5" t="s">
        <v>90</v>
      </c>
      <c r="C268" s="5" t="s">
        <v>81</v>
      </c>
      <c r="F268" s="5" t="s">
        <v>55</v>
      </c>
      <c r="G268" s="5" t="s">
        <v>61</v>
      </c>
      <c r="H268" s="5" t="s">
        <v>57</v>
      </c>
      <c r="I268" s="5">
        <v>778</v>
      </c>
      <c r="J268" s="5" t="str">
        <f>IFERROR(VLOOKUP(I268,[1]INFO_LOCALES!$B:$C,2,FALSE),"")</f>
        <v>ORIENTE</v>
      </c>
      <c r="K268" s="5" t="str">
        <f>IFERROR(VLOOKUP(Tabla2[[#This Row],[TIENDA]],[1]INFO_LOCALES!$B:$D,3,FALSE),"")</f>
        <v>X - Los Lagos</v>
      </c>
      <c r="L268" s="5" t="str">
        <f>IFERROR(VLOOKUP(I268,[1]INFO_LOCALES!$B:$I,8,FALSE),"")</f>
        <v>Osorno</v>
      </c>
      <c r="M268" s="5" t="str">
        <f>IFERROR(VLOOKUP(I268,[1]INFO_LOCALES!$B:$H,7,FALSE),"")</f>
        <v>Julio Buschman 2223</v>
      </c>
      <c r="N268" s="5">
        <f>IFERROR(VLOOKUP(I268,[1]INFO_LOCALES!$B:$E,4,FALSE),"")</f>
        <v>2867</v>
      </c>
      <c r="O268" s="5" t="str">
        <f>VLOOKUP(Tabla2[[#This Row],[TIENDA]],[1]INFO_LOCALES!$B:$J,9,0)</f>
        <v>CONVENIO</v>
      </c>
      <c r="P268" s="5" t="str">
        <f>IFERROR(VLOOKUP(I268,[1]INFO_LOCALES!$B:$F,5,FALSE),"")</f>
        <v>SURALIS</v>
      </c>
      <c r="Q268" s="5" t="s">
        <v>105</v>
      </c>
      <c r="R268" s="5" t="s">
        <v>58</v>
      </c>
      <c r="S268" s="6">
        <v>45565</v>
      </c>
      <c r="T268" s="5" t="s">
        <v>192</v>
      </c>
      <c r="U268" s="6">
        <v>45512</v>
      </c>
      <c r="V268" s="5" t="s">
        <v>59</v>
      </c>
      <c r="W2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68" s="7">
        <f t="shared" si="9"/>
        <v>2</v>
      </c>
      <c r="Y268" s="5">
        <v>46</v>
      </c>
      <c r="Z268" s="5">
        <v>7.07</v>
      </c>
      <c r="AA268" s="5">
        <v>2</v>
      </c>
      <c r="AB268" s="5">
        <v>11</v>
      </c>
      <c r="AC268" s="5">
        <v>395</v>
      </c>
      <c r="AD268" s="5">
        <v>12.4</v>
      </c>
      <c r="AE268" s="5">
        <v>49.54</v>
      </c>
      <c r="AF268" s="5">
        <v>2</v>
      </c>
      <c r="AG268" s="5">
        <v>485</v>
      </c>
      <c r="AH268" s="5">
        <v>18.8</v>
      </c>
      <c r="AI268" s="5">
        <f t="shared" si="8"/>
        <v>564</v>
      </c>
      <c r="AZ268" s="8" t="s">
        <v>196</v>
      </c>
    </row>
    <row r="269" spans="1:52" x14ac:dyDescent="0.25">
      <c r="A269" s="5" t="s">
        <v>52</v>
      </c>
      <c r="B269" s="5" t="s">
        <v>90</v>
      </c>
      <c r="C269" s="5" t="s">
        <v>81</v>
      </c>
      <c r="F269" s="5" t="s">
        <v>55</v>
      </c>
      <c r="G269" s="5" t="s">
        <v>61</v>
      </c>
      <c r="H269" s="5" t="s">
        <v>57</v>
      </c>
      <c r="I269" s="5">
        <v>778</v>
      </c>
      <c r="J269" s="5" t="str">
        <f>IFERROR(VLOOKUP(I269,[1]INFO_LOCALES!$B:$C,2,FALSE),"")</f>
        <v>ORIENTE</v>
      </c>
      <c r="K269" s="5" t="str">
        <f>IFERROR(VLOOKUP(Tabla2[[#This Row],[TIENDA]],[1]INFO_LOCALES!$B:$D,3,FALSE),"")</f>
        <v>X - Los Lagos</v>
      </c>
      <c r="L269" s="5" t="str">
        <f>IFERROR(VLOOKUP(I269,[1]INFO_LOCALES!$B:$I,8,FALSE),"")</f>
        <v>Osorno</v>
      </c>
      <c r="M269" s="5" t="str">
        <f>IFERROR(VLOOKUP(I269,[1]INFO_LOCALES!$B:$H,7,FALSE),"")</f>
        <v>Julio Buschman 2223</v>
      </c>
      <c r="N269" s="5">
        <f>IFERROR(VLOOKUP(I269,[1]INFO_LOCALES!$B:$E,4,FALSE),"")</f>
        <v>2867</v>
      </c>
      <c r="O269" s="5" t="str">
        <f>VLOOKUP(Tabla2[[#This Row],[TIENDA]],[1]INFO_LOCALES!$B:$J,9,0)</f>
        <v>CONVENIO</v>
      </c>
      <c r="P269" s="5" t="str">
        <f>IFERROR(VLOOKUP(I269,[1]INFO_LOCALES!$B:$F,5,FALSE),"")</f>
        <v>SURALIS</v>
      </c>
      <c r="Q269" s="5" t="s">
        <v>105</v>
      </c>
      <c r="R269" s="5" t="s">
        <v>58</v>
      </c>
      <c r="S269" s="6">
        <v>45624</v>
      </c>
      <c r="T269" s="5" t="str">
        <f>UPPER(IF(Tabla2[[#This Row],[FECHA DE MUESTREO ]]=0,"",TEXT(Tabla2[[#This Row],[FECHA DE MUESTREO ]],("MMMM"))))</f>
        <v>AGOSTO</v>
      </c>
      <c r="U269" s="6">
        <v>45512</v>
      </c>
      <c r="V269" s="5" t="s">
        <v>59</v>
      </c>
      <c r="W2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69" s="7">
        <f t="shared" si="9"/>
        <v>2</v>
      </c>
      <c r="Y269" s="5">
        <v>46</v>
      </c>
      <c r="Z269" s="5">
        <v>7.1</v>
      </c>
      <c r="AA269" s="5">
        <v>2</v>
      </c>
      <c r="AB269" s="5">
        <v>11</v>
      </c>
      <c r="AC269" s="5">
        <v>395</v>
      </c>
      <c r="AD269" s="5">
        <v>12.4</v>
      </c>
      <c r="AE269" s="5">
        <v>49.5</v>
      </c>
      <c r="AF269" s="5">
        <v>2</v>
      </c>
      <c r="AG269" s="5">
        <v>485</v>
      </c>
      <c r="AH269" s="5">
        <v>19</v>
      </c>
      <c r="AI269" s="5">
        <f t="shared" si="8"/>
        <v>570</v>
      </c>
    </row>
    <row r="270" spans="1:52" x14ac:dyDescent="0.25">
      <c r="A270" s="5" t="s">
        <v>52</v>
      </c>
      <c r="B270" s="5" t="s">
        <v>74</v>
      </c>
      <c r="C270" s="5" t="s">
        <v>74</v>
      </c>
      <c r="F270" s="5" t="s">
        <v>55</v>
      </c>
      <c r="G270" s="5" t="s">
        <v>65</v>
      </c>
      <c r="H270" s="5" t="s">
        <v>57</v>
      </c>
      <c r="I270" s="5">
        <v>464</v>
      </c>
      <c r="J270" s="5" t="str">
        <f>IFERROR(VLOOKUP(I270,[1]INFO_LOCALES!$B:$C,2,FALSE),"")</f>
        <v>AGUIRRE CERDA AUSTRAL</v>
      </c>
      <c r="K270" s="5" t="str">
        <f>IFERROR(VLOOKUP(Tabla2[[#This Row],[TIENDA]],[1]INFO_LOCALES!$B:$D,3,FALSE),"")</f>
        <v>XII - Magallanes</v>
      </c>
      <c r="L270" s="5" t="str">
        <f>IFERROR(VLOOKUP(I270,[1]INFO_LOCALES!$B:$I,8,FALSE),"")</f>
        <v>Punta Arenas</v>
      </c>
      <c r="M270" s="5" t="str">
        <f>IFERROR(VLOOKUP(I270,[1]INFO_LOCALES!$B:$H,7,FALSE),"")</f>
        <v>Pedro Aguirre Cerda 0413</v>
      </c>
      <c r="N270" s="5">
        <f>IFERROR(VLOOKUP(I270,[1]INFO_LOCALES!$B:$E,4,FALSE),"")</f>
        <v>0</v>
      </c>
      <c r="O270" s="5" t="str">
        <f>VLOOKUP(Tabla2[[#This Row],[TIENDA]],[1]INFO_LOCALES!$B:$J,9,0)</f>
        <v>SIN CONVENIO</v>
      </c>
      <c r="P270" s="5" t="str">
        <f>IFERROR(VLOOKUP(I270,[1]INFO_LOCALES!$B:$F,5,FALSE),"")</f>
        <v>AGUAS MAGALLANES S.A.</v>
      </c>
      <c r="Q270" s="5" t="s">
        <v>71</v>
      </c>
      <c r="R270" s="5" t="s">
        <v>58</v>
      </c>
      <c r="S270" s="6">
        <v>45565</v>
      </c>
      <c r="T270" s="5" t="s">
        <v>192</v>
      </c>
      <c r="U270" s="6">
        <v>45513</v>
      </c>
      <c r="V270" s="5" t="s">
        <v>59</v>
      </c>
      <c r="W2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70" s="7">
        <f t="shared" si="9"/>
        <v>1</v>
      </c>
      <c r="Y270" s="5">
        <v>0.5</v>
      </c>
      <c r="AA270" s="5">
        <v>2</v>
      </c>
      <c r="AC270" s="5">
        <v>7.7</v>
      </c>
      <c r="AD270" s="5">
        <v>2.1</v>
      </c>
      <c r="AE270" s="5">
        <v>2.2000000000000002</v>
      </c>
      <c r="AF270" s="5">
        <v>0.1</v>
      </c>
      <c r="AG270" s="5">
        <v>5</v>
      </c>
      <c r="AI270" s="5">
        <f t="shared" si="8"/>
        <v>0</v>
      </c>
    </row>
    <row r="271" spans="1:52" x14ac:dyDescent="0.25">
      <c r="A271" s="5" t="s">
        <v>52</v>
      </c>
      <c r="B271" s="5" t="s">
        <v>76</v>
      </c>
      <c r="C271" s="5" t="s">
        <v>77</v>
      </c>
      <c r="F271" s="5" t="s">
        <v>55</v>
      </c>
      <c r="G271" s="5" t="s">
        <v>61</v>
      </c>
      <c r="H271" s="5" t="s">
        <v>57</v>
      </c>
      <c r="I271" s="5">
        <v>87</v>
      </c>
      <c r="J271" s="5" t="str">
        <f>IFERROR(VLOOKUP(I271,[1]INFO_LOCALES!$B:$C,2,FALSE),"")</f>
        <v>JUAN MARTINEZ</v>
      </c>
      <c r="K271" s="5" t="str">
        <f>IFERROR(VLOOKUP(Tabla2[[#This Row],[TIENDA]],[1]INFO_LOCALES!$B:$D,3,FALSE),"")</f>
        <v>I - Tarapacá</v>
      </c>
      <c r="L271" s="5" t="str">
        <f>IFERROR(VLOOKUP(I271,[1]INFO_LOCALES!$B:$I,8,FALSE),"")</f>
        <v>Iquique</v>
      </c>
      <c r="M271" s="5" t="str">
        <f>IFERROR(VLOOKUP(I271,[1]INFO_LOCALES!$B:$H,7,FALSE),"")</f>
        <v>M. Rodriguez 964</v>
      </c>
      <c r="N271" s="5">
        <f>IFERROR(VLOOKUP(I271,[1]INFO_LOCALES!$B:$E,4,FALSE),"")</f>
        <v>0</v>
      </c>
      <c r="O271" s="5" t="str">
        <f>VLOOKUP(Tabla2[[#This Row],[TIENDA]],[1]INFO_LOCALES!$B:$J,9,0)</f>
        <v>CONVENIO</v>
      </c>
      <c r="P271" s="5" t="str">
        <f>IFERROR(VLOOKUP(I271,[1]INFO_LOCALES!$B:$F,5,FALSE),"")</f>
        <v>AGUAS DEL ALTIPLANO S.A.</v>
      </c>
      <c r="Q271" s="5" t="s">
        <v>78</v>
      </c>
      <c r="R271" s="5" t="s">
        <v>58</v>
      </c>
      <c r="S271" s="6">
        <v>45565</v>
      </c>
      <c r="T271" s="5" t="s">
        <v>192</v>
      </c>
      <c r="U271" s="6">
        <v>45516</v>
      </c>
      <c r="V271" s="5" t="s">
        <v>59</v>
      </c>
      <c r="W2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71" s="7">
        <f t="shared" si="9"/>
        <v>3</v>
      </c>
      <c r="Y271" s="5">
        <v>16</v>
      </c>
      <c r="Z271" s="5">
        <v>6.77</v>
      </c>
      <c r="AA271" s="5">
        <v>17</v>
      </c>
      <c r="AB271" s="5">
        <v>22.44</v>
      </c>
      <c r="AC271" s="5">
        <v>503</v>
      </c>
      <c r="AD271" s="5">
        <v>9.6</v>
      </c>
      <c r="AE271" s="5">
        <v>30.89</v>
      </c>
      <c r="AF271" s="5">
        <v>1</v>
      </c>
      <c r="AG271" s="5">
        <v>305</v>
      </c>
      <c r="AH271" s="5">
        <v>4.3</v>
      </c>
      <c r="AI271" s="5">
        <f t="shared" si="8"/>
        <v>129</v>
      </c>
    </row>
    <row r="272" spans="1:52" x14ac:dyDescent="0.25">
      <c r="A272" s="5" t="s">
        <v>52</v>
      </c>
      <c r="B272" s="5" t="s">
        <v>76</v>
      </c>
      <c r="C272" s="5" t="s">
        <v>77</v>
      </c>
      <c r="F272" s="5" t="s">
        <v>55</v>
      </c>
      <c r="G272" s="5" t="s">
        <v>65</v>
      </c>
      <c r="H272" s="5" t="s">
        <v>57</v>
      </c>
      <c r="I272" s="5">
        <v>85</v>
      </c>
      <c r="J272" s="5" t="str">
        <f>IFERROR(VLOOKUP(I272,[1]INFO_LOCALES!$B:$C,2,FALSE),"")</f>
        <v>AMUNATEGUI</v>
      </c>
      <c r="K272" s="5" t="str">
        <f>IFERROR(VLOOKUP(Tabla2[[#This Row],[TIENDA]],[1]INFO_LOCALES!$B:$D,3,FALSE),"")</f>
        <v>I - Tarapacá</v>
      </c>
      <c r="L272" s="5" t="str">
        <f>IFERROR(VLOOKUP(I272,[1]INFO_LOCALES!$B:$I,8,FALSE),"")</f>
        <v>Iquique</v>
      </c>
      <c r="M272" s="5" t="str">
        <f>IFERROR(VLOOKUP(I272,[1]INFO_LOCALES!$B:$H,7,FALSE),"")</f>
        <v>Amunategui 902</v>
      </c>
      <c r="N272" s="5">
        <f>IFERROR(VLOOKUP(I272,[1]INFO_LOCALES!$B:$E,4,FALSE),"")</f>
        <v>0</v>
      </c>
      <c r="O272" s="5" t="str">
        <f>VLOOKUP(Tabla2[[#This Row],[TIENDA]],[1]INFO_LOCALES!$B:$J,9,0)</f>
        <v>CONVENIO</v>
      </c>
      <c r="P272" s="5" t="str">
        <f>IFERROR(VLOOKUP(I272,[1]INFO_LOCALES!$B:$F,5,FALSE),"")</f>
        <v>AGUAS DEL ALTIPLANO S.A.</v>
      </c>
      <c r="Q272" s="5" t="s">
        <v>78</v>
      </c>
      <c r="R272" s="5" t="s">
        <v>58</v>
      </c>
      <c r="S272" s="6">
        <v>45595</v>
      </c>
      <c r="T272" s="5" t="s">
        <v>192</v>
      </c>
      <c r="U272" s="6">
        <v>45516</v>
      </c>
      <c r="V272" s="5" t="s">
        <v>59</v>
      </c>
      <c r="W2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72" s="7">
        <f t="shared" si="9"/>
        <v>2</v>
      </c>
      <c r="Y272" s="5">
        <v>12</v>
      </c>
      <c r="Z272" s="5">
        <v>6.75</v>
      </c>
      <c r="AA272" s="5">
        <v>8</v>
      </c>
      <c r="AB272" s="5">
        <v>21.79</v>
      </c>
      <c r="AC272" s="5">
        <v>122</v>
      </c>
      <c r="AD272" s="5">
        <v>6.7</v>
      </c>
      <c r="AE272" s="5">
        <v>13.96</v>
      </c>
      <c r="AF272" s="5">
        <v>0.5</v>
      </c>
      <c r="AG272" s="5">
        <v>83</v>
      </c>
      <c r="AH272" s="5">
        <v>3.4</v>
      </c>
      <c r="AI272" s="5">
        <f t="shared" si="8"/>
        <v>102</v>
      </c>
      <c r="AZ272" s="8" t="s">
        <v>197</v>
      </c>
    </row>
    <row r="273" spans="1:52" x14ac:dyDescent="0.25">
      <c r="A273" s="5" t="s">
        <v>52</v>
      </c>
      <c r="B273" s="5" t="s">
        <v>74</v>
      </c>
      <c r="C273" s="5" t="s">
        <v>74</v>
      </c>
      <c r="F273" s="5" t="s">
        <v>55</v>
      </c>
      <c r="G273" s="5" t="s">
        <v>61</v>
      </c>
      <c r="H273" s="5" t="s">
        <v>57</v>
      </c>
      <c r="I273" s="5">
        <v>465</v>
      </c>
      <c r="J273" s="5" t="str">
        <f>IFERROR(VLOOKUP(I273,[1]INFO_LOCALES!$B:$C,2,FALSE),"")</f>
        <v>PUERTO NATALES</v>
      </c>
      <c r="K273" s="5" t="str">
        <f>IFERROR(VLOOKUP(Tabla2[[#This Row],[TIENDA]],[1]INFO_LOCALES!$B:$D,3,FALSE),"")</f>
        <v>XII - Magallanes</v>
      </c>
      <c r="L273" s="5" t="str">
        <f>IFERROR(VLOOKUP(I273,[1]INFO_LOCALES!$B:$I,8,FALSE),"")</f>
        <v>Puerto Natales</v>
      </c>
      <c r="M273" s="5" t="str">
        <f>IFERROR(VLOOKUP(I273,[1]INFO_LOCALES!$B:$H,7,FALSE),"")</f>
        <v>Bulnes 742</v>
      </c>
      <c r="N273" s="5">
        <f>IFERROR(VLOOKUP(I273,[1]INFO_LOCALES!$B:$E,4,FALSE),"")</f>
        <v>1133</v>
      </c>
      <c r="O273" s="5" t="str">
        <f>VLOOKUP(Tabla2[[#This Row],[TIENDA]],[1]INFO_LOCALES!$B:$J,9,0)</f>
        <v>SIN CONVENIO</v>
      </c>
      <c r="P273" s="5" t="str">
        <f>IFERROR(VLOOKUP(I273,[1]INFO_LOCALES!$B:$F,5,FALSE),"")</f>
        <v>AGUAS MAGALLANES S.A.</v>
      </c>
      <c r="Q273" s="5" t="s">
        <v>71</v>
      </c>
      <c r="R273" s="5" t="s">
        <v>86</v>
      </c>
      <c r="S273" s="6" t="s">
        <v>87</v>
      </c>
      <c r="T273" s="5" t="s">
        <v>192</v>
      </c>
      <c r="U273" s="6">
        <v>45520</v>
      </c>
      <c r="V273" s="5" t="s">
        <v>59</v>
      </c>
      <c r="W2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73" s="7">
        <f t="shared" si="9"/>
        <v>1</v>
      </c>
      <c r="Y273" s="5">
        <v>8.6999999999999993</v>
      </c>
      <c r="Z273" s="5">
        <v>6.82</v>
      </c>
      <c r="AA273" s="5">
        <v>2</v>
      </c>
      <c r="AB273" s="5">
        <v>7.1</v>
      </c>
      <c r="AC273" s="5">
        <v>190</v>
      </c>
      <c r="AD273" s="5">
        <v>6.4</v>
      </c>
      <c r="AE273" s="5">
        <v>12</v>
      </c>
      <c r="AF273" s="5">
        <v>7.5</v>
      </c>
      <c r="AG273" s="5">
        <v>139</v>
      </c>
      <c r="AH273" s="5">
        <v>35.6</v>
      </c>
      <c r="AI273" s="5">
        <f t="shared" si="8"/>
        <v>1068</v>
      </c>
    </row>
    <row r="274" spans="1:52" x14ac:dyDescent="0.25">
      <c r="A274" s="5" t="s">
        <v>52</v>
      </c>
      <c r="B274" s="5" t="s">
        <v>117</v>
      </c>
      <c r="C274" s="5" t="s">
        <v>81</v>
      </c>
      <c r="F274" s="5" t="s">
        <v>58</v>
      </c>
      <c r="G274" s="5" t="s">
        <v>65</v>
      </c>
      <c r="H274" s="5" t="s">
        <v>57</v>
      </c>
      <c r="I274" s="5">
        <v>754</v>
      </c>
      <c r="J274" s="5" t="str">
        <f>IFERROR(VLOOKUP(I274,[1]INFO_LOCALES!$B:$C,2,FALSE),"")</f>
        <v>TEMUCO IV</v>
      </c>
      <c r="K274" s="5" t="str">
        <f>IFERROR(VLOOKUP(Tabla2[[#This Row],[TIENDA]],[1]INFO_LOCALES!$B:$D,3,FALSE),"")</f>
        <v>IX - Araucanía</v>
      </c>
      <c r="L274" s="5" t="str">
        <f>IFERROR(VLOOKUP(I274,[1]INFO_LOCALES!$B:$I,8,FALSE),"")</f>
        <v>Temuco</v>
      </c>
      <c r="M274" s="5" t="str">
        <f>IFERROR(VLOOKUP(I274,[1]INFO_LOCALES!$B:$H,7,FALSE),"")</f>
        <v>Avenida Javiera Carrera 1610</v>
      </c>
      <c r="N274" s="5">
        <f>IFERROR(VLOOKUP(I274,[1]INFO_LOCALES!$B:$E,4,FALSE),"")</f>
        <v>0</v>
      </c>
      <c r="O274" s="5" t="str">
        <f>VLOOKUP(Tabla2[[#This Row],[TIENDA]],[1]INFO_LOCALES!$B:$J,9,0)</f>
        <v>CONVENIO</v>
      </c>
      <c r="P274" s="5" t="str">
        <f>IFERROR(VLOOKUP(I274,[1]INFO_LOCALES!$B:$F,5,FALSE),"")</f>
        <v>AGUAS ARAUCANIA S A</v>
      </c>
      <c r="Q274" s="5" t="s">
        <v>198</v>
      </c>
      <c r="R274" s="5" t="s">
        <v>58</v>
      </c>
      <c r="S274" s="6">
        <v>45653</v>
      </c>
      <c r="T274" s="5" t="str">
        <f>UPPER(IF(Tabla2[[#This Row],[FECHA DE MUESTREO ]]=0,"",TEXT(Tabla2[[#This Row],[FECHA DE MUESTREO ]],("MMMM"))))</f>
        <v>AGOSTO</v>
      </c>
      <c r="U274" s="6">
        <v>45520</v>
      </c>
      <c r="V274" s="5" t="s">
        <v>59</v>
      </c>
      <c r="W2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74" s="7">
        <f t="shared" si="9"/>
        <v>1</v>
      </c>
      <c r="Y274" s="5">
        <v>39.9</v>
      </c>
      <c r="Z274" s="5">
        <v>7.33</v>
      </c>
      <c r="AA274" s="5">
        <v>1</v>
      </c>
      <c r="AB274" s="5">
        <v>13.1</v>
      </c>
      <c r="AC274" s="5">
        <v>216</v>
      </c>
      <c r="AD274" s="5">
        <v>1</v>
      </c>
      <c r="AE274" s="5">
        <v>18.3</v>
      </c>
      <c r="AF274" s="5">
        <v>1.1000000000000001</v>
      </c>
      <c r="AG274" s="5">
        <v>94</v>
      </c>
      <c r="AH274" s="5">
        <v>1.8</v>
      </c>
      <c r="AI274" s="5">
        <f t="shared" si="8"/>
        <v>54</v>
      </c>
    </row>
    <row r="275" spans="1:52" x14ac:dyDescent="0.25">
      <c r="A275" s="5" t="s">
        <v>52</v>
      </c>
      <c r="B275" s="5" t="s">
        <v>117</v>
      </c>
      <c r="C275" s="5" t="s">
        <v>81</v>
      </c>
      <c r="F275" s="5" t="s">
        <v>55</v>
      </c>
      <c r="G275" s="5" t="s">
        <v>65</v>
      </c>
      <c r="H275" s="5" t="s">
        <v>57</v>
      </c>
      <c r="I275" s="5">
        <v>909</v>
      </c>
      <c r="J275" s="5" t="str">
        <f>IFERROR(VLOOKUP(I275,[1]INFO_LOCALES!$B:$C,2,FALSE),"")</f>
        <v>TEMUCO SAN MARTIN</v>
      </c>
      <c r="K275" s="5" t="str">
        <f>IFERROR(VLOOKUP(Tabla2[[#This Row],[TIENDA]],[1]INFO_LOCALES!$B:$D,3,FALSE),"")</f>
        <v>IX - Araucanía</v>
      </c>
      <c r="L275" s="5" t="str">
        <f>IFERROR(VLOOKUP(I275,[1]INFO_LOCALES!$B:$I,8,FALSE),"")</f>
        <v>Temuco</v>
      </c>
      <c r="M275" s="5" t="str">
        <f>IFERROR(VLOOKUP(I275,[1]INFO_LOCALES!$B:$H,7,FALSE),"")</f>
        <v>SAN MARTIN ( L147)  0675</v>
      </c>
      <c r="N275" s="5">
        <f>IFERROR(VLOOKUP(I275,[1]INFO_LOCALES!$B:$E,4,FALSE),"")</f>
        <v>0</v>
      </c>
      <c r="O275" s="5" t="str">
        <f>VLOOKUP(Tabla2[[#This Row],[TIENDA]],[1]INFO_LOCALES!$B:$J,9,0)</f>
        <v>SIN CONVENIO</v>
      </c>
      <c r="P275" s="5" t="str">
        <f>IFERROR(VLOOKUP(I275,[1]INFO_LOCALES!$B:$F,5,FALSE),"")</f>
        <v>AGUAS ARAUCANIA S A</v>
      </c>
      <c r="Q275" s="5" t="s">
        <v>198</v>
      </c>
      <c r="R275" s="5" t="s">
        <v>58</v>
      </c>
      <c r="S275" s="6">
        <v>45653</v>
      </c>
      <c r="T275" s="5" t="str">
        <f>UPPER(IF(Tabla2[[#This Row],[FECHA DE MUESTREO ]]=0,"",TEXT(Tabla2[[#This Row],[FECHA DE MUESTREO ]],("MMMM"))))</f>
        <v>AGOSTO</v>
      </c>
      <c r="U275" s="6">
        <v>45520</v>
      </c>
      <c r="V275" s="5" t="s">
        <v>59</v>
      </c>
      <c r="W2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75" s="7">
        <f t="shared" si="9"/>
        <v>1</v>
      </c>
      <c r="Y275" s="5">
        <v>14</v>
      </c>
      <c r="Z275" s="5">
        <v>6.64</v>
      </c>
      <c r="AA275" s="5">
        <v>1</v>
      </c>
      <c r="AB275" s="5">
        <v>12.1</v>
      </c>
      <c r="AC275" s="5">
        <v>23.4</v>
      </c>
      <c r="AD275" s="5">
        <v>1.46</v>
      </c>
      <c r="AE275" s="5">
        <v>2.21</v>
      </c>
      <c r="AF275" s="5">
        <v>0.1</v>
      </c>
      <c r="AG275" s="5">
        <v>9</v>
      </c>
      <c r="AH275" s="5">
        <v>5.04</v>
      </c>
      <c r="AI275" s="5">
        <f t="shared" si="8"/>
        <v>151.19999999999999</v>
      </c>
    </row>
    <row r="276" spans="1:52" x14ac:dyDescent="0.25">
      <c r="A276" s="5" t="s">
        <v>52</v>
      </c>
      <c r="B276" s="5" t="s">
        <v>76</v>
      </c>
      <c r="C276" s="5" t="s">
        <v>77</v>
      </c>
      <c r="F276" s="5" t="s">
        <v>55</v>
      </c>
      <c r="G276" s="5" t="s">
        <v>61</v>
      </c>
      <c r="H276" s="5" t="s">
        <v>57</v>
      </c>
      <c r="I276" s="5">
        <v>600</v>
      </c>
      <c r="J276" s="5" t="str">
        <f>IFERROR(VLOOKUP(I276,[1]INFO_LOCALES!$B:$C,2,FALSE),"")</f>
        <v>ALTO HOSPICIO II</v>
      </c>
      <c r="K276" s="5" t="str">
        <f>IFERROR(VLOOKUP(Tabla2[[#This Row],[TIENDA]],[1]INFO_LOCALES!$B:$D,3,FALSE),"")</f>
        <v>I - Tarapacá</v>
      </c>
      <c r="L276" s="5" t="str">
        <f>IFERROR(VLOOKUP(I276,[1]INFO_LOCALES!$B:$I,8,FALSE),"")</f>
        <v>Alto Hospicio</v>
      </c>
      <c r="M276" s="5" t="str">
        <f>IFERROR(VLOOKUP(I276,[1]INFO_LOCALES!$B:$H,7,FALSE),"")</f>
        <v>Ruta A16 3350</v>
      </c>
      <c r="N276" s="5">
        <f>IFERROR(VLOOKUP(I276,[1]INFO_LOCALES!$B:$E,4,FALSE),"")</f>
        <v>0</v>
      </c>
      <c r="O276" s="5" t="str">
        <f>VLOOKUP(Tabla2[[#This Row],[TIENDA]],[1]INFO_LOCALES!$B:$J,9,0)</f>
        <v>SIN CONVENIO</v>
      </c>
      <c r="P276" s="5" t="str">
        <f>IFERROR(VLOOKUP(I276,[1]INFO_LOCALES!$B:$F,5,FALSE),"")</f>
        <v>AGUAS DEL ALTIPLANO S.A.</v>
      </c>
      <c r="Q276" s="5" t="s">
        <v>78</v>
      </c>
      <c r="R276" s="5" t="s">
        <v>58</v>
      </c>
      <c r="S276" s="6">
        <v>45565</v>
      </c>
      <c r="T276" s="5" t="s">
        <v>192</v>
      </c>
      <c r="U276" s="6">
        <v>45523</v>
      </c>
      <c r="V276" s="5" t="s">
        <v>59</v>
      </c>
      <c r="W2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76" s="7">
        <f t="shared" si="9"/>
        <v>3</v>
      </c>
      <c r="Y276" s="5">
        <v>8</v>
      </c>
      <c r="Z276" s="5">
        <v>6.87</v>
      </c>
      <c r="AA276" s="5">
        <v>32</v>
      </c>
      <c r="AB276" s="5">
        <v>23.94</v>
      </c>
      <c r="AC276" s="5">
        <v>937</v>
      </c>
      <c r="AD276" s="5">
        <v>14.4</v>
      </c>
      <c r="AE276" s="5">
        <v>55.93</v>
      </c>
      <c r="AF276" s="5">
        <v>0.5</v>
      </c>
      <c r="AG276" s="5">
        <v>583</v>
      </c>
      <c r="AH276" s="5">
        <v>19.5</v>
      </c>
      <c r="AI276" s="5">
        <f t="shared" si="8"/>
        <v>585</v>
      </c>
    </row>
    <row r="277" spans="1:52" x14ac:dyDescent="0.25">
      <c r="A277" s="5" t="s">
        <v>52</v>
      </c>
      <c r="B277" s="5" t="s">
        <v>76</v>
      </c>
      <c r="C277" s="5" t="s">
        <v>77</v>
      </c>
      <c r="F277" s="5" t="s">
        <v>55</v>
      </c>
      <c r="G277" s="5" t="s">
        <v>61</v>
      </c>
      <c r="H277" s="5" t="s">
        <v>57</v>
      </c>
      <c r="I277" s="5">
        <v>600</v>
      </c>
      <c r="J277" s="5" t="str">
        <f>IFERROR(VLOOKUP(I277,[1]INFO_LOCALES!$B:$C,2,FALSE),"")</f>
        <v>ALTO HOSPICIO II</v>
      </c>
      <c r="K277" s="5" t="str">
        <f>IFERROR(VLOOKUP(Tabla2[[#This Row],[TIENDA]],[1]INFO_LOCALES!$B:$D,3,FALSE),"")</f>
        <v>I - Tarapacá</v>
      </c>
      <c r="L277" s="5" t="str">
        <f>IFERROR(VLOOKUP(I277,[1]INFO_LOCALES!$B:$I,8,FALSE),"")</f>
        <v>Alto Hospicio</v>
      </c>
      <c r="M277" s="5" t="str">
        <f>IFERROR(VLOOKUP(I277,[1]INFO_LOCALES!$B:$H,7,FALSE),"")</f>
        <v>Ruta A16 3350</v>
      </c>
      <c r="N277" s="5">
        <f>IFERROR(VLOOKUP(I277,[1]INFO_LOCALES!$B:$E,4,FALSE),"")</f>
        <v>0</v>
      </c>
      <c r="O277" s="5" t="str">
        <f>VLOOKUP(Tabla2[[#This Row],[TIENDA]],[1]INFO_LOCALES!$B:$J,9,0)</f>
        <v>SIN CONVENIO</v>
      </c>
      <c r="P277" s="5" t="str">
        <f>IFERROR(VLOOKUP(I277,[1]INFO_LOCALES!$B:$F,5,FALSE),"")</f>
        <v>AGUAS DEL ALTIPLANO S.A.</v>
      </c>
      <c r="Q277" s="5" t="s">
        <v>78</v>
      </c>
      <c r="R277" s="5" t="s">
        <v>58</v>
      </c>
      <c r="S277" s="6">
        <v>45565</v>
      </c>
      <c r="T277" s="5" t="s">
        <v>192</v>
      </c>
      <c r="U277" s="6">
        <v>45523</v>
      </c>
      <c r="V277" s="5" t="s">
        <v>59</v>
      </c>
      <c r="W2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77" s="7">
        <f t="shared" si="9"/>
        <v>3</v>
      </c>
      <c r="Y277" s="5">
        <v>7</v>
      </c>
      <c r="Z277" s="5">
        <v>7.25</v>
      </c>
      <c r="AA277" s="5">
        <v>45</v>
      </c>
      <c r="AB277" s="5">
        <v>21.13</v>
      </c>
      <c r="AC277" s="5">
        <v>632</v>
      </c>
      <c r="AD277" s="5">
        <v>10.1</v>
      </c>
      <c r="AE277" s="5">
        <v>50.23</v>
      </c>
      <c r="AF277" s="5">
        <v>0.5</v>
      </c>
      <c r="AG277" s="5">
        <v>466</v>
      </c>
      <c r="AH277" s="5">
        <v>22.5</v>
      </c>
      <c r="AI277" s="5">
        <f t="shared" si="8"/>
        <v>675</v>
      </c>
    </row>
    <row r="278" spans="1:52" x14ac:dyDescent="0.25">
      <c r="A278" s="5" t="s">
        <v>52</v>
      </c>
      <c r="B278" s="5" t="s">
        <v>149</v>
      </c>
      <c r="C278" s="5" t="s">
        <v>81</v>
      </c>
      <c r="F278" s="5" t="s">
        <v>55</v>
      </c>
      <c r="G278" s="5" t="s">
        <v>61</v>
      </c>
      <c r="H278" s="5" t="s">
        <v>57</v>
      </c>
      <c r="I278" s="5">
        <v>789</v>
      </c>
      <c r="J278" s="5" t="str">
        <f>IFERROR(VLOOKUP(I278,[1]INFO_LOCALES!$B:$C,2,FALSE),"")</f>
        <v>FRUTILLAR III</v>
      </c>
      <c r="K278" s="5" t="str">
        <f>IFERROR(VLOOKUP(Tabla2[[#This Row],[TIENDA]],[1]INFO_LOCALES!$B:$D,3,FALSE),"")</f>
        <v>X - Los Lagos</v>
      </c>
      <c r="L278" s="5" t="str">
        <f>IFERROR(VLOOKUP(I278,[1]INFO_LOCALES!$B:$I,8,FALSE),"")</f>
        <v>Frutillar</v>
      </c>
      <c r="M278" s="5" t="str">
        <f>IFERROR(VLOOKUP(I278,[1]INFO_LOCALES!$B:$H,7,FALSE),"")</f>
        <v>Arturo Alessandri 381</v>
      </c>
      <c r="N278" s="5">
        <f>IFERROR(VLOOKUP(I278,[1]INFO_LOCALES!$B:$E,4,FALSE),"")</f>
        <v>0</v>
      </c>
      <c r="O278" s="5" t="str">
        <f>VLOOKUP(Tabla2[[#This Row],[TIENDA]],[1]INFO_LOCALES!$B:$J,9,0)</f>
        <v>SIN CONVENIO</v>
      </c>
      <c r="P278" s="5" t="str">
        <f>IFERROR(VLOOKUP(I278,[1]INFO_LOCALES!$B:$F,5,FALSE),"")</f>
        <v>SURALIS</v>
      </c>
      <c r="Q278" s="5" t="s">
        <v>105</v>
      </c>
      <c r="R278" s="5" t="s">
        <v>58</v>
      </c>
      <c r="S278" s="6">
        <v>45565</v>
      </c>
      <c r="T278" s="5" t="s">
        <v>192</v>
      </c>
      <c r="U278" s="6">
        <v>45527</v>
      </c>
      <c r="V278" s="5" t="s">
        <v>59</v>
      </c>
      <c r="W2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78" s="7">
        <f t="shared" si="9"/>
        <v>3</v>
      </c>
      <c r="Y278" s="5">
        <v>138</v>
      </c>
      <c r="Z278" s="5">
        <v>6.8</v>
      </c>
      <c r="AA278" s="5">
        <v>2</v>
      </c>
      <c r="AB278" s="5">
        <v>9.8000000000000007</v>
      </c>
      <c r="AC278" s="5">
        <v>1168</v>
      </c>
      <c r="AD278" s="5">
        <v>1.5</v>
      </c>
      <c r="AE278" s="5">
        <v>24.64</v>
      </c>
      <c r="AF278" s="5">
        <v>0.8</v>
      </c>
      <c r="AG278" s="5">
        <v>500</v>
      </c>
      <c r="AH278" s="5">
        <v>8</v>
      </c>
      <c r="AI278" s="5">
        <f t="shared" si="8"/>
        <v>240</v>
      </c>
      <c r="AZ278" s="8" t="s">
        <v>199</v>
      </c>
    </row>
    <row r="279" spans="1:52" x14ac:dyDescent="0.25">
      <c r="A279" s="5" t="s">
        <v>52</v>
      </c>
      <c r="B279" s="5" t="e">
        <v>#N/A</v>
      </c>
      <c r="C279" s="5" t="e">
        <v>#N/A</v>
      </c>
      <c r="F279" s="5" t="s">
        <v>55</v>
      </c>
      <c r="G279" s="5" t="s">
        <v>61</v>
      </c>
      <c r="H279" s="5" t="s">
        <v>57</v>
      </c>
      <c r="I279" s="5">
        <v>9139</v>
      </c>
      <c r="J279" s="5" t="str">
        <f>IFERROR(VLOOKUP(I279,[1]INFO_LOCALES!$B:$C,2,FALSE),"")</f>
        <v>CD LO AGUIRRE</v>
      </c>
      <c r="K279" s="5" t="str">
        <f>IFERROR(VLOOKUP(Tabla2[[#This Row],[TIENDA]],[1]INFO_LOCALES!$B:$D,3,FALSE),"")</f>
        <v>RM - Santiago</v>
      </c>
      <c r="L279" s="5" t="str">
        <f>IFERROR(VLOOKUP(I279,[1]INFO_LOCALES!$B:$I,8,FALSE),"")</f>
        <v>Pudahuel</v>
      </c>
      <c r="M279" s="5" t="str">
        <f>IFERROR(VLOOKUP(I279,[1]INFO_LOCALES!$B:$H,7,FALSE),"")</f>
        <v>CAMINO LO AGUIRRE SUR 537</v>
      </c>
      <c r="N279" s="5">
        <f>IFERROR(VLOOKUP(I279,[1]INFO_LOCALES!$B:$E,4,FALSE),"")</f>
        <v>3552</v>
      </c>
      <c r="O279" s="5" t="str">
        <f>VLOOKUP(Tabla2[[#This Row],[TIENDA]],[1]INFO_LOCALES!$B:$J,9,0)</f>
        <v>SIN CONVENIO</v>
      </c>
      <c r="P279" s="5" t="str">
        <f>IFERROR(VLOOKUP(I279,[1]INFO_LOCALES!$B:$F,5,FALSE),"")</f>
        <v>AGUAS IZARRA</v>
      </c>
      <c r="Q279" s="5" t="s">
        <v>85</v>
      </c>
      <c r="R279" s="5" t="s">
        <v>86</v>
      </c>
      <c r="S279" s="6" t="s">
        <v>87</v>
      </c>
      <c r="T279" s="5" t="s">
        <v>192</v>
      </c>
      <c r="U279" s="6">
        <v>45530</v>
      </c>
      <c r="V279" s="5" t="s">
        <v>59</v>
      </c>
      <c r="W2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79" s="7">
        <f t="shared" si="9"/>
        <v>1</v>
      </c>
      <c r="Y279" s="5">
        <v>20.399999999999999</v>
      </c>
      <c r="Z279" s="5">
        <v>7.4</v>
      </c>
      <c r="AA279" s="5">
        <v>2</v>
      </c>
      <c r="AB279" s="5">
        <v>21.5</v>
      </c>
      <c r="AC279" s="5">
        <v>55</v>
      </c>
      <c r="AD279" s="5">
        <v>3.8</v>
      </c>
      <c r="AE279" s="5">
        <v>26.4</v>
      </c>
      <c r="AF279" s="5">
        <v>0.6</v>
      </c>
      <c r="AG279" s="5">
        <v>42.4</v>
      </c>
      <c r="AH279" s="10"/>
      <c r="AI279" s="10">
        <f t="shared" si="8"/>
        <v>0</v>
      </c>
      <c r="AS279" s="5">
        <v>10</v>
      </c>
    </row>
    <row r="280" spans="1:52" x14ac:dyDescent="0.25">
      <c r="A280" s="5" t="s">
        <v>52</v>
      </c>
      <c r="B280" s="5" t="s">
        <v>76</v>
      </c>
      <c r="C280" s="5" t="s">
        <v>77</v>
      </c>
      <c r="F280" s="5" t="s">
        <v>55</v>
      </c>
      <c r="G280" s="5" t="s">
        <v>56</v>
      </c>
      <c r="H280" s="5" t="s">
        <v>57</v>
      </c>
      <c r="I280" s="5">
        <v>103</v>
      </c>
      <c r="J280" s="5" t="str">
        <f>IFERROR(VLOOKUP(I280,[1]INFO_LOCALES!$B:$C,2,FALSE),"")</f>
        <v>VIVAR</v>
      </c>
      <c r="K280" s="5" t="str">
        <f>IFERROR(VLOOKUP(Tabla2[[#This Row],[TIENDA]],[1]INFO_LOCALES!$B:$D,3,FALSE),"")</f>
        <v>I - Tarapacá</v>
      </c>
      <c r="L280" s="5" t="str">
        <f>IFERROR(VLOOKUP(I280,[1]INFO_LOCALES!$B:$I,8,FALSE),"")</f>
        <v>Iquique</v>
      </c>
      <c r="M280" s="5" t="str">
        <f>IFERROR(VLOOKUP(I280,[1]INFO_LOCALES!$B:$H,7,FALSE),"")</f>
        <v>Vivar 786</v>
      </c>
      <c r="N280" s="5">
        <f>IFERROR(VLOOKUP(I280,[1]INFO_LOCALES!$B:$E,4,FALSE),"")</f>
        <v>4420</v>
      </c>
      <c r="O280" s="5" t="str">
        <f>VLOOKUP(Tabla2[[#This Row],[TIENDA]],[1]INFO_LOCALES!$B:$J,9,0)</f>
        <v>CONVENIO</v>
      </c>
      <c r="P280" s="5" t="str">
        <f>IFERROR(VLOOKUP(I280,[1]INFO_LOCALES!$B:$F,5,FALSE),"")</f>
        <v>AGUAS DEL ALTIPLANO S.A.</v>
      </c>
      <c r="Q280" s="5" t="s">
        <v>78</v>
      </c>
      <c r="R280" s="5" t="s">
        <v>58</v>
      </c>
      <c r="S280" s="6">
        <v>45595</v>
      </c>
      <c r="T280" s="5" t="s">
        <v>192</v>
      </c>
      <c r="U280" s="6">
        <v>45530</v>
      </c>
      <c r="V280" s="5" t="s">
        <v>59</v>
      </c>
      <c r="W2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80" s="7">
        <f t="shared" si="9"/>
        <v>3</v>
      </c>
      <c r="Y280" s="5">
        <v>7</v>
      </c>
      <c r="Z280" s="5">
        <v>6.53</v>
      </c>
      <c r="AA280" s="5">
        <v>12</v>
      </c>
      <c r="AB280" s="5">
        <v>22.45</v>
      </c>
      <c r="AC280" s="5">
        <v>232</v>
      </c>
      <c r="AD280" s="5">
        <v>13.6</v>
      </c>
      <c r="AE280" s="5">
        <v>64.97</v>
      </c>
      <c r="AF280" s="5">
        <v>11</v>
      </c>
      <c r="AG280" s="5">
        <v>745</v>
      </c>
      <c r="AH280" s="5">
        <v>2.8</v>
      </c>
      <c r="AI280" s="5">
        <f t="shared" si="8"/>
        <v>84</v>
      </c>
      <c r="AZ280" s="8" t="s">
        <v>200</v>
      </c>
    </row>
    <row r="281" spans="1:52" x14ac:dyDescent="0.25">
      <c r="A281" s="5" t="s">
        <v>52</v>
      </c>
      <c r="B281" s="5" t="s">
        <v>103</v>
      </c>
      <c r="C281" s="5" t="s">
        <v>77</v>
      </c>
      <c r="F281" s="5" t="s">
        <v>55</v>
      </c>
      <c r="G281" s="5" t="s">
        <v>61</v>
      </c>
      <c r="H281" s="5" t="s">
        <v>57</v>
      </c>
      <c r="I281" s="5">
        <v>34</v>
      </c>
      <c r="J281" s="5" t="str">
        <f>IFERROR(VLOOKUP(I281,[1]INFO_LOCALES!$B:$C,2,FALSE),"")</f>
        <v>LA CHIMBA</v>
      </c>
      <c r="K281" s="5" t="str">
        <f>IFERROR(VLOOKUP(Tabla2[[#This Row],[TIENDA]],[1]INFO_LOCALES!$B:$D,3,FALSE),"")</f>
        <v>II - Antofagasta</v>
      </c>
      <c r="L281" s="5" t="str">
        <f>IFERROR(VLOOKUP(I281,[1]INFO_LOCALES!$B:$I,8,FALSE),"")</f>
        <v>Antofagasta</v>
      </c>
      <c r="M281" s="5" t="str">
        <f>IFERROR(VLOOKUP(I281,[1]INFO_LOCALES!$B:$H,7,FALSE),"")</f>
        <v>Pedro Aguirre Cerda 8700</v>
      </c>
      <c r="N281" s="5">
        <f>IFERROR(VLOOKUP(I281,[1]INFO_LOCALES!$B:$E,4,FALSE),"")</f>
        <v>0</v>
      </c>
      <c r="O281" s="5" t="str">
        <f>VLOOKUP(Tabla2[[#This Row],[TIENDA]],[1]INFO_LOCALES!$B:$J,9,0)</f>
        <v>SIN CONVENIO</v>
      </c>
      <c r="P281" s="5" t="str">
        <f>IFERROR(VLOOKUP(I281,[1]INFO_LOCALES!$B:$F,5,FALSE),"")</f>
        <v>AGUAS DE ANTOFAGASTA S A</v>
      </c>
      <c r="Q281" s="5" t="s">
        <v>105</v>
      </c>
      <c r="R281" s="5" t="s">
        <v>58</v>
      </c>
      <c r="S281" s="6">
        <v>45659</v>
      </c>
      <c r="T281" s="5" t="str">
        <f>UPPER(IF(Tabla2[[#This Row],[FECHA DE MUESTREO ]]=0,"",TEXT(Tabla2[[#This Row],[FECHA DE MUESTREO ]],("MMMM"))))</f>
        <v>AGOSTO</v>
      </c>
      <c r="U281" s="6">
        <v>45532</v>
      </c>
      <c r="V281" s="5" t="s">
        <v>59</v>
      </c>
      <c r="W2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81" s="7">
        <f t="shared" si="9"/>
        <v>3</v>
      </c>
      <c r="AC281" s="5">
        <v>668</v>
      </c>
      <c r="AF281" s="5">
        <v>492</v>
      </c>
      <c r="AI281" s="5">
        <f t="shared" si="8"/>
        <v>0</v>
      </c>
    </row>
    <row r="282" spans="1:52" x14ac:dyDescent="0.25">
      <c r="A282" s="5" t="s">
        <v>60</v>
      </c>
      <c r="B282" s="5" t="e">
        <v>#N/A</v>
      </c>
      <c r="C282" s="5" t="e">
        <v>#N/A</v>
      </c>
      <c r="F282" s="5" t="s">
        <v>55</v>
      </c>
      <c r="G282" s="5" t="s">
        <v>61</v>
      </c>
      <c r="H282" s="5" t="s">
        <v>57</v>
      </c>
      <c r="I282" s="5">
        <v>3014</v>
      </c>
      <c r="J282" s="5" t="str">
        <f>IFERROR(VLOOKUP(I282,[1]INFO_LOCALES!$B:$C,2,FALSE),"")</f>
        <v>M10 SAN FERNANDO</v>
      </c>
      <c r="K282" s="5" t="str">
        <f>IFERROR(VLOOKUP(Tabla2[[#This Row],[TIENDA]],[1]INFO_LOCALES!$B:$D,3,FALSE),"")</f>
        <v>VI - O'Higgins</v>
      </c>
      <c r="L282" s="5" t="str">
        <f>IFERROR(VLOOKUP(I282,[1]INFO_LOCALES!$B:$I,8,FALSE),"")</f>
        <v>San Fernando</v>
      </c>
      <c r="M282" s="5" t="str">
        <f>IFERROR(VLOOKUP(I282,[1]INFO_LOCALES!$B:$H,7,FALSE),"")</f>
        <v>Chillan 745</v>
      </c>
      <c r="N282" s="5">
        <f>IFERROR(VLOOKUP(I282,[1]INFO_LOCALES!$B:$E,4,FALSE),"")</f>
        <v>1298</v>
      </c>
      <c r="O282" s="5" t="str">
        <f>VLOOKUP(Tabla2[[#This Row],[TIENDA]],[1]INFO_LOCALES!$B:$J,9,0)</f>
        <v>TERMINADO</v>
      </c>
      <c r="P282" s="5" t="str">
        <f>IFERROR(VLOOKUP(I282,[1]INFO_LOCALES!$B:$F,5,FALSE),"")</f>
        <v>ESSBIO S.A.</v>
      </c>
      <c r="Q282" s="5" t="s">
        <v>85</v>
      </c>
      <c r="R282" s="5" t="s">
        <v>86</v>
      </c>
      <c r="S282" s="6" t="s">
        <v>87</v>
      </c>
      <c r="T282" s="5" t="s">
        <v>192</v>
      </c>
      <c r="U282" s="6">
        <v>45533</v>
      </c>
      <c r="V282" s="5" t="s">
        <v>59</v>
      </c>
      <c r="W2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82" s="7">
        <f t="shared" si="9"/>
        <v>3</v>
      </c>
      <c r="Y282" s="5">
        <v>38.299999999999997</v>
      </c>
      <c r="Z282" s="5">
        <v>7.8</v>
      </c>
      <c r="AA282" s="5">
        <v>3</v>
      </c>
      <c r="AB282" s="5">
        <v>19.399999999999999</v>
      </c>
      <c r="AC282" s="5">
        <v>607</v>
      </c>
      <c r="AD282" s="5">
        <v>12.7</v>
      </c>
      <c r="AE282" s="5">
        <v>47.2</v>
      </c>
      <c r="AF282" s="5">
        <v>5</v>
      </c>
      <c r="AG282" s="5">
        <v>260</v>
      </c>
      <c r="AH282" s="5">
        <v>0</v>
      </c>
      <c r="AI282" s="5">
        <f t="shared" si="8"/>
        <v>0</v>
      </c>
    </row>
    <row r="283" spans="1:52" x14ac:dyDescent="0.25">
      <c r="A283" s="5" t="s">
        <v>52</v>
      </c>
      <c r="B283" s="5" t="s">
        <v>116</v>
      </c>
      <c r="C283" s="5" t="s">
        <v>70</v>
      </c>
      <c r="F283" s="5" t="s">
        <v>55</v>
      </c>
      <c r="G283" s="5" t="s">
        <v>61</v>
      </c>
      <c r="H283" s="5" t="s">
        <v>57</v>
      </c>
      <c r="I283" s="5">
        <v>477</v>
      </c>
      <c r="J283" s="5" t="str">
        <f>IFERROR(VLOOKUP(I283,[1]INFO_LOCALES!$B:$C,2,FALSE),"")</f>
        <v>CURAUMA</v>
      </c>
      <c r="K283" s="5" t="str">
        <f>IFERROR(VLOOKUP(Tabla2[[#This Row],[TIENDA]],[1]INFO_LOCALES!$B:$D,3,FALSE),"")</f>
        <v>V - Valparaiso</v>
      </c>
      <c r="L283" s="5" t="str">
        <f>IFERROR(VLOOKUP(I283,[1]INFO_LOCALES!$B:$I,8,FALSE),"")</f>
        <v>Valparaíso</v>
      </c>
      <c r="M283" s="5" t="str">
        <f>IFERROR(VLOOKUP(I283,[1]INFO_LOCALES!$B:$H,7,FALSE),"")</f>
        <v>Obispo Valdes 1170</v>
      </c>
      <c r="N283" s="5">
        <f>IFERROR(VLOOKUP(I283,[1]INFO_LOCALES!$B:$E,4,FALSE),"")</f>
        <v>2721</v>
      </c>
      <c r="O283" s="5" t="str">
        <f>VLOOKUP(Tabla2[[#This Row],[TIENDA]],[1]INFO_LOCALES!$B:$J,9,0)</f>
        <v>SIN CONVENIO</v>
      </c>
      <c r="P283" s="5" t="str">
        <f>IFERROR(VLOOKUP(I283,[1]INFO_LOCALES!$B:$F,5,FALSE),"")</f>
        <v>ESVAL S.A.</v>
      </c>
      <c r="Q283" s="5" t="s">
        <v>85</v>
      </c>
      <c r="R283" s="5" t="s">
        <v>58</v>
      </c>
      <c r="S283" s="6" t="s">
        <v>87</v>
      </c>
      <c r="T283" s="5" t="s">
        <v>192</v>
      </c>
      <c r="U283" s="6">
        <v>45533</v>
      </c>
      <c r="V283" s="5" t="s">
        <v>59</v>
      </c>
      <c r="W2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83" s="7">
        <f t="shared" si="9"/>
        <v>1</v>
      </c>
      <c r="Y283" s="5">
        <v>38.200000000000003</v>
      </c>
      <c r="Z283" s="5">
        <v>7.4</v>
      </c>
      <c r="AA283" s="5">
        <v>2</v>
      </c>
      <c r="AB283" s="5">
        <v>15.7</v>
      </c>
      <c r="AC283" s="5">
        <v>291</v>
      </c>
      <c r="AD283" s="5">
        <v>5.9</v>
      </c>
      <c r="AE283" s="5">
        <v>30.04</v>
      </c>
      <c r="AF283" s="5">
        <v>1.8</v>
      </c>
      <c r="AG283" s="5">
        <v>123</v>
      </c>
      <c r="AH283" s="5">
        <v>1.08</v>
      </c>
      <c r="AI283" s="5">
        <f t="shared" si="8"/>
        <v>32.400000000000006</v>
      </c>
    </row>
    <row r="284" spans="1:52" x14ac:dyDescent="0.25">
      <c r="A284" s="5" t="s">
        <v>60</v>
      </c>
      <c r="B284" s="5" t="e">
        <v>#N/A</v>
      </c>
      <c r="C284" s="5" t="e">
        <v>#N/A</v>
      </c>
      <c r="F284" s="5" t="s">
        <v>55</v>
      </c>
      <c r="G284" s="5" t="s">
        <v>65</v>
      </c>
      <c r="H284" s="5" t="s">
        <v>57</v>
      </c>
      <c r="I284" s="5">
        <v>3019</v>
      </c>
      <c r="J284" s="5" t="str">
        <f>IFERROR(VLOOKUP(I284,[1]INFO_LOCALES!$B:$C,2,FALSE),"")</f>
        <v>M10 ANGOL</v>
      </c>
      <c r="K284" s="5" t="str">
        <f>IFERROR(VLOOKUP(Tabla2[[#This Row],[TIENDA]],[1]INFO_LOCALES!$B:$D,3,FALSE),"")</f>
        <v>IX - Araucanía</v>
      </c>
      <c r="L284" s="5" t="str">
        <f>IFERROR(VLOOKUP(I284,[1]INFO_LOCALES!$B:$I,8,FALSE),"")</f>
        <v>Angol</v>
      </c>
      <c r="M284" s="5" t="str">
        <f>IFERROR(VLOOKUP(I284,[1]INFO_LOCALES!$B:$H,7,FALSE),"")</f>
        <v>Av. O"Higgins 1815</v>
      </c>
      <c r="N284" s="5">
        <f>IFERROR(VLOOKUP(I284,[1]INFO_LOCALES!$B:$E,4,FALSE),"")</f>
        <v>0</v>
      </c>
      <c r="O284" s="5" t="str">
        <f>VLOOKUP(Tabla2[[#This Row],[TIENDA]],[1]INFO_LOCALES!$B:$J,9,0)</f>
        <v>SIN CONVENIO</v>
      </c>
      <c r="P284" s="5" t="str">
        <f>IFERROR(VLOOKUP(I284,[1]INFO_LOCALES!$B:$F,5,FALSE),"")</f>
        <v>AGUAS ARAUCANIA S A</v>
      </c>
      <c r="Q284" s="5" t="s">
        <v>198</v>
      </c>
      <c r="R284" s="5" t="s">
        <v>58</v>
      </c>
      <c r="S284" s="6">
        <v>45656</v>
      </c>
      <c r="T284" s="5" t="str">
        <f>UPPER(IF(Tabla2[[#This Row],[FECHA DE MUESTREO ]]=0,"",TEXT(Tabla2[[#This Row],[FECHA DE MUESTREO ]],("MMMM"))))</f>
        <v>AGOSTO</v>
      </c>
      <c r="U284" s="6">
        <v>45533</v>
      </c>
      <c r="V284" s="5" t="s">
        <v>59</v>
      </c>
      <c r="W2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84" s="7">
        <f t="shared" si="9"/>
        <v>1</v>
      </c>
      <c r="Y284" s="5">
        <v>14</v>
      </c>
      <c r="Z284" s="5">
        <v>7.51</v>
      </c>
      <c r="AA284" s="5">
        <v>1</v>
      </c>
      <c r="AB284" s="5">
        <v>17.3</v>
      </c>
      <c r="AC284" s="5">
        <v>2</v>
      </c>
      <c r="AD284" s="5">
        <v>3.12</v>
      </c>
      <c r="AE284" s="5">
        <v>6.39</v>
      </c>
      <c r="AF284" s="5">
        <v>0.3</v>
      </c>
      <c r="AG284" s="5">
        <v>17</v>
      </c>
      <c r="AH284" s="5">
        <v>1.01</v>
      </c>
      <c r="AI284" s="5">
        <f t="shared" si="8"/>
        <v>30.3</v>
      </c>
    </row>
    <row r="285" spans="1:52" x14ac:dyDescent="0.25">
      <c r="A285" s="5" t="s">
        <v>52</v>
      </c>
      <c r="B285" s="5" t="s">
        <v>76</v>
      </c>
      <c r="C285" s="5" t="s">
        <v>77</v>
      </c>
      <c r="F285" s="5" t="s">
        <v>55</v>
      </c>
      <c r="G285" s="5" t="s">
        <v>61</v>
      </c>
      <c r="H285" s="5" t="s">
        <v>57</v>
      </c>
      <c r="I285" s="5">
        <v>106</v>
      </c>
      <c r="J285" s="5" t="str">
        <f>IFERROR(VLOOKUP(I285,[1]INFO_LOCALES!$B:$C,2,FALSE),"")</f>
        <v>LOS MOLLES</v>
      </c>
      <c r="K285" s="5" t="str">
        <f>IFERROR(VLOOKUP(Tabla2[[#This Row],[TIENDA]],[1]INFO_LOCALES!$B:$D,3,FALSE),"")</f>
        <v>I - Tarapacá</v>
      </c>
      <c r="L285" s="5" t="str">
        <f>IFERROR(VLOOKUP(I285,[1]INFO_LOCALES!$B:$I,8,FALSE),"")</f>
        <v>Iquique</v>
      </c>
      <c r="M285" s="5" t="str">
        <f>IFERROR(VLOOKUP(I285,[1]INFO_LOCALES!$B:$H,7,FALSE),"")</f>
        <v>Santiago Polanco 2251</v>
      </c>
      <c r="N285" s="5">
        <f>IFERROR(VLOOKUP(I285,[1]INFO_LOCALES!$B:$E,4,FALSE),"")</f>
        <v>4050</v>
      </c>
      <c r="O285" s="5" t="str">
        <f>VLOOKUP(Tabla2[[#This Row],[TIENDA]],[1]INFO_LOCALES!$B:$J,9,0)</f>
        <v>CONVENIO</v>
      </c>
      <c r="P285" s="5" t="str">
        <f>IFERROR(VLOOKUP(I285,[1]INFO_LOCALES!$B:$F,5,FALSE),"")</f>
        <v>AGUAS DEL ALTIPLANO S.A.</v>
      </c>
      <c r="Q285" s="5" t="s">
        <v>78</v>
      </c>
      <c r="R285" s="5" t="s">
        <v>58</v>
      </c>
      <c r="S285" s="6">
        <v>45595</v>
      </c>
      <c r="T285" s="5" t="s">
        <v>67</v>
      </c>
      <c r="U285" s="6">
        <v>45537</v>
      </c>
      <c r="V285" s="5" t="s">
        <v>59</v>
      </c>
      <c r="W2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85" s="7">
        <f t="shared" si="9"/>
        <v>2</v>
      </c>
      <c r="Y285" s="5">
        <v>8</v>
      </c>
      <c r="Z285" s="5">
        <v>6.67</v>
      </c>
      <c r="AA285" s="5">
        <v>10</v>
      </c>
      <c r="AB285" s="5">
        <v>23.08</v>
      </c>
      <c r="AC285" s="5">
        <v>152</v>
      </c>
      <c r="AD285" s="5">
        <v>9</v>
      </c>
      <c r="AE285" s="5">
        <v>38.450000000000003</v>
      </c>
      <c r="AF285" s="5">
        <v>1</v>
      </c>
      <c r="AG285" s="5">
        <v>178</v>
      </c>
      <c r="AH285" s="5">
        <v>4.5999999999999996</v>
      </c>
      <c r="AI285" s="5">
        <f t="shared" si="8"/>
        <v>138</v>
      </c>
      <c r="AZ285" s="8" t="s">
        <v>201</v>
      </c>
    </row>
    <row r="286" spans="1:52" x14ac:dyDescent="0.25">
      <c r="A286" s="5" t="s">
        <v>52</v>
      </c>
      <c r="B286" s="5" t="s">
        <v>76</v>
      </c>
      <c r="C286" s="5" t="s">
        <v>77</v>
      </c>
      <c r="F286" s="5" t="s">
        <v>55</v>
      </c>
      <c r="G286" s="5" t="s">
        <v>61</v>
      </c>
      <c r="H286" s="5" t="s">
        <v>57</v>
      </c>
      <c r="I286" s="5">
        <v>86</v>
      </c>
      <c r="J286" s="5" t="str">
        <f>IFERROR(VLOOKUP(I286,[1]INFO_LOCALES!$B:$C,2,FALSE),"")</f>
        <v>BILBAO</v>
      </c>
      <c r="K286" s="5" t="str">
        <f>IFERROR(VLOOKUP(Tabla2[[#This Row],[TIENDA]],[1]INFO_LOCALES!$B:$D,3,FALSE),"")</f>
        <v>I - Tarapacá</v>
      </c>
      <c r="L286" s="5" t="str">
        <f>IFERROR(VLOOKUP(I286,[1]INFO_LOCALES!$B:$I,8,FALSE),"")</f>
        <v>Iquique</v>
      </c>
      <c r="M286" s="5" t="str">
        <f>IFERROR(VLOOKUP(I286,[1]INFO_LOCALES!$B:$H,7,FALSE),"")</f>
        <v>Fco.Bilbao 3545</v>
      </c>
      <c r="N286" s="5">
        <f>IFERROR(VLOOKUP(I286,[1]INFO_LOCALES!$B:$E,4,FALSE),"")</f>
        <v>4049</v>
      </c>
      <c r="O286" s="5" t="str">
        <f>VLOOKUP(Tabla2[[#This Row],[TIENDA]],[1]INFO_LOCALES!$B:$J,9,0)</f>
        <v>CONVENIO</v>
      </c>
      <c r="P286" s="5" t="str">
        <f>IFERROR(VLOOKUP(I286,[1]INFO_LOCALES!$B:$F,5,FALSE),"")</f>
        <v>AGUAS DEL ALTIPLANO S.A.</v>
      </c>
      <c r="Q286" s="5" t="s">
        <v>78</v>
      </c>
      <c r="R286" s="5" t="s">
        <v>58</v>
      </c>
      <c r="S286" s="6">
        <v>45595</v>
      </c>
      <c r="T286" s="5" t="s">
        <v>67</v>
      </c>
      <c r="U286" s="6">
        <v>45537</v>
      </c>
      <c r="V286" s="5" t="s">
        <v>59</v>
      </c>
      <c r="W2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86" s="7">
        <f t="shared" si="9"/>
        <v>2</v>
      </c>
      <c r="Y286" s="5">
        <v>5</v>
      </c>
      <c r="Z286" s="5">
        <v>7.07</v>
      </c>
      <c r="AA286" s="5">
        <v>13</v>
      </c>
      <c r="AB286" s="5">
        <v>21.89</v>
      </c>
      <c r="AC286" s="5">
        <v>387</v>
      </c>
      <c r="AD286" s="5">
        <v>8.6</v>
      </c>
      <c r="AE286" s="5">
        <v>24.1</v>
      </c>
      <c r="AF286" s="5">
        <v>0.5</v>
      </c>
      <c r="AG286" s="5">
        <v>62</v>
      </c>
      <c r="AH286" s="5">
        <v>12.9</v>
      </c>
      <c r="AI286" s="5">
        <f t="shared" si="8"/>
        <v>387</v>
      </c>
      <c r="AZ286" s="8" t="s">
        <v>202</v>
      </c>
    </row>
    <row r="287" spans="1:52" x14ac:dyDescent="0.25">
      <c r="A287" s="5" t="s">
        <v>52</v>
      </c>
      <c r="B287" s="5" t="s">
        <v>90</v>
      </c>
      <c r="C287" s="5" t="s">
        <v>81</v>
      </c>
      <c r="F287" s="5" t="s">
        <v>55</v>
      </c>
      <c r="G287" s="5" t="s">
        <v>61</v>
      </c>
      <c r="H287" s="5" t="s">
        <v>57</v>
      </c>
      <c r="I287" s="5">
        <v>375</v>
      </c>
      <c r="J287" s="5" t="str">
        <f>IFERROR(VLOOKUP(I287,[1]INFO_LOCALES!$B:$C,2,FALSE),"")</f>
        <v>ARAUCO</v>
      </c>
      <c r="K287" s="5" t="str">
        <f>IFERROR(VLOOKUP(Tabla2[[#This Row],[TIENDA]],[1]INFO_LOCALES!$B:$D,3,FALSE),"")</f>
        <v>XIV - Los Ríos</v>
      </c>
      <c r="L287" s="5" t="str">
        <f>IFERROR(VLOOKUP(I287,[1]INFO_LOCALES!$B:$I,8,FALSE),"")</f>
        <v>Valdivia</v>
      </c>
      <c r="M287" s="5" t="str">
        <f>IFERROR(VLOOKUP(I287,[1]INFO_LOCALES!$B:$H,7,FALSE),"")</f>
        <v>Arauco 697</v>
      </c>
      <c r="N287" s="5">
        <f>IFERROR(VLOOKUP(I287,[1]INFO_LOCALES!$B:$E,4,FALSE),"")</f>
        <v>3420</v>
      </c>
      <c r="O287" s="5" t="str">
        <f>VLOOKUP(Tabla2[[#This Row],[TIENDA]],[1]INFO_LOCALES!$B:$J,9,0)</f>
        <v>CONVENIO</v>
      </c>
      <c r="P287" s="5" t="str">
        <f>IFERROR(VLOOKUP(I287,[1]INFO_LOCALES!$B:$F,5,FALSE),"")</f>
        <v>AGUAS DECIMA S A</v>
      </c>
      <c r="Q287" s="5" t="s">
        <v>85</v>
      </c>
      <c r="R287" s="5" t="s">
        <v>86</v>
      </c>
      <c r="S287" s="6" t="s">
        <v>87</v>
      </c>
      <c r="T287" s="5" t="s">
        <v>67</v>
      </c>
      <c r="U287" s="6">
        <v>45538</v>
      </c>
      <c r="V287" s="5" t="s">
        <v>118</v>
      </c>
      <c r="W2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87" s="7">
        <f t="shared" si="9"/>
        <v>3</v>
      </c>
      <c r="Y287" s="5">
        <v>17.7</v>
      </c>
      <c r="Z287" s="5">
        <v>6.6</v>
      </c>
      <c r="AA287" s="5">
        <v>39</v>
      </c>
      <c r="AB287" s="5">
        <v>14.9</v>
      </c>
      <c r="AC287" s="5">
        <v>315</v>
      </c>
      <c r="AD287" s="5">
        <v>13.7</v>
      </c>
      <c r="AE287" s="5">
        <v>43</v>
      </c>
      <c r="AF287" s="5">
        <v>0.5</v>
      </c>
      <c r="AG287" s="5">
        <v>233.3</v>
      </c>
      <c r="AH287" s="5">
        <v>15</v>
      </c>
      <c r="AI287" s="5">
        <f t="shared" si="8"/>
        <v>450</v>
      </c>
      <c r="AJ287" s="5">
        <v>1.8680000000000001</v>
      </c>
      <c r="AK287" s="5">
        <v>2E-3</v>
      </c>
      <c r="AL287" s="5">
        <v>0.1</v>
      </c>
      <c r="AM287" s="5">
        <v>0.01</v>
      </c>
      <c r="AN287" s="5">
        <v>0.1</v>
      </c>
      <c r="AO287" s="5">
        <v>0.32</v>
      </c>
      <c r="AP287" s="5">
        <v>0.05</v>
      </c>
      <c r="AQ287" s="5">
        <v>0.05</v>
      </c>
      <c r="AR287" s="5">
        <v>0.05</v>
      </c>
      <c r="AS287" s="5">
        <v>10</v>
      </c>
      <c r="AT287" s="5">
        <v>0.01</v>
      </c>
      <c r="AU287" s="5">
        <v>1E-3</v>
      </c>
      <c r="AV287" s="5">
        <v>0.05</v>
      </c>
      <c r="AW287" s="5">
        <v>0.05</v>
      </c>
      <c r="AX287" s="5">
        <v>10</v>
      </c>
      <c r="AY287" s="5">
        <v>0.5</v>
      </c>
      <c r="AZ287" s="8" t="s">
        <v>143</v>
      </c>
    </row>
    <row r="288" spans="1:52" x14ac:dyDescent="0.25">
      <c r="A288" s="5" t="s">
        <v>52</v>
      </c>
      <c r="B288" s="5" t="s">
        <v>90</v>
      </c>
      <c r="C288" s="5" t="s">
        <v>81</v>
      </c>
      <c r="F288" s="5" t="s">
        <v>55</v>
      </c>
      <c r="G288" s="5" t="s">
        <v>61</v>
      </c>
      <c r="H288" s="5" t="s">
        <v>57</v>
      </c>
      <c r="I288" s="5">
        <v>375</v>
      </c>
      <c r="J288" s="5" t="str">
        <f>IFERROR(VLOOKUP(I288,[1]INFO_LOCALES!$B:$C,2,FALSE),"")</f>
        <v>ARAUCO</v>
      </c>
      <c r="K288" s="5" t="str">
        <f>IFERROR(VLOOKUP(Tabla2[[#This Row],[TIENDA]],[1]INFO_LOCALES!$B:$D,3,FALSE),"")</f>
        <v>XIV - Los Ríos</v>
      </c>
      <c r="L288" s="5" t="str">
        <f>IFERROR(VLOOKUP(I288,[1]INFO_LOCALES!$B:$I,8,FALSE),"")</f>
        <v>Valdivia</v>
      </c>
      <c r="M288" s="5" t="str">
        <f>IFERROR(VLOOKUP(I288,[1]INFO_LOCALES!$B:$H,7,FALSE),"")</f>
        <v>Arauco 697</v>
      </c>
      <c r="N288" s="5">
        <f>IFERROR(VLOOKUP(I288,[1]INFO_LOCALES!$B:$E,4,FALSE),"")</f>
        <v>3420</v>
      </c>
      <c r="O288" s="5" t="str">
        <f>VLOOKUP(Tabla2[[#This Row],[TIENDA]],[1]INFO_LOCALES!$B:$J,9,0)</f>
        <v>CONVENIO</v>
      </c>
      <c r="P288" s="5" t="str">
        <f>IFERROR(VLOOKUP(I288,[1]INFO_LOCALES!$B:$F,5,FALSE),"")</f>
        <v>AGUAS DECIMA S A</v>
      </c>
      <c r="Q288" s="5" t="s">
        <v>85</v>
      </c>
      <c r="R288" s="5" t="s">
        <v>86</v>
      </c>
      <c r="S288" s="6" t="s">
        <v>87</v>
      </c>
      <c r="T288" s="5" t="s">
        <v>67</v>
      </c>
      <c r="U288" s="6">
        <v>45538</v>
      </c>
      <c r="V288" s="5" t="s">
        <v>118</v>
      </c>
      <c r="W2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88" s="7">
        <f t="shared" si="9"/>
        <v>3</v>
      </c>
      <c r="Y288" s="5">
        <v>7.11</v>
      </c>
      <c r="Z288" s="5">
        <v>6.6</v>
      </c>
      <c r="AA288" s="5">
        <v>24</v>
      </c>
      <c r="AB288" s="5">
        <v>13.3</v>
      </c>
      <c r="AC288" s="5">
        <v>121</v>
      </c>
      <c r="AD288" s="5">
        <v>6.01</v>
      </c>
      <c r="AE288" s="5">
        <v>15.7</v>
      </c>
      <c r="AF288" s="5">
        <v>0.5</v>
      </c>
      <c r="AG288" s="5">
        <v>59</v>
      </c>
      <c r="AH288" s="5">
        <v>15</v>
      </c>
      <c r="AI288" s="5">
        <f t="shared" si="8"/>
        <v>450</v>
      </c>
      <c r="AJ288" s="5">
        <v>0.98960000000000004</v>
      </c>
      <c r="AK288" s="5">
        <v>2.7000000000000001E-3</v>
      </c>
      <c r="AL288" s="5">
        <v>0.1</v>
      </c>
      <c r="AM288" s="5">
        <v>0.01</v>
      </c>
      <c r="AN288" s="5">
        <v>0.1</v>
      </c>
      <c r="AO288" s="5">
        <v>0.2</v>
      </c>
      <c r="AP288" s="5">
        <v>0.05</v>
      </c>
      <c r="AQ288" s="5">
        <v>0.05</v>
      </c>
      <c r="AR288" s="5">
        <v>0.05</v>
      </c>
      <c r="AS288" s="5">
        <v>10</v>
      </c>
      <c r="AT288" s="5">
        <v>0.01</v>
      </c>
      <c r="AU288" s="5">
        <v>1E-3</v>
      </c>
      <c r="AV288" s="5">
        <v>0.05</v>
      </c>
      <c r="AW288" s="5">
        <v>0.05</v>
      </c>
      <c r="AX288" s="5">
        <v>10.3</v>
      </c>
      <c r="AY288" s="5">
        <v>0.5</v>
      </c>
      <c r="AZ288" s="8" t="s">
        <v>203</v>
      </c>
    </row>
    <row r="289" spans="1:52" x14ac:dyDescent="0.25">
      <c r="A289" s="5" t="s">
        <v>52</v>
      </c>
      <c r="B289" s="5" t="s">
        <v>82</v>
      </c>
      <c r="C289" s="5" t="s">
        <v>77</v>
      </c>
      <c r="F289" s="5" t="s">
        <v>55</v>
      </c>
      <c r="G289" s="5" t="s">
        <v>65</v>
      </c>
      <c r="H289" s="5" t="s">
        <v>57</v>
      </c>
      <c r="I289" s="5">
        <v>472</v>
      </c>
      <c r="J289" s="5" t="str">
        <f>IFERROR(VLOOKUP(I289,[1]INFO_LOCALES!$B:$C,2,FALSE),"")</f>
        <v>CALDERA I</v>
      </c>
      <c r="K289" s="5" t="str">
        <f>IFERROR(VLOOKUP(Tabla2[[#This Row],[TIENDA]],[1]INFO_LOCALES!$B:$D,3,FALSE),"")</f>
        <v>III - Atacama</v>
      </c>
      <c r="L289" s="5" t="str">
        <f>IFERROR(VLOOKUP(I289,[1]INFO_LOCALES!$B:$I,8,FALSE),"")</f>
        <v>Caldera</v>
      </c>
      <c r="M289" s="5" t="str">
        <f>IFERROR(VLOOKUP(I289,[1]INFO_LOCALES!$B:$H,7,FALSE),"")</f>
        <v>Batallon Atacama 319</v>
      </c>
      <c r="N289" s="5">
        <f>IFERROR(VLOOKUP(I289,[1]INFO_LOCALES!$B:$E,4,FALSE),"")</f>
        <v>0</v>
      </c>
      <c r="O289" s="5" t="str">
        <f>VLOOKUP(Tabla2[[#This Row],[TIENDA]],[1]INFO_LOCALES!$B:$J,9,0)</f>
        <v>CONVENIO</v>
      </c>
      <c r="P289" s="5" t="str">
        <f>IFERROR(VLOOKUP(I289,[1]INFO_LOCALES!$B:$F,5,FALSE),"")</f>
        <v>NUEVA ATACAMA</v>
      </c>
      <c r="Q289" s="5" t="s">
        <v>66</v>
      </c>
      <c r="R289" s="5" t="s">
        <v>58</v>
      </c>
      <c r="S289" s="6">
        <v>45629</v>
      </c>
      <c r="T289" s="5" t="str">
        <f>UPPER(IF(Tabla2[[#This Row],[FECHA DE MUESTREO ]]=0,"",TEXT(Tabla2[[#This Row],[FECHA DE MUESTREO ]],("MMMM"))))</f>
        <v>SEPTIEMBRE</v>
      </c>
      <c r="U289" s="6">
        <v>45538</v>
      </c>
      <c r="V289" s="5" t="s">
        <v>59</v>
      </c>
      <c r="W2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89" s="7">
        <f t="shared" si="9"/>
        <v>1</v>
      </c>
      <c r="Y289" s="5">
        <v>9.07</v>
      </c>
      <c r="AA289" s="5">
        <v>7</v>
      </c>
      <c r="AC289" s="5">
        <v>233</v>
      </c>
      <c r="AD289" s="5">
        <v>8.7100000000000009</v>
      </c>
      <c r="AE289" s="5">
        <v>17.350000000000001</v>
      </c>
      <c r="AF289" s="5">
        <v>0.9</v>
      </c>
      <c r="AG289" s="5">
        <v>88.75</v>
      </c>
      <c r="AI289" s="5">
        <f t="shared" ref="AI289:AI337" si="10">AH289*30</f>
        <v>0</v>
      </c>
      <c r="AP289" s="5">
        <v>0.04</v>
      </c>
      <c r="AY289" s="5">
        <v>0.1</v>
      </c>
    </row>
    <row r="290" spans="1:52" x14ac:dyDescent="0.25">
      <c r="A290" s="5" t="s">
        <v>52</v>
      </c>
      <c r="B290" s="5" t="s">
        <v>82</v>
      </c>
      <c r="C290" s="5" t="s">
        <v>77</v>
      </c>
      <c r="F290" s="5" t="s">
        <v>55</v>
      </c>
      <c r="G290" s="5" t="s">
        <v>61</v>
      </c>
      <c r="H290" s="5" t="s">
        <v>57</v>
      </c>
      <c r="I290" s="5">
        <v>22</v>
      </c>
      <c r="J290" s="5" t="str">
        <f>IFERROR(VLOOKUP(I290,[1]INFO_LOCALES!$B:$C,2,FALSE),"")</f>
        <v>ATACAMA</v>
      </c>
      <c r="K290" s="5" t="str">
        <f>IFERROR(VLOOKUP(Tabla2[[#This Row],[TIENDA]],[1]INFO_LOCALES!$B:$D,3,FALSE),"")</f>
        <v>III - Atacama</v>
      </c>
      <c r="L290" s="5" t="str">
        <f>IFERROR(VLOOKUP(I290,[1]INFO_LOCALES!$B:$I,8,FALSE),"")</f>
        <v>Copiapó</v>
      </c>
      <c r="M290" s="5" t="str">
        <f>IFERROR(VLOOKUP(I290,[1]INFO_LOCALES!$B:$H,7,FALSE),"")</f>
        <v>Los Carreras 2242</v>
      </c>
      <c r="N290" s="5">
        <f>IFERROR(VLOOKUP(I290,[1]INFO_LOCALES!$B:$E,4,FALSE),"")</f>
        <v>2666</v>
      </c>
      <c r="O290" s="5" t="str">
        <f>VLOOKUP(Tabla2[[#This Row],[TIENDA]],[1]INFO_LOCALES!$B:$J,9,0)</f>
        <v>CONVENIO</v>
      </c>
      <c r="P290" s="5" t="str">
        <f>IFERROR(VLOOKUP(I290,[1]INFO_LOCALES!$B:$F,5,FALSE),"")</f>
        <v>NUEVA ATACAMA</v>
      </c>
      <c r="Q290" s="5" t="s">
        <v>85</v>
      </c>
      <c r="R290" s="5" t="s">
        <v>86</v>
      </c>
      <c r="S290" s="6" t="s">
        <v>87</v>
      </c>
      <c r="T290" s="5" t="s">
        <v>67</v>
      </c>
      <c r="U290" s="6">
        <v>45539</v>
      </c>
      <c r="V290" s="5" t="s">
        <v>59</v>
      </c>
      <c r="W2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90" s="7">
        <f t="shared" si="9"/>
        <v>3</v>
      </c>
      <c r="Y290" s="5">
        <v>25.6</v>
      </c>
      <c r="Z290" s="5">
        <v>8</v>
      </c>
      <c r="AA290" s="5">
        <v>7</v>
      </c>
      <c r="AB290" s="5">
        <v>19.2</v>
      </c>
      <c r="AC290" s="5">
        <v>692</v>
      </c>
      <c r="AD290" s="5">
        <v>18.3</v>
      </c>
      <c r="AE290" s="5">
        <v>79.56</v>
      </c>
      <c r="AF290" s="5">
        <v>0.5</v>
      </c>
      <c r="AG290" s="5">
        <v>90</v>
      </c>
      <c r="AH290" s="5">
        <v>1.35</v>
      </c>
      <c r="AI290" s="5">
        <f t="shared" si="10"/>
        <v>40.5</v>
      </c>
    </row>
    <row r="291" spans="1:52" x14ac:dyDescent="0.25">
      <c r="A291" s="5" t="s">
        <v>60</v>
      </c>
      <c r="B291" s="5" t="e">
        <v>#N/A</v>
      </c>
      <c r="C291" s="5" t="e">
        <v>#N/A</v>
      </c>
      <c r="F291" s="5" t="s">
        <v>55</v>
      </c>
      <c r="I291" s="5">
        <v>3557</v>
      </c>
      <c r="J291" s="5" t="str">
        <f>IFERROR(VLOOKUP(I291,[1]INFO_LOCALES!$B:$C,2,FALSE),"")</f>
        <v/>
      </c>
      <c r="K291" s="5" t="str">
        <f>IFERROR(VLOOKUP(Tabla2[[#This Row],[TIENDA]],[1]INFO_LOCALES!$B:$D,3,FALSE),"")</f>
        <v/>
      </c>
      <c r="L291" s="5" t="str">
        <f>IFERROR(VLOOKUP(I291,[1]INFO_LOCALES!$B:$I,8,FALSE),"")</f>
        <v/>
      </c>
      <c r="M291" s="5" t="str">
        <f>IFERROR(VLOOKUP(I291,[1]INFO_LOCALES!$B:$H,7,FALSE),"")</f>
        <v/>
      </c>
      <c r="N291" s="5" t="str">
        <f>IFERROR(VLOOKUP(I291,[1]INFO_LOCALES!$B:$E,4,FALSE),"")</f>
        <v/>
      </c>
      <c r="O291" s="5" t="e">
        <f>VLOOKUP(Tabla2[[#This Row],[TIENDA]],[1]INFO_LOCALES!$B:$J,9,0)</f>
        <v>#N/A</v>
      </c>
      <c r="P291" s="5" t="str">
        <f>IFERROR(VLOOKUP(I291,[1]INFO_LOCALES!$B:$F,5,FALSE),"")</f>
        <v/>
      </c>
      <c r="Q291" s="5" t="s">
        <v>85</v>
      </c>
      <c r="R291" s="5" t="s">
        <v>86</v>
      </c>
      <c r="S291" s="6" t="s">
        <v>87</v>
      </c>
      <c r="T291" s="5" t="s">
        <v>67</v>
      </c>
      <c r="U291" s="6">
        <v>45539</v>
      </c>
      <c r="V291" s="5" t="s">
        <v>59</v>
      </c>
      <c r="W2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91" s="7">
        <f t="shared" si="9"/>
        <v>3</v>
      </c>
      <c r="Y291" s="5">
        <v>11.4</v>
      </c>
      <c r="Z291" s="5">
        <v>6.57</v>
      </c>
      <c r="AA291" s="5">
        <v>24</v>
      </c>
      <c r="AB291" s="5">
        <v>12.8</v>
      </c>
      <c r="AC291" s="5">
        <v>276</v>
      </c>
      <c r="AD291" s="5">
        <v>14</v>
      </c>
      <c r="AE291" s="5">
        <v>49.6</v>
      </c>
      <c r="AF291" s="5">
        <v>0.8</v>
      </c>
      <c r="AG291" s="5">
        <v>104.3</v>
      </c>
      <c r="AH291" s="5">
        <v>3</v>
      </c>
      <c r="AI291" s="5">
        <f t="shared" si="10"/>
        <v>90</v>
      </c>
    </row>
    <row r="292" spans="1:52" x14ac:dyDescent="0.25">
      <c r="A292" s="5" t="s">
        <v>52</v>
      </c>
      <c r="B292" s="5" t="s">
        <v>90</v>
      </c>
      <c r="C292" s="5" t="s">
        <v>81</v>
      </c>
      <c r="F292" s="5" t="s">
        <v>55</v>
      </c>
      <c r="G292" s="5" t="s">
        <v>61</v>
      </c>
      <c r="H292" s="5" t="s">
        <v>57</v>
      </c>
      <c r="I292" s="5">
        <v>777</v>
      </c>
      <c r="J292" s="5" t="str">
        <f>IFERROR(VLOOKUP(I292,[1]INFO_LOCALES!$B:$C,2,FALSE),"")</f>
        <v>CENTRAL</v>
      </c>
      <c r="K292" s="5" t="str">
        <f>IFERROR(VLOOKUP(Tabla2[[#This Row],[TIENDA]],[1]INFO_LOCALES!$B:$D,3,FALSE),"")</f>
        <v>X - Los Lagos</v>
      </c>
      <c r="L292" s="5" t="str">
        <f>IFERROR(VLOOKUP(I292,[1]INFO_LOCALES!$B:$I,8,FALSE),"")</f>
        <v>Osorno</v>
      </c>
      <c r="M292" s="5" t="str">
        <f>IFERROR(VLOOKUP(I292,[1]INFO_LOCALES!$B:$H,7,FALSE),"")</f>
        <v>Patricio Lynch 1278</v>
      </c>
      <c r="N292" s="5">
        <f>IFERROR(VLOOKUP(I292,[1]INFO_LOCALES!$B:$E,4,FALSE),"")</f>
        <v>3684</v>
      </c>
      <c r="O292" s="5" t="str">
        <f>VLOOKUP(Tabla2[[#This Row],[TIENDA]],[1]INFO_LOCALES!$B:$J,9,0)</f>
        <v>CONVENIO</v>
      </c>
      <c r="P292" s="5" t="str">
        <f>IFERROR(VLOOKUP(I292,[1]INFO_LOCALES!$B:$F,5,FALSE),"")</f>
        <v>SURALIS</v>
      </c>
      <c r="Q292" s="5" t="s">
        <v>105</v>
      </c>
      <c r="R292" s="5" t="s">
        <v>58</v>
      </c>
      <c r="S292" s="6">
        <v>45595</v>
      </c>
      <c r="T292" s="5" t="s">
        <v>67</v>
      </c>
      <c r="U292" s="6">
        <v>45541</v>
      </c>
      <c r="V292" s="5" t="s">
        <v>59</v>
      </c>
      <c r="W2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92" s="7">
        <f t="shared" si="9"/>
        <v>1</v>
      </c>
      <c r="Y292" s="5">
        <v>26</v>
      </c>
      <c r="Z292" s="5">
        <v>6.93</v>
      </c>
      <c r="AA292" s="5">
        <v>2</v>
      </c>
      <c r="AB292" s="5">
        <v>14.2</v>
      </c>
      <c r="AC292" s="5">
        <v>162</v>
      </c>
      <c r="AD292" s="5">
        <v>2.1</v>
      </c>
      <c r="AE292" s="5">
        <v>2.89</v>
      </c>
      <c r="AF292" s="5">
        <v>5</v>
      </c>
      <c r="AG292" s="5">
        <v>171</v>
      </c>
      <c r="AH292" s="5">
        <v>1.8</v>
      </c>
      <c r="AI292" s="5">
        <f t="shared" si="10"/>
        <v>54</v>
      </c>
      <c r="AZ292" s="8" t="s">
        <v>204</v>
      </c>
    </row>
    <row r="293" spans="1:52" x14ac:dyDescent="0.25">
      <c r="A293" s="5" t="s">
        <v>52</v>
      </c>
      <c r="B293" s="5" t="s">
        <v>82</v>
      </c>
      <c r="C293" s="5" t="s">
        <v>77</v>
      </c>
      <c r="F293" s="5" t="s">
        <v>55</v>
      </c>
      <c r="G293" s="5" t="s">
        <v>61</v>
      </c>
      <c r="H293" s="5" t="s">
        <v>57</v>
      </c>
      <c r="I293" s="5">
        <v>7</v>
      </c>
      <c r="J293" s="5" t="str">
        <f>IFERROR(VLOOKUP(I293,[1]INFO_LOCALES!$B:$C,2,FALSE),"")</f>
        <v>VALLENAR I</v>
      </c>
      <c r="K293" s="5" t="str">
        <f>IFERROR(VLOOKUP(Tabla2[[#This Row],[TIENDA]],[1]INFO_LOCALES!$B:$D,3,FALSE),"")</f>
        <v>III - Atacama</v>
      </c>
      <c r="L293" s="5" t="str">
        <f>IFERROR(VLOOKUP(I293,[1]INFO_LOCALES!$B:$I,8,FALSE),"")</f>
        <v>Vallenar</v>
      </c>
      <c r="M293" s="5" t="str">
        <f>IFERROR(VLOOKUP(I293,[1]INFO_LOCALES!$B:$H,7,FALSE),"")</f>
        <v>Brasil 663</v>
      </c>
      <c r="N293" s="5">
        <f>IFERROR(VLOOKUP(I293,[1]INFO_LOCALES!$B:$E,4,FALSE),"")</f>
        <v>0</v>
      </c>
      <c r="O293" s="5" t="str">
        <f>VLOOKUP(Tabla2[[#This Row],[TIENDA]],[1]INFO_LOCALES!$B:$J,9,0)</f>
        <v>CONVENIO</v>
      </c>
      <c r="P293" s="5" t="str">
        <f>IFERROR(VLOOKUP(I293,[1]INFO_LOCALES!$B:$F,5,FALSE),"")</f>
        <v>NUEVA ATACAMA</v>
      </c>
      <c r="Q293" s="5" t="s">
        <v>66</v>
      </c>
      <c r="R293" s="5" t="s">
        <v>58</v>
      </c>
      <c r="S293" s="6">
        <v>45629</v>
      </c>
      <c r="T293" s="5" t="str">
        <f>UPPER(IF(Tabla2[[#This Row],[FECHA DE MUESTREO ]]=0,"",TEXT(Tabla2[[#This Row],[FECHA DE MUESTREO ]],("MMMM"))))</f>
        <v>SEPTIEMBRE</v>
      </c>
      <c r="U293" s="6">
        <v>45541</v>
      </c>
      <c r="V293" s="5" t="s">
        <v>59</v>
      </c>
      <c r="W2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93" s="7">
        <f t="shared" si="9"/>
        <v>3</v>
      </c>
      <c r="Y293" s="5">
        <v>60.77</v>
      </c>
      <c r="AA293" s="5">
        <v>48.3</v>
      </c>
      <c r="AC293" s="5">
        <v>687</v>
      </c>
      <c r="AD293" s="5">
        <v>3.42</v>
      </c>
      <c r="AE293" s="5">
        <v>332</v>
      </c>
      <c r="AF293" s="5">
        <v>12</v>
      </c>
      <c r="AG293" s="5">
        <v>957.89</v>
      </c>
      <c r="AI293" s="5">
        <f t="shared" si="10"/>
        <v>0</v>
      </c>
      <c r="AP293" s="5">
        <v>0.35</v>
      </c>
      <c r="AY293" s="5">
        <v>0.1</v>
      </c>
    </row>
    <row r="294" spans="1:52" x14ac:dyDescent="0.25">
      <c r="A294" s="5" t="s">
        <v>52</v>
      </c>
      <c r="B294" s="5" t="s">
        <v>76</v>
      </c>
      <c r="C294" s="5" t="s">
        <v>77</v>
      </c>
      <c r="F294" s="5" t="s">
        <v>55</v>
      </c>
      <c r="G294" s="5" t="s">
        <v>65</v>
      </c>
      <c r="H294" s="5" t="s">
        <v>57</v>
      </c>
      <c r="I294" s="5">
        <v>85</v>
      </c>
      <c r="J294" s="5" t="str">
        <f>IFERROR(VLOOKUP(I294,[1]INFO_LOCALES!$B:$C,2,FALSE),"")</f>
        <v>AMUNATEGUI</v>
      </c>
      <c r="K294" s="5" t="str">
        <f>IFERROR(VLOOKUP(Tabla2[[#This Row],[TIENDA]],[1]INFO_LOCALES!$B:$D,3,FALSE),"")</f>
        <v>I - Tarapacá</v>
      </c>
      <c r="L294" s="5" t="str">
        <f>IFERROR(VLOOKUP(I294,[1]INFO_LOCALES!$B:$I,8,FALSE),"")</f>
        <v>Iquique</v>
      </c>
      <c r="M294" s="5" t="str">
        <f>IFERROR(VLOOKUP(I294,[1]INFO_LOCALES!$B:$H,7,FALSE),"")</f>
        <v>Amunategui 902</v>
      </c>
      <c r="N294" s="5">
        <f>IFERROR(VLOOKUP(I294,[1]INFO_LOCALES!$B:$E,4,FALSE),"")</f>
        <v>0</v>
      </c>
      <c r="O294" s="5" t="str">
        <f>VLOOKUP(Tabla2[[#This Row],[TIENDA]],[1]INFO_LOCALES!$B:$J,9,0)</f>
        <v>CONVENIO</v>
      </c>
      <c r="P294" s="5" t="str">
        <f>IFERROR(VLOOKUP(I294,[1]INFO_LOCALES!$B:$F,5,FALSE),"")</f>
        <v>AGUAS DEL ALTIPLANO S.A.</v>
      </c>
      <c r="Q294" s="5" t="s">
        <v>78</v>
      </c>
      <c r="R294" s="5" t="s">
        <v>58</v>
      </c>
      <c r="S294" s="6">
        <v>45595</v>
      </c>
      <c r="T294" s="5" t="s">
        <v>67</v>
      </c>
      <c r="U294" s="6">
        <v>45544</v>
      </c>
      <c r="V294" s="5" t="s">
        <v>59</v>
      </c>
      <c r="W2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94" s="7">
        <f t="shared" si="9"/>
        <v>2</v>
      </c>
      <c r="Y294" s="5">
        <v>6</v>
      </c>
      <c r="Z294" s="5">
        <v>6.66</v>
      </c>
      <c r="AA294" s="5">
        <v>8</v>
      </c>
      <c r="AB294" s="5">
        <v>22.26</v>
      </c>
      <c r="AC294" s="5">
        <v>155</v>
      </c>
      <c r="AD294" s="5">
        <v>1.3</v>
      </c>
      <c r="AE294" s="5">
        <v>9.1999999999999993</v>
      </c>
      <c r="AF294" s="5">
        <v>0.5</v>
      </c>
      <c r="AG294" s="5">
        <v>123</v>
      </c>
      <c r="AH294" s="5">
        <v>4.4000000000000004</v>
      </c>
      <c r="AI294" s="5">
        <f t="shared" si="10"/>
        <v>132</v>
      </c>
      <c r="AZ294" s="8" t="s">
        <v>205</v>
      </c>
    </row>
    <row r="295" spans="1:52" x14ac:dyDescent="0.25">
      <c r="A295" s="5" t="s">
        <v>52</v>
      </c>
      <c r="B295" s="5" t="s">
        <v>73</v>
      </c>
      <c r="C295" s="5" t="s">
        <v>74</v>
      </c>
      <c r="F295" s="5" t="s">
        <v>55</v>
      </c>
      <c r="G295" s="5" t="s">
        <v>61</v>
      </c>
      <c r="H295" s="5" t="s">
        <v>57</v>
      </c>
      <c r="I295" s="5">
        <v>442</v>
      </c>
      <c r="J295" s="5" t="str">
        <f>IFERROR(VLOOKUP(I295,[1]INFO_LOCALES!$B:$C,2,FALSE),"")</f>
        <v>COYHAIQUE</v>
      </c>
      <c r="K295" s="5" t="str">
        <f>IFERROR(VLOOKUP(Tabla2[[#This Row],[TIENDA]],[1]INFO_LOCALES!$B:$D,3,FALSE),"")</f>
        <v>XI - Aysén</v>
      </c>
      <c r="L295" s="5" t="str">
        <f>IFERROR(VLOOKUP(I295,[1]INFO_LOCALES!$B:$I,8,FALSE),"")</f>
        <v>Coyhaique</v>
      </c>
      <c r="M295" s="5" t="str">
        <f>IFERROR(VLOOKUP(I295,[1]INFO_LOCALES!$B:$H,7,FALSE),"")</f>
        <v>Lautaro 331</v>
      </c>
      <c r="N295" s="5">
        <f>IFERROR(VLOOKUP(I295,[1]INFO_LOCALES!$B:$E,4,FALSE),"")</f>
        <v>1320</v>
      </c>
      <c r="O295" s="5" t="str">
        <f>VLOOKUP(Tabla2[[#This Row],[TIENDA]],[1]INFO_LOCALES!$B:$J,9,0)</f>
        <v>SIN CONVENIO</v>
      </c>
      <c r="P295" s="5" t="str">
        <f>IFERROR(VLOOKUP(I295,[1]INFO_LOCALES!$B:$F,5,FALSE),"")</f>
        <v>AGUAS PATAGONIA</v>
      </c>
      <c r="Q295" s="5" t="s">
        <v>144</v>
      </c>
      <c r="R295" s="5" t="s">
        <v>86</v>
      </c>
      <c r="S295" s="6" t="s">
        <v>87</v>
      </c>
      <c r="T295" s="5" t="s">
        <v>67</v>
      </c>
      <c r="U295" s="6">
        <v>45545</v>
      </c>
      <c r="V295" s="5" t="s">
        <v>118</v>
      </c>
      <c r="W2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95" s="7">
        <f t="shared" si="9"/>
        <v>2</v>
      </c>
      <c r="Y295" s="5">
        <v>17.3</v>
      </c>
      <c r="Z295" s="5">
        <v>7.18</v>
      </c>
      <c r="AA295" s="5">
        <v>3</v>
      </c>
      <c r="AB295" s="5">
        <v>8.1</v>
      </c>
      <c r="AC295" s="5">
        <v>538</v>
      </c>
      <c r="AD295" s="5">
        <v>18.600000000000001</v>
      </c>
      <c r="AE295" s="5">
        <v>14</v>
      </c>
      <c r="AF295" s="5">
        <v>16</v>
      </c>
      <c r="AG295" s="5">
        <v>248</v>
      </c>
      <c r="AH295" s="5">
        <v>24.4</v>
      </c>
      <c r="AI295" s="5">
        <f t="shared" si="10"/>
        <v>732</v>
      </c>
      <c r="AJ295" s="5">
        <v>0.63700000000000001</v>
      </c>
      <c r="AK295" s="5">
        <v>1E-3</v>
      </c>
      <c r="AL295" s="5">
        <v>4</v>
      </c>
      <c r="AM295" s="5">
        <v>0.5</v>
      </c>
      <c r="AN295" s="5">
        <v>0.02</v>
      </c>
      <c r="AO295" s="5">
        <v>0.26100000000000001</v>
      </c>
      <c r="AP295" s="5">
        <v>0.159</v>
      </c>
      <c r="AQ295" s="5">
        <v>5.0000000000000001E-3</v>
      </c>
      <c r="AR295" s="5">
        <v>0.01</v>
      </c>
      <c r="AS295" s="5">
        <v>5</v>
      </c>
      <c r="AT295" s="5">
        <v>0.21</v>
      </c>
      <c r="AU295" s="5">
        <v>1E-3</v>
      </c>
      <c r="AV295" s="5">
        <v>0.01</v>
      </c>
      <c r="AW295" s="5">
        <v>0.02</v>
      </c>
      <c r="AX295" s="5">
        <v>18.899999999999999</v>
      </c>
      <c r="AY295" s="5">
        <v>0.1</v>
      </c>
    </row>
    <row r="296" spans="1:52" x14ac:dyDescent="0.25">
      <c r="A296" s="5" t="s">
        <v>52</v>
      </c>
      <c r="B296" s="5" t="s">
        <v>76</v>
      </c>
      <c r="C296" s="5" t="s">
        <v>77</v>
      </c>
      <c r="F296" s="5" t="s">
        <v>55</v>
      </c>
      <c r="G296" s="5" t="s">
        <v>61</v>
      </c>
      <c r="H296" s="5" t="s">
        <v>57</v>
      </c>
      <c r="I296" s="5">
        <v>106</v>
      </c>
      <c r="J296" s="5" t="str">
        <f>IFERROR(VLOOKUP(I296,[1]INFO_LOCALES!$B:$C,2,FALSE),"")</f>
        <v>LOS MOLLES</v>
      </c>
      <c r="K296" s="5" t="str">
        <f>IFERROR(VLOOKUP(Tabla2[[#This Row],[TIENDA]],[1]INFO_LOCALES!$B:$D,3,FALSE),"")</f>
        <v>I - Tarapacá</v>
      </c>
      <c r="L296" s="5" t="str">
        <f>IFERROR(VLOOKUP(I296,[1]INFO_LOCALES!$B:$I,8,FALSE),"")</f>
        <v>Iquique</v>
      </c>
      <c r="M296" s="5" t="str">
        <f>IFERROR(VLOOKUP(I296,[1]INFO_LOCALES!$B:$H,7,FALSE),"")</f>
        <v>Santiago Polanco 2251</v>
      </c>
      <c r="N296" s="5">
        <f>IFERROR(VLOOKUP(I296,[1]INFO_LOCALES!$B:$E,4,FALSE),"")</f>
        <v>4050</v>
      </c>
      <c r="O296" s="5" t="str">
        <f>VLOOKUP(Tabla2[[#This Row],[TIENDA]],[1]INFO_LOCALES!$B:$J,9,0)</f>
        <v>CONVENIO</v>
      </c>
      <c r="P296" s="5" t="str">
        <f>IFERROR(VLOOKUP(I296,[1]INFO_LOCALES!$B:$F,5,FALSE),"")</f>
        <v>AGUAS DEL ALTIPLANO S.A.</v>
      </c>
      <c r="Q296" s="5" t="s">
        <v>85</v>
      </c>
      <c r="R296" s="5" t="s">
        <v>86</v>
      </c>
      <c r="S296" s="6" t="s">
        <v>87</v>
      </c>
      <c r="T296" s="5" t="s">
        <v>67</v>
      </c>
      <c r="U296" s="6">
        <v>45546</v>
      </c>
      <c r="V296" s="5" t="s">
        <v>59</v>
      </c>
      <c r="W2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96" s="7">
        <f t="shared" si="9"/>
        <v>1</v>
      </c>
      <c r="Y296" s="5">
        <v>16.3</v>
      </c>
      <c r="Z296" s="5">
        <v>7.02</v>
      </c>
      <c r="AA296" s="5">
        <v>5</v>
      </c>
      <c r="AB296" s="5">
        <v>22.9</v>
      </c>
      <c r="AC296" s="5">
        <v>146</v>
      </c>
      <c r="AD296" s="5">
        <v>6</v>
      </c>
      <c r="AE296" s="5">
        <v>40</v>
      </c>
      <c r="AF296" s="5">
        <v>0.5</v>
      </c>
      <c r="AG296" s="5">
        <v>48</v>
      </c>
      <c r="AI296" s="5">
        <f t="shared" si="10"/>
        <v>0</v>
      </c>
    </row>
    <row r="297" spans="1:52" x14ac:dyDescent="0.25">
      <c r="A297" s="5" t="s">
        <v>52</v>
      </c>
      <c r="B297" s="5" t="s">
        <v>73</v>
      </c>
      <c r="C297" s="5" t="s">
        <v>74</v>
      </c>
      <c r="F297" s="5" t="s">
        <v>55</v>
      </c>
      <c r="G297" s="5" t="s">
        <v>65</v>
      </c>
      <c r="H297" s="5" t="s">
        <v>57</v>
      </c>
      <c r="I297" s="5">
        <v>441</v>
      </c>
      <c r="J297" s="5" t="str">
        <f>IFERROR(VLOOKUP(I297,[1]INFO_LOCALES!$B:$C,2,FALSE),"")</f>
        <v>AYSEN</v>
      </c>
      <c r="K297" s="5" t="str">
        <f>IFERROR(VLOOKUP(Tabla2[[#This Row],[TIENDA]],[1]INFO_LOCALES!$B:$D,3,FALSE),"")</f>
        <v>XI - Aysén</v>
      </c>
      <c r="L297" s="5" t="str">
        <f>IFERROR(VLOOKUP(I297,[1]INFO_LOCALES!$B:$I,8,FALSE),"")</f>
        <v>Aysén</v>
      </c>
      <c r="M297" s="5" t="str">
        <f>IFERROR(VLOOKUP(I297,[1]INFO_LOCALES!$B:$H,7,FALSE),"")</f>
        <v>Carrera  1500</v>
      </c>
      <c r="N297" s="5">
        <f>IFERROR(VLOOKUP(I297,[1]INFO_LOCALES!$B:$E,4,FALSE),"")</f>
        <v>0</v>
      </c>
      <c r="O297" s="5" t="str">
        <f>VLOOKUP(Tabla2[[#This Row],[TIENDA]],[1]INFO_LOCALES!$B:$J,9,0)</f>
        <v>SIN CONVENIO</v>
      </c>
      <c r="P297" s="5" t="str">
        <f>IFERROR(VLOOKUP(I297,[1]INFO_LOCALES!$B:$F,5,FALSE),"")</f>
        <v>AGUAS PATAGONIA</v>
      </c>
      <c r="Q297" s="5" t="s">
        <v>144</v>
      </c>
      <c r="R297" s="5" t="s">
        <v>58</v>
      </c>
      <c r="S297" s="6">
        <v>45601</v>
      </c>
      <c r="T297" s="5" t="s">
        <v>67</v>
      </c>
      <c r="U297" s="6">
        <v>45546</v>
      </c>
      <c r="V297" s="5" t="s">
        <v>59</v>
      </c>
      <c r="W2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297" s="7">
        <f t="shared" si="9"/>
        <v>1</v>
      </c>
      <c r="Y297" s="5">
        <v>0.5</v>
      </c>
      <c r="Z297" s="5">
        <v>7.5</v>
      </c>
      <c r="AA297" s="5">
        <v>2</v>
      </c>
      <c r="AB297" s="5">
        <v>9.9499999999999993</v>
      </c>
      <c r="AC297" s="5">
        <v>6</v>
      </c>
      <c r="AD297" s="5">
        <v>0.5</v>
      </c>
      <c r="AE297" s="5">
        <v>0.16</v>
      </c>
      <c r="AF297" s="5">
        <v>1</v>
      </c>
      <c r="AG297" s="5">
        <v>10</v>
      </c>
      <c r="AH297" s="5">
        <v>57.024000000000001</v>
      </c>
      <c r="AI297" s="5">
        <f t="shared" si="10"/>
        <v>1710.72</v>
      </c>
    </row>
    <row r="298" spans="1:52" x14ac:dyDescent="0.25">
      <c r="A298" s="5" t="s">
        <v>52</v>
      </c>
      <c r="B298" s="5" t="s">
        <v>76</v>
      </c>
      <c r="C298" s="5" t="s">
        <v>77</v>
      </c>
      <c r="F298" s="5" t="s">
        <v>55</v>
      </c>
      <c r="G298" s="5" t="s">
        <v>61</v>
      </c>
      <c r="H298" s="5" t="s">
        <v>57</v>
      </c>
      <c r="I298" s="5">
        <v>86</v>
      </c>
      <c r="J298" s="5" t="str">
        <f>IFERROR(VLOOKUP(I298,[1]INFO_LOCALES!$B:$C,2,FALSE),"")</f>
        <v>BILBAO</v>
      </c>
      <c r="K298" s="5" t="str">
        <f>IFERROR(VLOOKUP(Tabla2[[#This Row],[TIENDA]],[1]INFO_LOCALES!$B:$D,3,FALSE),"")</f>
        <v>I - Tarapacá</v>
      </c>
      <c r="L298" s="5" t="str">
        <f>IFERROR(VLOOKUP(I298,[1]INFO_LOCALES!$B:$I,8,FALSE),"")</f>
        <v>Iquique</v>
      </c>
      <c r="M298" s="5" t="str">
        <f>IFERROR(VLOOKUP(I298,[1]INFO_LOCALES!$B:$H,7,FALSE),"")</f>
        <v>Fco.Bilbao 3545</v>
      </c>
      <c r="N298" s="5">
        <f>IFERROR(VLOOKUP(I298,[1]INFO_LOCALES!$B:$E,4,FALSE),"")</f>
        <v>4049</v>
      </c>
      <c r="O298" s="5" t="str">
        <f>VLOOKUP(Tabla2[[#This Row],[TIENDA]],[1]INFO_LOCALES!$B:$J,9,0)</f>
        <v>CONVENIO</v>
      </c>
      <c r="P298" s="5" t="str">
        <f>IFERROR(VLOOKUP(I298,[1]INFO_LOCALES!$B:$F,5,FALSE),"")</f>
        <v>AGUAS DEL ALTIPLANO S.A.</v>
      </c>
      <c r="Q298" s="5" t="s">
        <v>85</v>
      </c>
      <c r="R298" s="5" t="s">
        <v>86</v>
      </c>
      <c r="S298" s="6" t="s">
        <v>87</v>
      </c>
      <c r="T298" s="5" t="s">
        <v>67</v>
      </c>
      <c r="U298" s="6">
        <v>45547</v>
      </c>
      <c r="V298" s="5" t="s">
        <v>59</v>
      </c>
      <c r="W2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298" s="7">
        <f t="shared" si="9"/>
        <v>2</v>
      </c>
      <c r="Y298" s="5">
        <v>12.8</v>
      </c>
      <c r="Z298" s="5">
        <v>7.05</v>
      </c>
      <c r="AA298" s="5">
        <v>4</v>
      </c>
      <c r="AB298" s="5">
        <v>25.2</v>
      </c>
      <c r="AC298" s="5">
        <v>584</v>
      </c>
      <c r="AD298" s="5">
        <v>8.1</v>
      </c>
      <c r="AE298" s="5">
        <v>32.450000000000003</v>
      </c>
      <c r="AF298" s="5">
        <v>1.3</v>
      </c>
      <c r="AG298" s="5">
        <v>156</v>
      </c>
      <c r="AH298" s="5">
        <v>5.2</v>
      </c>
      <c r="AI298" s="5">
        <f t="shared" si="10"/>
        <v>156</v>
      </c>
    </row>
    <row r="299" spans="1:52" x14ac:dyDescent="0.25">
      <c r="A299" s="5" t="s">
        <v>52</v>
      </c>
      <c r="B299" s="5" t="s">
        <v>90</v>
      </c>
      <c r="C299" s="5" t="s">
        <v>81</v>
      </c>
      <c r="F299" s="5" t="s">
        <v>55</v>
      </c>
      <c r="G299" s="5" t="s">
        <v>61</v>
      </c>
      <c r="H299" s="5" t="s">
        <v>57</v>
      </c>
      <c r="I299" s="5">
        <v>778</v>
      </c>
      <c r="J299" s="5" t="str">
        <f>IFERROR(VLOOKUP(I299,[1]INFO_LOCALES!$B:$C,2,FALSE),"")</f>
        <v>ORIENTE</v>
      </c>
      <c r="K299" s="5" t="str">
        <f>IFERROR(VLOOKUP(Tabla2[[#This Row],[TIENDA]],[1]INFO_LOCALES!$B:$D,3,FALSE),"")</f>
        <v>X - Los Lagos</v>
      </c>
      <c r="L299" s="5" t="str">
        <f>IFERROR(VLOOKUP(I299,[1]INFO_LOCALES!$B:$I,8,FALSE),"")</f>
        <v>Osorno</v>
      </c>
      <c r="M299" s="5" t="str">
        <f>IFERROR(VLOOKUP(I299,[1]INFO_LOCALES!$B:$H,7,FALSE),"")</f>
        <v>Julio Buschman 2223</v>
      </c>
      <c r="N299" s="5">
        <f>IFERROR(VLOOKUP(I299,[1]INFO_LOCALES!$B:$E,4,FALSE),"")</f>
        <v>2867</v>
      </c>
      <c r="O299" s="5" t="str">
        <f>VLOOKUP(Tabla2[[#This Row],[TIENDA]],[1]INFO_LOCALES!$B:$J,9,0)</f>
        <v>CONVENIO</v>
      </c>
      <c r="P299" s="5" t="str">
        <f>IFERROR(VLOOKUP(I299,[1]INFO_LOCALES!$B:$F,5,FALSE),"")</f>
        <v>SURALIS</v>
      </c>
      <c r="Q299" s="5" t="s">
        <v>85</v>
      </c>
      <c r="R299" s="5" t="s">
        <v>86</v>
      </c>
      <c r="S299" s="6" t="s">
        <v>87</v>
      </c>
      <c r="T299" s="5" t="s">
        <v>67</v>
      </c>
      <c r="U299" s="6">
        <v>45547</v>
      </c>
      <c r="V299" s="5" t="s">
        <v>59</v>
      </c>
      <c r="W2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299" s="7">
        <f t="shared" si="9"/>
        <v>3</v>
      </c>
      <c r="Y299" s="5">
        <v>59.3</v>
      </c>
      <c r="Z299" s="5">
        <v>6.5</v>
      </c>
      <c r="AA299" s="5">
        <v>26</v>
      </c>
      <c r="AB299" s="5">
        <v>15.2</v>
      </c>
      <c r="AC299" s="5">
        <v>269</v>
      </c>
      <c r="AD299" s="5">
        <v>9.9499999999999993</v>
      </c>
      <c r="AE299" s="5">
        <v>38.200000000000003</v>
      </c>
      <c r="AF299" s="5">
        <v>1</v>
      </c>
      <c r="AG299" s="5">
        <v>147</v>
      </c>
      <c r="AH299" s="5">
        <v>55.1</v>
      </c>
      <c r="AI299" s="5">
        <f t="shared" si="10"/>
        <v>1653</v>
      </c>
    </row>
    <row r="300" spans="1:52" x14ac:dyDescent="0.25">
      <c r="A300" s="5" t="s">
        <v>52</v>
      </c>
      <c r="B300" s="5" t="s">
        <v>90</v>
      </c>
      <c r="C300" s="5" t="s">
        <v>81</v>
      </c>
      <c r="F300" s="5" t="s">
        <v>55</v>
      </c>
      <c r="G300" s="5" t="s">
        <v>61</v>
      </c>
      <c r="H300" s="5" t="s">
        <v>57</v>
      </c>
      <c r="I300" s="5">
        <v>780</v>
      </c>
      <c r="J300" s="5" t="str">
        <f>IFERROR(VLOOKUP(I300,[1]INFO_LOCALES!$B:$C,2,FALSE),"")</f>
        <v>VICTORIA</v>
      </c>
      <c r="K300" s="5" t="str">
        <f>IFERROR(VLOOKUP(Tabla2[[#This Row],[TIENDA]],[1]INFO_LOCALES!$B:$D,3,FALSE),"")</f>
        <v>X - Los Lagos</v>
      </c>
      <c r="L300" s="5" t="str">
        <f>IFERROR(VLOOKUP(I300,[1]INFO_LOCALES!$B:$I,8,FALSE),"")</f>
        <v>Osorno</v>
      </c>
      <c r="M300" s="5" t="str">
        <f>IFERROR(VLOOKUP(I300,[1]INFO_LOCALES!$B:$H,7,FALSE),"")</f>
        <v>Victoria 367 Rahue Bajo</v>
      </c>
      <c r="N300" s="5">
        <f>IFERROR(VLOOKUP(I300,[1]INFO_LOCALES!$B:$E,4,FALSE),"")</f>
        <v>1362</v>
      </c>
      <c r="O300" s="5" t="str">
        <f>VLOOKUP(Tabla2[[#This Row],[TIENDA]],[1]INFO_LOCALES!$B:$J,9,0)</f>
        <v>SIN CONVENIO</v>
      </c>
      <c r="P300" s="5" t="str">
        <f>IFERROR(VLOOKUP(I300,[1]INFO_LOCALES!$B:$F,5,FALSE),"")</f>
        <v>SURALIS</v>
      </c>
      <c r="Q300" s="5" t="s">
        <v>85</v>
      </c>
      <c r="R300" s="5" t="s">
        <v>86</v>
      </c>
      <c r="S300" s="6" t="s">
        <v>87</v>
      </c>
      <c r="T300" s="5" t="s">
        <v>67</v>
      </c>
      <c r="U300" s="6">
        <v>45547</v>
      </c>
      <c r="V300" s="5" t="s">
        <v>59</v>
      </c>
      <c r="W3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00" s="7">
        <f t="shared" si="9"/>
        <v>3</v>
      </c>
      <c r="Y300" s="5">
        <v>28.6</v>
      </c>
      <c r="Z300" s="5">
        <v>6.51</v>
      </c>
      <c r="AA300" s="5">
        <v>16</v>
      </c>
      <c r="AB300" s="5">
        <v>14.3</v>
      </c>
      <c r="AC300" s="5">
        <v>183</v>
      </c>
      <c r="AD300" s="5">
        <v>7.38</v>
      </c>
      <c r="AE300" s="5">
        <v>29.5</v>
      </c>
      <c r="AF300" s="5">
        <v>0.5</v>
      </c>
      <c r="AG300" s="5">
        <v>63</v>
      </c>
      <c r="AH300" s="5">
        <v>1</v>
      </c>
      <c r="AI300" s="5">
        <f t="shared" si="10"/>
        <v>30</v>
      </c>
    </row>
    <row r="301" spans="1:52" x14ac:dyDescent="0.25">
      <c r="A301" s="5" t="s">
        <v>52</v>
      </c>
      <c r="B301" s="5" t="s">
        <v>112</v>
      </c>
      <c r="C301" s="5" t="s">
        <v>70</v>
      </c>
      <c r="F301" s="5" t="s">
        <v>55</v>
      </c>
      <c r="G301" s="5" t="s">
        <v>65</v>
      </c>
      <c r="H301" s="5" t="s">
        <v>57</v>
      </c>
      <c r="I301" s="5">
        <v>333</v>
      </c>
      <c r="J301" s="5" t="str">
        <f>IFERROR(VLOOKUP(I301,[1]INFO_LOCALES!$B:$C,2,FALSE),"")</f>
        <v>LOS LEONES</v>
      </c>
      <c r="K301" s="5" t="str">
        <f>IFERROR(VLOOKUP(Tabla2[[#This Row],[TIENDA]],[1]INFO_LOCALES!$B:$D,3,FALSE),"")</f>
        <v>RM - Santiago</v>
      </c>
      <c r="L301" s="5" t="str">
        <f>IFERROR(VLOOKUP(I301,[1]INFO_LOCALES!$B:$I,8,FALSE),"")</f>
        <v>Ñuñoa</v>
      </c>
      <c r="M301" s="5" t="str">
        <f>IFERROR(VLOOKUP(I301,[1]INFO_LOCALES!$B:$H,7,FALSE),"")</f>
        <v>Gral. Jose Artigas 3250</v>
      </c>
      <c r="N301" s="5">
        <f>IFERROR(VLOOKUP(I301,[1]INFO_LOCALES!$B:$E,4,FALSE),"")</f>
        <v>0</v>
      </c>
      <c r="O301" s="5" t="str">
        <f>VLOOKUP(Tabla2[[#This Row],[TIENDA]],[1]INFO_LOCALES!$B:$J,9,0)</f>
        <v>SIN CONVENIO</v>
      </c>
      <c r="P301" s="5" t="str">
        <f>IFERROR(VLOOKUP(I301,[1]INFO_LOCALES!$B:$F,5,FALSE),"")</f>
        <v>AGUAS ANDINAS S.A.</v>
      </c>
      <c r="Q301" s="5" t="s">
        <v>113</v>
      </c>
      <c r="R301" s="5" t="s">
        <v>58</v>
      </c>
      <c r="S301" s="6">
        <v>45601</v>
      </c>
      <c r="T301" s="5" t="s">
        <v>67</v>
      </c>
      <c r="U301" s="6">
        <v>45549</v>
      </c>
      <c r="V301" s="5" t="s">
        <v>59</v>
      </c>
      <c r="W3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01" s="7">
        <f t="shared" si="9"/>
        <v>2</v>
      </c>
      <c r="Y301" s="5">
        <v>16</v>
      </c>
      <c r="Z301" s="5">
        <v>8.82</v>
      </c>
      <c r="AA301" s="5">
        <v>9.6999999999999993</v>
      </c>
      <c r="AB301" s="5">
        <v>21.6</v>
      </c>
      <c r="AC301" s="5">
        <v>188</v>
      </c>
      <c r="AD301" s="5">
        <v>7.36</v>
      </c>
      <c r="AE301" s="5">
        <v>93.78</v>
      </c>
      <c r="AF301" s="5">
        <v>0.5</v>
      </c>
      <c r="AG301" s="5">
        <v>57</v>
      </c>
      <c r="AI301" s="5">
        <f t="shared" si="10"/>
        <v>0</v>
      </c>
    </row>
    <row r="302" spans="1:52" x14ac:dyDescent="0.25">
      <c r="A302" s="5" t="s">
        <v>52</v>
      </c>
      <c r="B302" s="5" t="s">
        <v>90</v>
      </c>
      <c r="C302" s="5" t="s">
        <v>81</v>
      </c>
      <c r="F302" s="5" t="s">
        <v>55</v>
      </c>
      <c r="G302" s="5" t="s">
        <v>61</v>
      </c>
      <c r="H302" s="5" t="s">
        <v>57</v>
      </c>
      <c r="I302" s="5">
        <v>777</v>
      </c>
      <c r="J302" s="5" t="str">
        <f>IFERROR(VLOOKUP(I302,[1]INFO_LOCALES!$B:$C,2,FALSE),"")</f>
        <v>CENTRAL</v>
      </c>
      <c r="K302" s="5" t="str">
        <f>IFERROR(VLOOKUP(Tabla2[[#This Row],[TIENDA]],[1]INFO_LOCALES!$B:$D,3,FALSE),"")</f>
        <v>X - Los Lagos</v>
      </c>
      <c r="L302" s="5" t="str">
        <f>IFERROR(VLOOKUP(I302,[1]INFO_LOCALES!$B:$I,8,FALSE),"")</f>
        <v>Osorno</v>
      </c>
      <c r="M302" s="5" t="str">
        <f>IFERROR(VLOOKUP(I302,[1]INFO_LOCALES!$B:$H,7,FALSE),"")</f>
        <v>Patricio Lynch 1278</v>
      </c>
      <c r="N302" s="5">
        <f>IFERROR(VLOOKUP(I302,[1]INFO_LOCALES!$B:$E,4,FALSE),"")</f>
        <v>3684</v>
      </c>
      <c r="O302" s="5" t="str">
        <f>VLOOKUP(Tabla2[[#This Row],[TIENDA]],[1]INFO_LOCALES!$B:$J,9,0)</f>
        <v>CONVENIO</v>
      </c>
      <c r="P302" s="5" t="str">
        <f>IFERROR(VLOOKUP(I302,[1]INFO_LOCALES!$B:$F,5,FALSE),"")</f>
        <v>SURALIS</v>
      </c>
      <c r="Q302" s="5" t="s">
        <v>85</v>
      </c>
      <c r="R302" s="5" t="s">
        <v>86</v>
      </c>
      <c r="S302" s="6" t="s">
        <v>87</v>
      </c>
      <c r="T302" s="5" t="s">
        <v>67</v>
      </c>
      <c r="U302" s="6">
        <v>45551</v>
      </c>
      <c r="V302" s="5" t="s">
        <v>59</v>
      </c>
      <c r="W3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02" s="7">
        <f t="shared" si="9"/>
        <v>3</v>
      </c>
      <c r="Y302" s="5">
        <v>19.600000000000001</v>
      </c>
      <c r="Z302" s="5">
        <v>6.9</v>
      </c>
      <c r="AA302" s="5">
        <v>47</v>
      </c>
      <c r="AB302" s="5">
        <v>12.7</v>
      </c>
      <c r="AC302" s="5">
        <v>356</v>
      </c>
      <c r="AD302" s="5">
        <v>10.4</v>
      </c>
      <c r="AE302" s="5">
        <v>5</v>
      </c>
      <c r="AF302" s="5">
        <v>0.5</v>
      </c>
      <c r="AG302" s="5">
        <v>70</v>
      </c>
      <c r="AH302" s="5">
        <v>1</v>
      </c>
      <c r="AI302" s="5">
        <f t="shared" si="10"/>
        <v>30</v>
      </c>
    </row>
    <row r="303" spans="1:52" x14ac:dyDescent="0.25">
      <c r="A303" s="5" t="s">
        <v>52</v>
      </c>
      <c r="B303" s="5" t="s">
        <v>74</v>
      </c>
      <c r="C303" s="5" t="s">
        <v>74</v>
      </c>
      <c r="F303" s="5" t="s">
        <v>55</v>
      </c>
      <c r="G303" s="5" t="s">
        <v>61</v>
      </c>
      <c r="H303" s="5" t="s">
        <v>57</v>
      </c>
      <c r="I303" s="5">
        <v>458</v>
      </c>
      <c r="J303" s="5" t="str">
        <f>IFERROR(VLOOKUP(I303,[1]INFO_LOCALES!$B:$C,2,FALSE),"")</f>
        <v>ESPAÑA AUSTRAL</v>
      </c>
      <c r="K303" s="5" t="str">
        <f>IFERROR(VLOOKUP(Tabla2[[#This Row],[TIENDA]],[1]INFO_LOCALES!$B:$D,3,FALSE),"")</f>
        <v>XII - Magallanes</v>
      </c>
      <c r="L303" s="5" t="str">
        <f>IFERROR(VLOOKUP(I303,[1]INFO_LOCALES!$B:$I,8,FALSE),"")</f>
        <v>Punta Arenas</v>
      </c>
      <c r="M303" s="5" t="str">
        <f>IFERROR(VLOOKUP(I303,[1]INFO_LOCALES!$B:$H,7,FALSE),"")</f>
        <v>Av. España 01375</v>
      </c>
      <c r="N303" s="5">
        <f>IFERROR(VLOOKUP(I303,[1]INFO_LOCALES!$B:$E,4,FALSE),"")</f>
        <v>1306</v>
      </c>
      <c r="O303" s="5" t="str">
        <f>VLOOKUP(Tabla2[[#This Row],[TIENDA]],[1]INFO_LOCALES!$B:$J,9,0)</f>
        <v>SIN CONVENIO</v>
      </c>
      <c r="P303" s="5" t="str">
        <f>IFERROR(VLOOKUP(I303,[1]INFO_LOCALES!$B:$F,5,FALSE),"")</f>
        <v>AGUAS MAGALLANES S.A.</v>
      </c>
      <c r="Q303" s="5" t="s">
        <v>71</v>
      </c>
      <c r="R303" s="5" t="s">
        <v>86</v>
      </c>
      <c r="S303" s="6" t="s">
        <v>87</v>
      </c>
      <c r="T303" s="5" t="s">
        <v>67</v>
      </c>
      <c r="U303" s="6">
        <v>45551</v>
      </c>
      <c r="V303" s="5" t="s">
        <v>59</v>
      </c>
      <c r="W3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03" s="7">
        <f t="shared" si="9"/>
        <v>2</v>
      </c>
      <c r="Y303" s="5">
        <v>2</v>
      </c>
      <c r="Z303" s="5">
        <v>7.1</v>
      </c>
      <c r="AA303" s="5">
        <v>2</v>
      </c>
      <c r="AB303" s="5">
        <v>8.4</v>
      </c>
      <c r="AC303" s="5">
        <v>379</v>
      </c>
      <c r="AD303" s="5">
        <v>4.5999999999999996</v>
      </c>
      <c r="AE303" s="5">
        <v>8.1999999999999993</v>
      </c>
      <c r="AF303" s="5">
        <v>0.1</v>
      </c>
      <c r="AG303" s="5">
        <v>56</v>
      </c>
      <c r="AH303" s="5">
        <v>12.54</v>
      </c>
      <c r="AI303" s="5">
        <f t="shared" si="10"/>
        <v>376.2</v>
      </c>
    </row>
    <row r="304" spans="1:52" x14ac:dyDescent="0.25">
      <c r="A304" s="5" t="s">
        <v>52</v>
      </c>
      <c r="B304" s="5" t="s">
        <v>74</v>
      </c>
      <c r="C304" s="5" t="s">
        <v>74</v>
      </c>
      <c r="F304" s="5" t="s">
        <v>55</v>
      </c>
      <c r="G304" s="5" t="s">
        <v>61</v>
      </c>
      <c r="H304" s="5" t="s">
        <v>57</v>
      </c>
      <c r="I304" s="5">
        <v>461</v>
      </c>
      <c r="J304" s="5" t="str">
        <f>IFERROR(VLOOKUP(I304,[1]INFO_LOCALES!$B:$C,2,FALSE),"")</f>
        <v>ZENTENO AUSTRAL</v>
      </c>
      <c r="K304" s="5" t="str">
        <f>IFERROR(VLOOKUP(Tabla2[[#This Row],[TIENDA]],[1]INFO_LOCALES!$B:$D,3,FALSE),"")</f>
        <v>XII - Magallanes</v>
      </c>
      <c r="L304" s="5" t="str">
        <f>IFERROR(VLOOKUP(I304,[1]INFO_LOCALES!$B:$I,8,FALSE),"")</f>
        <v>Punta Arenas</v>
      </c>
      <c r="M304" s="5" t="str">
        <f>IFERROR(VLOOKUP(I304,[1]INFO_LOCALES!$B:$H,7,FALSE),"")</f>
        <v>Capitan Guillermo 05</v>
      </c>
      <c r="N304" s="5">
        <f>IFERROR(VLOOKUP(I304,[1]INFO_LOCALES!$B:$E,4,FALSE),"")</f>
        <v>3736</v>
      </c>
      <c r="O304" s="5" t="str">
        <f>VLOOKUP(Tabla2[[#This Row],[TIENDA]],[1]INFO_LOCALES!$B:$J,9,0)</f>
        <v>SIN CONVENIO</v>
      </c>
      <c r="P304" s="5" t="str">
        <f>IFERROR(VLOOKUP(I304,[1]INFO_LOCALES!$B:$F,5,FALSE),"")</f>
        <v>AGUAS MAGALLANES S.A.</v>
      </c>
      <c r="Q304" s="5" t="s">
        <v>71</v>
      </c>
      <c r="R304" s="5" t="s">
        <v>86</v>
      </c>
      <c r="S304" s="6" t="s">
        <v>87</v>
      </c>
      <c r="T304" s="5" t="s">
        <v>67</v>
      </c>
      <c r="U304" s="6">
        <v>45551</v>
      </c>
      <c r="V304" s="5" t="s">
        <v>59</v>
      </c>
      <c r="W3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04" s="7">
        <f t="shared" si="9"/>
        <v>1</v>
      </c>
      <c r="Y304" s="5">
        <v>0.5</v>
      </c>
      <c r="Z304" s="5">
        <v>7.03</v>
      </c>
      <c r="AA304" s="5">
        <v>2</v>
      </c>
      <c r="AB304" s="5">
        <v>7.76</v>
      </c>
      <c r="AC304" s="5">
        <v>14.2</v>
      </c>
      <c r="AD304" s="5">
        <v>0.97</v>
      </c>
      <c r="AE304" s="5">
        <v>1.5</v>
      </c>
      <c r="AF304" s="5">
        <v>0.1</v>
      </c>
      <c r="AG304" s="5">
        <v>5</v>
      </c>
      <c r="AH304" s="5">
        <v>45.14</v>
      </c>
      <c r="AI304" s="5">
        <f t="shared" si="10"/>
        <v>1354.2</v>
      </c>
    </row>
    <row r="305" spans="1:51" x14ac:dyDescent="0.25">
      <c r="A305" s="5" t="s">
        <v>52</v>
      </c>
      <c r="B305" s="5" t="s">
        <v>74</v>
      </c>
      <c r="C305" s="5" t="s">
        <v>74</v>
      </c>
      <c r="F305" s="5" t="s">
        <v>55</v>
      </c>
      <c r="G305" s="5" t="s">
        <v>61</v>
      </c>
      <c r="H305" s="5" t="s">
        <v>57</v>
      </c>
      <c r="I305" s="5">
        <v>465</v>
      </c>
      <c r="J305" s="5" t="str">
        <f>IFERROR(VLOOKUP(I305,[1]INFO_LOCALES!$B:$C,2,FALSE),"")</f>
        <v>PUERTO NATALES</v>
      </c>
      <c r="K305" s="5" t="str">
        <f>IFERROR(VLOOKUP(Tabla2[[#This Row],[TIENDA]],[1]INFO_LOCALES!$B:$D,3,FALSE),"")</f>
        <v>XII - Magallanes</v>
      </c>
      <c r="L305" s="5" t="str">
        <f>IFERROR(VLOOKUP(I305,[1]INFO_LOCALES!$B:$I,8,FALSE),"")</f>
        <v>Puerto Natales</v>
      </c>
      <c r="M305" s="5" t="str">
        <f>IFERROR(VLOOKUP(I305,[1]INFO_LOCALES!$B:$H,7,FALSE),"")</f>
        <v>Bulnes 742</v>
      </c>
      <c r="N305" s="5">
        <f>IFERROR(VLOOKUP(I305,[1]INFO_LOCALES!$B:$E,4,FALSE),"")</f>
        <v>1133</v>
      </c>
      <c r="O305" s="5" t="str">
        <f>VLOOKUP(Tabla2[[#This Row],[TIENDA]],[1]INFO_LOCALES!$B:$J,9,0)</f>
        <v>SIN CONVENIO</v>
      </c>
      <c r="P305" s="5" t="str">
        <f>IFERROR(VLOOKUP(I305,[1]INFO_LOCALES!$B:$F,5,FALSE),"")</f>
        <v>AGUAS MAGALLANES S.A.</v>
      </c>
      <c r="Q305" s="5" t="s">
        <v>71</v>
      </c>
      <c r="R305" s="5" t="s">
        <v>86</v>
      </c>
      <c r="S305" s="6" t="s">
        <v>87</v>
      </c>
      <c r="T305" s="5" t="s">
        <v>67</v>
      </c>
      <c r="U305" s="6">
        <v>45552</v>
      </c>
      <c r="V305" s="5" t="s">
        <v>135</v>
      </c>
      <c r="W3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05" s="7">
        <f t="shared" si="9"/>
        <v>1</v>
      </c>
      <c r="AH305" s="5">
        <v>20.52</v>
      </c>
      <c r="AI305" s="5">
        <f t="shared" si="10"/>
        <v>615.6</v>
      </c>
    </row>
    <row r="306" spans="1:51" x14ac:dyDescent="0.25">
      <c r="A306" s="5" t="s">
        <v>52</v>
      </c>
      <c r="B306" s="5" t="s">
        <v>103</v>
      </c>
      <c r="C306" s="5" t="s">
        <v>77</v>
      </c>
      <c r="F306" s="5" t="s">
        <v>55</v>
      </c>
      <c r="G306" s="5" t="s">
        <v>61</v>
      </c>
      <c r="H306" s="5" t="s">
        <v>57</v>
      </c>
      <c r="I306" s="5">
        <v>46</v>
      </c>
      <c r="J306" s="5" t="str">
        <f>IFERROR(VLOOKUP(I306,[1]INFO_LOCALES!$B:$C,2,FALSE),"")</f>
        <v>CALAMA I</v>
      </c>
      <c r="K306" s="5" t="str">
        <f>IFERROR(VLOOKUP(Tabla2[[#This Row],[TIENDA]],[1]INFO_LOCALES!$B:$D,3,FALSE),"")</f>
        <v>II - Antofagasta</v>
      </c>
      <c r="L306" s="5" t="str">
        <f>IFERROR(VLOOKUP(I306,[1]INFO_LOCALES!$B:$I,8,FALSE),"")</f>
        <v>Calama</v>
      </c>
      <c r="M306" s="5" t="str">
        <f>IFERROR(VLOOKUP(I306,[1]INFO_LOCALES!$B:$H,7,FALSE),"")</f>
        <v>Granaderos 3180</v>
      </c>
      <c r="N306" s="5">
        <f>IFERROR(VLOOKUP(I306,[1]INFO_LOCALES!$B:$E,4,FALSE),"")</f>
        <v>3035</v>
      </c>
      <c r="O306" s="5" t="str">
        <f>VLOOKUP(Tabla2[[#This Row],[TIENDA]],[1]INFO_LOCALES!$B:$J,9,0)</f>
        <v>SIN CONVENIO</v>
      </c>
      <c r="P306" s="5" t="str">
        <f>IFERROR(VLOOKUP(I306,[1]INFO_LOCALES!$B:$F,5,FALSE),"")</f>
        <v>AGUAS DE ANTOFAGASTA S A</v>
      </c>
      <c r="Q306" s="5" t="s">
        <v>85</v>
      </c>
      <c r="R306" s="5" t="s">
        <v>86</v>
      </c>
      <c r="S306" s="6" t="s">
        <v>87</v>
      </c>
      <c r="T306" s="5" t="s">
        <v>67</v>
      </c>
      <c r="U306" s="6">
        <v>45558</v>
      </c>
      <c r="V306" s="5" t="s">
        <v>59</v>
      </c>
      <c r="W3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06" s="7">
        <f t="shared" si="9"/>
        <v>3</v>
      </c>
      <c r="Y306" s="5">
        <v>130</v>
      </c>
      <c r="Z306" s="5">
        <v>7.44</v>
      </c>
      <c r="AA306" s="5">
        <v>60</v>
      </c>
      <c r="AB306" s="5">
        <v>19.100000000000001</v>
      </c>
      <c r="AC306" s="5">
        <v>590</v>
      </c>
      <c r="AD306" s="5">
        <v>11.2</v>
      </c>
      <c r="AE306" s="5">
        <v>36.5</v>
      </c>
      <c r="AF306" s="5">
        <v>3.5</v>
      </c>
      <c r="AG306" s="5">
        <v>908</v>
      </c>
      <c r="AH306" s="5">
        <v>0</v>
      </c>
      <c r="AI306" s="5">
        <f t="shared" si="10"/>
        <v>0</v>
      </c>
    </row>
    <row r="307" spans="1:51" x14ac:dyDescent="0.25">
      <c r="A307" s="5" t="s">
        <v>52</v>
      </c>
      <c r="B307" s="5" t="s">
        <v>103</v>
      </c>
      <c r="C307" s="5" t="s">
        <v>77</v>
      </c>
      <c r="F307" s="5" t="s">
        <v>55</v>
      </c>
      <c r="G307" s="5" t="s">
        <v>61</v>
      </c>
      <c r="H307" s="5" t="s">
        <v>57</v>
      </c>
      <c r="I307" s="5">
        <v>111</v>
      </c>
      <c r="J307" s="5" t="str">
        <f>IFERROR(VLOOKUP(I307,[1]INFO_LOCALES!$B:$C,2,FALSE),"")</f>
        <v>CALAMA II</v>
      </c>
      <c r="K307" s="5" t="str">
        <f>IFERROR(VLOOKUP(Tabla2[[#This Row],[TIENDA]],[1]INFO_LOCALES!$B:$D,3,FALSE),"")</f>
        <v>II - Antofagasta</v>
      </c>
      <c r="L307" s="5" t="str">
        <f>IFERROR(VLOOKUP(I307,[1]INFO_LOCALES!$B:$I,8,FALSE),"")</f>
        <v>Calama</v>
      </c>
      <c r="M307" s="5" t="str">
        <f>IFERROR(VLOOKUP(I307,[1]INFO_LOCALES!$B:$H,7,FALSE),"")</f>
        <v>Aconcagua 2588</v>
      </c>
      <c r="N307" s="5">
        <f>IFERROR(VLOOKUP(I307,[1]INFO_LOCALES!$B:$E,4,FALSE),"")</f>
        <v>2966</v>
      </c>
      <c r="O307" s="5" t="str">
        <f>VLOOKUP(Tabla2[[#This Row],[TIENDA]],[1]INFO_LOCALES!$B:$J,9,0)</f>
        <v>SIN CONVENIO</v>
      </c>
      <c r="P307" s="5" t="str">
        <f>IFERROR(VLOOKUP(I307,[1]INFO_LOCALES!$B:$F,5,FALSE),"")</f>
        <v>AGUAS DE ANTOFAGASTA S A</v>
      </c>
      <c r="Q307" s="5" t="s">
        <v>85</v>
      </c>
      <c r="R307" s="5" t="s">
        <v>86</v>
      </c>
      <c r="S307" s="6" t="s">
        <v>87</v>
      </c>
      <c r="T307" s="5" t="s">
        <v>67</v>
      </c>
      <c r="U307" s="6">
        <v>45558</v>
      </c>
      <c r="V307" s="5" t="s">
        <v>59</v>
      </c>
      <c r="W3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07" s="7">
        <f t="shared" si="9"/>
        <v>2</v>
      </c>
      <c r="Y307" s="5">
        <v>88.9</v>
      </c>
      <c r="Z307" s="5">
        <v>7.81</v>
      </c>
      <c r="AA307" s="5">
        <v>4</v>
      </c>
      <c r="AB307" s="5">
        <v>19.3</v>
      </c>
      <c r="AC307" s="5">
        <v>270</v>
      </c>
      <c r="AD307" s="5">
        <v>4</v>
      </c>
      <c r="AE307" s="5">
        <v>22.42</v>
      </c>
      <c r="AF307" s="5">
        <v>0.5</v>
      </c>
      <c r="AG307" s="5">
        <v>148</v>
      </c>
      <c r="AH307" s="5">
        <v>30.2</v>
      </c>
      <c r="AI307" s="5">
        <f t="shared" si="10"/>
        <v>906</v>
      </c>
      <c r="AJ307" s="5">
        <v>1.89</v>
      </c>
      <c r="AK307" s="5">
        <v>6.7000000000000002E-3</v>
      </c>
      <c r="AL307" s="5">
        <v>6.78</v>
      </c>
      <c r="AM307" s="5">
        <v>4.65E-2</v>
      </c>
      <c r="AN307" s="5">
        <v>0.1</v>
      </c>
      <c r="AO307" s="5">
        <v>0.13800000000000001</v>
      </c>
      <c r="AP307" s="5">
        <v>8.5599999999999996E-2</v>
      </c>
      <c r="AQ307" s="5">
        <v>0.05</v>
      </c>
      <c r="AR307" s="5">
        <v>0.05</v>
      </c>
      <c r="AS307" s="5">
        <v>19.96</v>
      </c>
      <c r="AT307" s="5">
        <v>0.114</v>
      </c>
      <c r="AU307" s="5">
        <v>1E-3</v>
      </c>
      <c r="AV307" s="5">
        <v>0.05</v>
      </c>
      <c r="AW307" s="5">
        <v>0.05</v>
      </c>
      <c r="AX307" s="5">
        <v>140</v>
      </c>
      <c r="AY307" s="5">
        <v>0.5</v>
      </c>
    </row>
    <row r="308" spans="1:51" x14ac:dyDescent="0.25">
      <c r="A308" s="5" t="s">
        <v>52</v>
      </c>
      <c r="B308" s="5" t="s">
        <v>82</v>
      </c>
      <c r="C308" s="5" t="s">
        <v>77</v>
      </c>
      <c r="F308" s="5" t="s">
        <v>55</v>
      </c>
      <c r="G308" s="5" t="s">
        <v>65</v>
      </c>
      <c r="H308" s="5" t="s">
        <v>57</v>
      </c>
      <c r="I308" s="5">
        <v>14</v>
      </c>
      <c r="J308" s="5" t="str">
        <f>IFERROR(VLOOKUP(I308,[1]INFO_LOCALES!$B:$C,2,FALSE),"")</f>
        <v>COPIAPO</v>
      </c>
      <c r="K308" s="5" t="str">
        <f>IFERROR(VLOOKUP(Tabla2[[#This Row],[TIENDA]],[1]INFO_LOCALES!$B:$D,3,FALSE),"")</f>
        <v>III - Atacama</v>
      </c>
      <c r="L308" s="5" t="str">
        <f>IFERROR(VLOOKUP(I308,[1]INFO_LOCALES!$B:$I,8,FALSE),"")</f>
        <v>Copiapó</v>
      </c>
      <c r="M308" s="5" t="str">
        <f>IFERROR(VLOOKUP(I308,[1]INFO_LOCALES!$B:$H,7,FALSE),"")</f>
        <v>Av. Henrriquez N° 523</v>
      </c>
      <c r="N308" s="5">
        <f>IFERROR(VLOOKUP(I308,[1]INFO_LOCALES!$B:$E,4,FALSE),"")</f>
        <v>0</v>
      </c>
      <c r="O308" s="5" t="str">
        <f>VLOOKUP(Tabla2[[#This Row],[TIENDA]],[1]INFO_LOCALES!$B:$J,9,0)</f>
        <v>CONVENIO</v>
      </c>
      <c r="P308" s="5" t="str">
        <f>IFERROR(VLOOKUP(I308,[1]INFO_LOCALES!$B:$F,5,FALSE),"")</f>
        <v>NUEVA ATACAMA</v>
      </c>
      <c r="Q308" s="5" t="s">
        <v>66</v>
      </c>
      <c r="R308" s="5" t="s">
        <v>58</v>
      </c>
      <c r="S308" s="6">
        <v>45629</v>
      </c>
      <c r="T308" s="5" t="str">
        <f>UPPER(IF(Tabla2[[#This Row],[FECHA DE MUESTREO ]]=0,"",TEXT(Tabla2[[#This Row],[FECHA DE MUESTREO ]],("MMMM"))))</f>
        <v>SEPTIEMBRE</v>
      </c>
      <c r="U308" s="6">
        <v>45558</v>
      </c>
      <c r="V308" s="5" t="s">
        <v>59</v>
      </c>
      <c r="W3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08" s="7">
        <f t="shared" si="9"/>
        <v>2</v>
      </c>
      <c r="Y308" s="5">
        <v>10.28</v>
      </c>
      <c r="AA308" s="5">
        <v>9.6999999999999993</v>
      </c>
      <c r="AC308" s="5">
        <v>475</v>
      </c>
      <c r="AD308" s="5">
        <v>3.45</v>
      </c>
      <c r="AE308" s="5">
        <v>31.9</v>
      </c>
      <c r="AF308" s="5">
        <v>0.9</v>
      </c>
      <c r="AG308" s="5">
        <v>42</v>
      </c>
      <c r="AI308" s="5">
        <f t="shared" si="10"/>
        <v>0</v>
      </c>
      <c r="AP308" s="5">
        <v>0.02</v>
      </c>
      <c r="AY308" s="5">
        <v>0.1</v>
      </c>
    </row>
    <row r="309" spans="1:51" x14ac:dyDescent="0.25">
      <c r="A309" s="5" t="s">
        <v>52</v>
      </c>
      <c r="B309" s="5" t="s">
        <v>82</v>
      </c>
      <c r="C309" s="5" t="s">
        <v>77</v>
      </c>
      <c r="F309" s="5" t="s">
        <v>55</v>
      </c>
      <c r="G309" s="5" t="s">
        <v>61</v>
      </c>
      <c r="H309" s="5" t="s">
        <v>57</v>
      </c>
      <c r="I309" s="5">
        <v>23</v>
      </c>
      <c r="J309" s="5" t="str">
        <f>IFERROR(VLOOKUP(I309,[1]INFO_LOCALES!$B:$C,2,FALSE),"")</f>
        <v>LOS CARRERAS</v>
      </c>
      <c r="K309" s="5" t="str">
        <f>IFERROR(VLOOKUP(Tabla2[[#This Row],[TIENDA]],[1]INFO_LOCALES!$B:$D,3,FALSE),"")</f>
        <v>III - Atacama</v>
      </c>
      <c r="L309" s="5" t="str">
        <f>IFERROR(VLOOKUP(I309,[1]INFO_LOCALES!$B:$I,8,FALSE),"")</f>
        <v>Copiapó</v>
      </c>
      <c r="M309" s="5" t="str">
        <f>IFERROR(VLOOKUP(I309,[1]INFO_LOCALES!$B:$H,7,FALSE),"")</f>
        <v>Los Carrera 479</v>
      </c>
      <c r="N309" s="5">
        <f>IFERROR(VLOOKUP(I309,[1]INFO_LOCALES!$B:$E,4,FALSE),"")</f>
        <v>0</v>
      </c>
      <c r="O309" s="5" t="str">
        <f>VLOOKUP(Tabla2[[#This Row],[TIENDA]],[1]INFO_LOCALES!$B:$J,9,0)</f>
        <v>SIN CONVENIO</v>
      </c>
      <c r="P309" s="5" t="str">
        <f>IFERROR(VLOOKUP(I309,[1]INFO_LOCALES!$B:$F,5,FALSE),"")</f>
        <v>NUEVA ATACAMA</v>
      </c>
      <c r="Q309" s="5" t="s">
        <v>66</v>
      </c>
      <c r="R309" s="5" t="s">
        <v>58</v>
      </c>
      <c r="S309" s="6">
        <v>45629</v>
      </c>
      <c r="T309" s="5" t="str">
        <f>UPPER(IF(Tabla2[[#This Row],[FECHA DE MUESTREO ]]=0,"",TEXT(Tabla2[[#This Row],[FECHA DE MUESTREO ]],("MMMM"))))</f>
        <v>SEPTIEMBRE</v>
      </c>
      <c r="U309" s="6">
        <v>45558</v>
      </c>
      <c r="V309" s="5" t="s">
        <v>59</v>
      </c>
      <c r="W3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09" s="7">
        <f t="shared" si="9"/>
        <v>3</v>
      </c>
      <c r="Y309" s="5">
        <v>10.83</v>
      </c>
      <c r="AA309" s="5">
        <v>15</v>
      </c>
      <c r="AC309" s="5">
        <v>601</v>
      </c>
      <c r="AD309" s="5">
        <v>2.13</v>
      </c>
      <c r="AE309" s="5">
        <v>87.5</v>
      </c>
      <c r="AF309" s="5">
        <v>0.9</v>
      </c>
      <c r="AG309" s="5">
        <v>47</v>
      </c>
      <c r="AI309" s="5">
        <f t="shared" si="10"/>
        <v>0</v>
      </c>
      <c r="AP309" s="5">
        <v>0.03</v>
      </c>
      <c r="AY309" s="5">
        <v>0.1</v>
      </c>
    </row>
    <row r="310" spans="1:51" x14ac:dyDescent="0.25">
      <c r="A310" s="5" t="s">
        <v>52</v>
      </c>
      <c r="B310" s="5" t="s">
        <v>93</v>
      </c>
      <c r="C310" s="5" t="s">
        <v>81</v>
      </c>
      <c r="F310" s="5" t="s">
        <v>55</v>
      </c>
      <c r="G310" s="5" t="s">
        <v>61</v>
      </c>
      <c r="H310" s="5" t="s">
        <v>57</v>
      </c>
      <c r="I310" s="5">
        <v>576</v>
      </c>
      <c r="J310" s="5" t="str">
        <f>IFERROR(VLOOKUP(I310,[1]INFO_LOCALES!$B:$C,2,FALSE),"")</f>
        <v>CASTRO I</v>
      </c>
      <c r="K310" s="5" t="str">
        <f>IFERROR(VLOOKUP(Tabla2[[#This Row],[TIENDA]],[1]INFO_LOCALES!$B:$D,3,FALSE),"")</f>
        <v>X - Los Lagos</v>
      </c>
      <c r="L310" s="5" t="str">
        <f>IFERROR(VLOOKUP(I310,[1]INFO_LOCALES!$B:$I,8,FALSE),"")</f>
        <v>Castro</v>
      </c>
      <c r="M310" s="5" t="str">
        <f>IFERROR(VLOOKUP(I310,[1]INFO_LOCALES!$B:$H,7,FALSE),"")</f>
        <v>O'Higgins 711</v>
      </c>
      <c r="N310" s="5">
        <f>IFERROR(VLOOKUP(I310,[1]INFO_LOCALES!$B:$E,4,FALSE),"")</f>
        <v>3875</v>
      </c>
      <c r="O310" s="5" t="str">
        <f>VLOOKUP(Tabla2[[#This Row],[TIENDA]],[1]INFO_LOCALES!$B:$J,9,0)</f>
        <v>SIN CONVENIO</v>
      </c>
      <c r="P310" s="5" t="str">
        <f>IFERROR(VLOOKUP(I310,[1]INFO_LOCALES!$B:$F,5,FALSE),"")</f>
        <v>SURALIS</v>
      </c>
      <c r="Q310" s="5" t="s">
        <v>85</v>
      </c>
      <c r="R310" s="5" t="s">
        <v>86</v>
      </c>
      <c r="S310" s="6" t="s">
        <v>87</v>
      </c>
      <c r="T310" s="5" t="s">
        <v>67</v>
      </c>
      <c r="U310" s="6">
        <v>45559</v>
      </c>
      <c r="V310" s="5" t="s">
        <v>59</v>
      </c>
      <c r="W3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10" s="7">
        <f t="shared" si="9"/>
        <v>3</v>
      </c>
      <c r="Y310" s="5">
        <v>7.1</v>
      </c>
      <c r="Z310" s="5">
        <v>7.1</v>
      </c>
      <c r="AA310" s="5">
        <v>17</v>
      </c>
      <c r="AB310" s="5">
        <v>10.7</v>
      </c>
      <c r="AC310" s="5">
        <v>519</v>
      </c>
      <c r="AD310" s="5">
        <v>25.8</v>
      </c>
      <c r="AE310" s="5">
        <v>137.1</v>
      </c>
      <c r="AF310" s="5">
        <v>1</v>
      </c>
      <c r="AG310" s="5">
        <v>102.5</v>
      </c>
      <c r="AH310" s="5">
        <v>5.7</v>
      </c>
      <c r="AI310" s="5">
        <f t="shared" si="10"/>
        <v>171</v>
      </c>
    </row>
    <row r="311" spans="1:51" x14ac:dyDescent="0.25">
      <c r="A311" s="5" t="s">
        <v>52</v>
      </c>
      <c r="B311" s="5" t="s">
        <v>74</v>
      </c>
      <c r="C311" s="5" t="s">
        <v>74</v>
      </c>
      <c r="F311" s="5" t="s">
        <v>55</v>
      </c>
      <c r="G311" s="5" t="s">
        <v>61</v>
      </c>
      <c r="H311" s="5" t="s">
        <v>57</v>
      </c>
      <c r="I311" s="5">
        <v>459</v>
      </c>
      <c r="J311" s="5" t="str">
        <f>IFERROR(VLOOKUP(I311,[1]INFO_LOCALES!$B:$C,2,FALSE),"")</f>
        <v>ALLENDE AUSTRAL</v>
      </c>
      <c r="K311" s="5" t="str">
        <f>IFERROR(VLOOKUP(Tabla2[[#This Row],[TIENDA]],[1]INFO_LOCALES!$B:$D,3,FALSE),"")</f>
        <v>XII - Magallanes</v>
      </c>
      <c r="L311" s="5" t="str">
        <f>IFERROR(VLOOKUP(I311,[1]INFO_LOCALES!$B:$I,8,FALSE),"")</f>
        <v>Punta Arenas</v>
      </c>
      <c r="M311" s="5" t="str">
        <f>IFERROR(VLOOKUP(I311,[1]INFO_LOCALES!$B:$H,7,FALSE),"")</f>
        <v>Salvador Allende 0399</v>
      </c>
      <c r="N311" s="5">
        <f>IFERROR(VLOOKUP(I311,[1]INFO_LOCALES!$B:$E,4,FALSE),"")</f>
        <v>3735</v>
      </c>
      <c r="O311" s="5" t="str">
        <f>VLOOKUP(Tabla2[[#This Row],[TIENDA]],[1]INFO_LOCALES!$B:$J,9,0)</f>
        <v>SIN CONVENIO</v>
      </c>
      <c r="P311" s="5" t="str">
        <f>IFERROR(VLOOKUP(I311,[1]INFO_LOCALES!$B:$F,5,FALSE),"")</f>
        <v>AGUAS MAGALLANES S.A.</v>
      </c>
      <c r="Q311" s="5" t="s">
        <v>71</v>
      </c>
      <c r="R311" s="5" t="s">
        <v>86</v>
      </c>
      <c r="S311" s="6" t="s">
        <v>87</v>
      </c>
      <c r="T311" s="5" t="s">
        <v>67</v>
      </c>
      <c r="U311" s="6">
        <v>45559</v>
      </c>
      <c r="V311" s="5" t="s">
        <v>59</v>
      </c>
      <c r="W3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11" s="7">
        <f t="shared" si="9"/>
        <v>1</v>
      </c>
      <c r="Y311" s="5">
        <v>1.2</v>
      </c>
      <c r="Z311" s="5">
        <v>6.5</v>
      </c>
      <c r="AA311" s="5">
        <v>2</v>
      </c>
      <c r="AB311" s="5">
        <v>5.7</v>
      </c>
      <c r="AC311" s="5">
        <v>10.3</v>
      </c>
      <c r="AD311" s="5">
        <v>0.2</v>
      </c>
      <c r="AE311" s="5">
        <v>0.46</v>
      </c>
      <c r="AF311" s="5">
        <v>0.3</v>
      </c>
      <c r="AG311" s="5">
        <v>14</v>
      </c>
      <c r="AH311" s="5">
        <v>2</v>
      </c>
      <c r="AI311" s="5">
        <f t="shared" si="10"/>
        <v>60</v>
      </c>
    </row>
    <row r="312" spans="1:51" x14ac:dyDescent="0.25">
      <c r="A312" s="5" t="s">
        <v>52</v>
      </c>
      <c r="B312" s="5" t="s">
        <v>74</v>
      </c>
      <c r="C312" s="5" t="s">
        <v>74</v>
      </c>
      <c r="F312" s="5" t="s">
        <v>55</v>
      </c>
      <c r="G312" s="5" t="s">
        <v>61</v>
      </c>
      <c r="H312" s="5" t="s">
        <v>57</v>
      </c>
      <c r="I312" s="5">
        <v>463</v>
      </c>
      <c r="J312" s="5" t="str">
        <f>IFERROR(VLOOKUP(I312,[1]INFO_LOCALES!$B:$C,2,FALSE),"")</f>
        <v>BORIES AUSTRAL</v>
      </c>
      <c r="K312" s="5" t="str">
        <f>IFERROR(VLOOKUP(Tabla2[[#This Row],[TIENDA]],[1]INFO_LOCALES!$B:$D,3,FALSE),"")</f>
        <v>XII - Magallanes</v>
      </c>
      <c r="L312" s="5" t="str">
        <f>IFERROR(VLOOKUP(I312,[1]INFO_LOCALES!$B:$I,8,FALSE),"")</f>
        <v>Punta Arenas</v>
      </c>
      <c r="M312" s="5" t="str">
        <f>IFERROR(VLOOKUP(I312,[1]INFO_LOCALES!$B:$H,7,FALSE),"")</f>
        <v>Gobernador Bories 647</v>
      </c>
      <c r="N312" s="5">
        <f>IFERROR(VLOOKUP(I312,[1]INFO_LOCALES!$B:$E,4,FALSE),"")</f>
        <v>3739</v>
      </c>
      <c r="O312" s="5" t="str">
        <f>VLOOKUP(Tabla2[[#This Row],[TIENDA]],[1]INFO_LOCALES!$B:$J,9,0)</f>
        <v>SIN CONVENIO</v>
      </c>
      <c r="P312" s="5" t="str">
        <f>IFERROR(VLOOKUP(I312,[1]INFO_LOCALES!$B:$F,5,FALSE),"")</f>
        <v>AGUAS MAGALLANES S.A.</v>
      </c>
      <c r="Q312" s="5" t="s">
        <v>71</v>
      </c>
      <c r="R312" s="5" t="s">
        <v>86</v>
      </c>
      <c r="S312" s="6" t="s">
        <v>87</v>
      </c>
      <c r="T312" s="5" t="s">
        <v>67</v>
      </c>
      <c r="U312" s="6">
        <v>45559</v>
      </c>
      <c r="V312" s="5" t="s">
        <v>59</v>
      </c>
      <c r="W3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12" s="7">
        <f t="shared" si="9"/>
        <v>1</v>
      </c>
      <c r="Y312" s="5">
        <v>0.5</v>
      </c>
      <c r="Z312" s="5">
        <v>6.99</v>
      </c>
      <c r="AA312" s="5">
        <v>2</v>
      </c>
      <c r="AB312" s="5">
        <v>6.18</v>
      </c>
      <c r="AC312" s="5">
        <v>14</v>
      </c>
      <c r="AD312" s="5">
        <v>0.35</v>
      </c>
      <c r="AE312" s="5">
        <v>1.1000000000000001</v>
      </c>
      <c r="AF312" s="5">
        <v>0.6</v>
      </c>
      <c r="AG312" s="5">
        <v>24</v>
      </c>
      <c r="AH312" s="5">
        <v>6</v>
      </c>
      <c r="AI312" s="5">
        <f t="shared" si="10"/>
        <v>180</v>
      </c>
    </row>
    <row r="313" spans="1:51" x14ac:dyDescent="0.25">
      <c r="A313" s="5" t="s">
        <v>52</v>
      </c>
      <c r="B313" s="5" t="s">
        <v>128</v>
      </c>
      <c r="C313" s="5" t="s">
        <v>77</v>
      </c>
      <c r="F313" s="5" t="s">
        <v>55</v>
      </c>
      <c r="G313" s="5" t="s">
        <v>61</v>
      </c>
      <c r="H313" s="5" t="s">
        <v>57</v>
      </c>
      <c r="I313" s="5">
        <v>5</v>
      </c>
      <c r="J313" s="5" t="str">
        <f>IFERROR(VLOOKUP(I313,[1]INFO_LOCALES!$B:$C,2,FALSE),"")</f>
        <v>LAS COMPAÑIAS</v>
      </c>
      <c r="K313" s="5" t="str">
        <f>IFERROR(VLOOKUP(Tabla2[[#This Row],[TIENDA]],[1]INFO_LOCALES!$B:$D,3,FALSE),"")</f>
        <v>IV - Coquimbo</v>
      </c>
      <c r="L313" s="5" t="str">
        <f>IFERROR(VLOOKUP(I313,[1]INFO_LOCALES!$B:$I,8,FALSE),"")</f>
        <v>La Serena</v>
      </c>
      <c r="M313" s="5" t="str">
        <f>IFERROR(VLOOKUP(I313,[1]INFO_LOCALES!$B:$H,7,FALSE),"")</f>
        <v>Nicaragua 1571</v>
      </c>
      <c r="N313" s="5">
        <f>IFERROR(VLOOKUP(I313,[1]INFO_LOCALES!$B:$E,4,FALSE),"")</f>
        <v>2644</v>
      </c>
      <c r="O313" s="5" t="str">
        <f>VLOOKUP(Tabla2[[#This Row],[TIENDA]],[1]INFO_LOCALES!$B:$J,9,0)</f>
        <v>SIN CONVENIO</v>
      </c>
      <c r="P313" s="5" t="str">
        <f>IFERROR(VLOOKUP(I313,[1]INFO_LOCALES!$B:$F,5,FALSE),"")</f>
        <v>AGUAS DEL VALLE S A</v>
      </c>
      <c r="Q313" s="5" t="s">
        <v>85</v>
      </c>
      <c r="R313" s="5" t="s">
        <v>86</v>
      </c>
      <c r="S313" s="6" t="s">
        <v>87</v>
      </c>
      <c r="T313" s="5" t="s">
        <v>67</v>
      </c>
      <c r="U313" s="6">
        <v>45559</v>
      </c>
      <c r="V313" s="5" t="s">
        <v>59</v>
      </c>
      <c r="W3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13" s="7">
        <f t="shared" si="9"/>
        <v>3</v>
      </c>
      <c r="Y313" s="5">
        <v>2</v>
      </c>
      <c r="Z313" s="5">
        <v>8.1</v>
      </c>
      <c r="AA313" s="5">
        <v>17</v>
      </c>
      <c r="AB313" s="5">
        <v>17.2</v>
      </c>
      <c r="AC313" s="5">
        <v>249</v>
      </c>
      <c r="AD313" s="5">
        <v>10.6</v>
      </c>
      <c r="AE313" s="5">
        <v>43.25</v>
      </c>
      <c r="AF313" s="5">
        <v>0.5</v>
      </c>
      <c r="AG313" s="5">
        <v>29</v>
      </c>
      <c r="AH313" s="5">
        <v>1.2</v>
      </c>
      <c r="AI313" s="5">
        <f t="shared" si="10"/>
        <v>36</v>
      </c>
    </row>
    <row r="314" spans="1:51" x14ac:dyDescent="0.25">
      <c r="A314" s="5" t="s">
        <v>52</v>
      </c>
      <c r="B314" s="5" t="s">
        <v>82</v>
      </c>
      <c r="C314" s="5" t="s">
        <v>77</v>
      </c>
      <c r="F314" s="5" t="s">
        <v>55</v>
      </c>
      <c r="G314" s="5" t="s">
        <v>56</v>
      </c>
      <c r="H314" s="5" t="s">
        <v>57</v>
      </c>
      <c r="I314" s="5">
        <v>22</v>
      </c>
      <c r="J314" s="5" t="str">
        <f>IFERROR(VLOOKUP(I314,[1]INFO_LOCALES!$B:$C,2,FALSE),"")</f>
        <v>ATACAMA</v>
      </c>
      <c r="K314" s="5" t="str">
        <f>IFERROR(VLOOKUP(Tabla2[[#This Row],[TIENDA]],[1]INFO_LOCALES!$B:$D,3,FALSE),"")</f>
        <v>III - Atacama</v>
      </c>
      <c r="L314" s="5" t="str">
        <f>IFERROR(VLOOKUP(I314,[1]INFO_LOCALES!$B:$I,8,FALSE),"")</f>
        <v>Copiapó</v>
      </c>
      <c r="M314" s="5" t="str">
        <f>IFERROR(VLOOKUP(I314,[1]INFO_LOCALES!$B:$H,7,FALSE),"")</f>
        <v>Los Carreras 2242</v>
      </c>
      <c r="N314" s="5">
        <f>IFERROR(VLOOKUP(I314,[1]INFO_LOCALES!$B:$E,4,FALSE),"")</f>
        <v>2666</v>
      </c>
      <c r="O314" s="5" t="str">
        <f>VLOOKUP(Tabla2[[#This Row],[TIENDA]],[1]INFO_LOCALES!$B:$J,9,0)</f>
        <v>CONVENIO</v>
      </c>
      <c r="P314" s="5" t="str">
        <f>IFERROR(VLOOKUP(I314,[1]INFO_LOCALES!$B:$F,5,FALSE),"")</f>
        <v>NUEVA ATACAMA</v>
      </c>
      <c r="Q314" s="5" t="s">
        <v>66</v>
      </c>
      <c r="R314" s="5" t="s">
        <v>58</v>
      </c>
      <c r="S314" s="6">
        <v>45629</v>
      </c>
      <c r="T314" s="5" t="str">
        <f>UPPER(IF(Tabla2[[#This Row],[FECHA DE MUESTREO ]]=0,"",TEXT(Tabla2[[#This Row],[FECHA DE MUESTREO ]],("MMMM"))))</f>
        <v>SEPTIEMBRE</v>
      </c>
      <c r="U314" s="6">
        <v>45559</v>
      </c>
      <c r="V314" s="5" t="s">
        <v>59</v>
      </c>
      <c r="W3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14" s="7">
        <f t="shared" si="9"/>
        <v>3</v>
      </c>
      <c r="Y314" s="5">
        <v>20.7</v>
      </c>
      <c r="AA314" s="5">
        <v>15</v>
      </c>
      <c r="AC314" s="5">
        <v>280</v>
      </c>
      <c r="AD314" s="5">
        <v>4.34</v>
      </c>
      <c r="AE314" s="5">
        <v>40.4</v>
      </c>
      <c r="AF314" s="5">
        <v>0.9</v>
      </c>
      <c r="AG314" s="5">
        <v>158.57</v>
      </c>
      <c r="AI314" s="5">
        <f t="shared" si="10"/>
        <v>0</v>
      </c>
      <c r="AP314" s="5">
        <v>0.09</v>
      </c>
      <c r="AY314" s="5">
        <v>0.1</v>
      </c>
    </row>
    <row r="315" spans="1:51" x14ac:dyDescent="0.25">
      <c r="A315" s="5" t="s">
        <v>52</v>
      </c>
      <c r="B315" s="5" t="s">
        <v>82</v>
      </c>
      <c r="C315" s="5" t="s">
        <v>77</v>
      </c>
      <c r="F315" s="5" t="s">
        <v>55</v>
      </c>
      <c r="G315" s="5" t="s">
        <v>65</v>
      </c>
      <c r="H315" s="5" t="s">
        <v>57</v>
      </c>
      <c r="I315" s="5">
        <v>32</v>
      </c>
      <c r="J315" s="5" t="str">
        <f>IFERROR(VLOOKUP(I315,[1]INFO_LOCALES!$B:$C,2,FALSE),"")</f>
        <v>CHAÑARCILLO</v>
      </c>
      <c r="K315" s="5" t="str">
        <f>IFERROR(VLOOKUP(Tabla2[[#This Row],[TIENDA]],[1]INFO_LOCALES!$B:$D,3,FALSE),"")</f>
        <v>III - Atacama</v>
      </c>
      <c r="L315" s="5" t="str">
        <f>IFERROR(VLOOKUP(I315,[1]INFO_LOCALES!$B:$I,8,FALSE),"")</f>
        <v>Copiapó</v>
      </c>
      <c r="M315" s="5" t="str">
        <f>IFERROR(VLOOKUP(I315,[1]INFO_LOCALES!$B:$H,7,FALSE),"")</f>
        <v>Chacabuco Nº 231</v>
      </c>
      <c r="N315" s="5">
        <f>IFERROR(VLOOKUP(I315,[1]INFO_LOCALES!$B:$E,4,FALSE),"")</f>
        <v>0</v>
      </c>
      <c r="O315" s="5" t="str">
        <f>VLOOKUP(Tabla2[[#This Row],[TIENDA]],[1]INFO_LOCALES!$B:$J,9,0)</f>
        <v>CONVENIO</v>
      </c>
      <c r="P315" s="5" t="str">
        <f>IFERROR(VLOOKUP(I315,[1]INFO_LOCALES!$B:$F,5,FALSE),"")</f>
        <v>NUEVA ATACAMA</v>
      </c>
      <c r="Q315" s="5" t="s">
        <v>66</v>
      </c>
      <c r="R315" s="5" t="s">
        <v>58</v>
      </c>
      <c r="S315" s="6">
        <v>45629</v>
      </c>
      <c r="T315" s="5" t="str">
        <f>UPPER(IF(Tabla2[[#This Row],[FECHA DE MUESTREO ]]=0,"",TEXT(Tabla2[[#This Row],[FECHA DE MUESTREO ]],("MMMM"))))</f>
        <v>SEPTIEMBRE</v>
      </c>
      <c r="U315" s="6">
        <v>45559</v>
      </c>
      <c r="V315" s="5" t="s">
        <v>59</v>
      </c>
      <c r="W3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15" s="7">
        <f t="shared" si="9"/>
        <v>1</v>
      </c>
      <c r="Y315" s="5">
        <v>4.71</v>
      </c>
      <c r="AA315" s="5">
        <v>7</v>
      </c>
      <c r="AC315" s="5">
        <v>241</v>
      </c>
      <c r="AD315" s="5">
        <v>3.8</v>
      </c>
      <c r="AE315" s="5">
        <v>32.200000000000003</v>
      </c>
      <c r="AF315" s="5">
        <v>0.9</v>
      </c>
      <c r="AG315" s="5">
        <v>110</v>
      </c>
      <c r="AI315" s="5">
        <f t="shared" si="10"/>
        <v>0</v>
      </c>
      <c r="AP315" s="5">
        <v>0.05</v>
      </c>
      <c r="AY315" s="5">
        <v>0.1</v>
      </c>
    </row>
    <row r="316" spans="1:51" x14ac:dyDescent="0.25">
      <c r="A316" s="5" t="s">
        <v>52</v>
      </c>
      <c r="B316" s="5" t="s">
        <v>76</v>
      </c>
      <c r="C316" s="5" t="s">
        <v>77</v>
      </c>
      <c r="F316" s="5" t="s">
        <v>55</v>
      </c>
      <c r="G316" s="5" t="s">
        <v>61</v>
      </c>
      <c r="H316" s="5" t="s">
        <v>57</v>
      </c>
      <c r="I316" s="5">
        <v>103</v>
      </c>
      <c r="J316" s="5" t="str">
        <f>IFERROR(VLOOKUP(I316,[1]INFO_LOCALES!$B:$C,2,FALSE),"")</f>
        <v>VIVAR</v>
      </c>
      <c r="K316" s="5" t="str">
        <f>IFERROR(VLOOKUP(Tabla2[[#This Row],[TIENDA]],[1]INFO_LOCALES!$B:$D,3,FALSE),"")</f>
        <v>I - Tarapacá</v>
      </c>
      <c r="L316" s="5" t="str">
        <f>IFERROR(VLOOKUP(I316,[1]INFO_LOCALES!$B:$I,8,FALSE),"")</f>
        <v>Iquique</v>
      </c>
      <c r="M316" s="5" t="str">
        <f>IFERROR(VLOOKUP(I316,[1]INFO_LOCALES!$B:$H,7,FALSE),"")</f>
        <v>Vivar 786</v>
      </c>
      <c r="N316" s="5">
        <f>IFERROR(VLOOKUP(I316,[1]INFO_LOCALES!$B:$E,4,FALSE),"")</f>
        <v>4420</v>
      </c>
      <c r="O316" s="5" t="str">
        <f>VLOOKUP(Tabla2[[#This Row],[TIENDA]],[1]INFO_LOCALES!$B:$J,9,0)</f>
        <v>CONVENIO</v>
      </c>
      <c r="P316" s="5" t="str">
        <f>IFERROR(VLOOKUP(I316,[1]INFO_LOCALES!$B:$F,5,FALSE),"")</f>
        <v>AGUAS DEL ALTIPLANO S.A.</v>
      </c>
      <c r="Q316" s="5" t="s">
        <v>85</v>
      </c>
      <c r="R316" s="5" t="s">
        <v>86</v>
      </c>
      <c r="S316" s="6" t="s">
        <v>87</v>
      </c>
      <c r="T316" s="5" t="s">
        <v>67</v>
      </c>
      <c r="U316" s="6">
        <v>45560</v>
      </c>
      <c r="V316" s="5" t="s">
        <v>118</v>
      </c>
      <c r="W3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16" s="7">
        <f t="shared" si="9"/>
        <v>3</v>
      </c>
      <c r="Y316" s="5">
        <v>13.4</v>
      </c>
      <c r="Z316" s="5">
        <v>6.76</v>
      </c>
      <c r="AA316" s="5">
        <v>2</v>
      </c>
      <c r="AB316" s="5">
        <v>21.39</v>
      </c>
      <c r="AC316" s="5">
        <v>90</v>
      </c>
      <c r="AD316" s="5">
        <v>5.5</v>
      </c>
      <c r="AE316" s="5">
        <v>76.400000000000006</v>
      </c>
      <c r="AF316" s="5">
        <v>0.5</v>
      </c>
      <c r="AG316" s="5">
        <v>35</v>
      </c>
      <c r="AH316" s="5">
        <v>8.5</v>
      </c>
      <c r="AI316" s="5">
        <f t="shared" si="10"/>
        <v>255</v>
      </c>
      <c r="AJ316" s="5">
        <v>0.1</v>
      </c>
      <c r="AK316" s="5">
        <v>2E-3</v>
      </c>
      <c r="AL316" s="5">
        <v>34.799999999999997</v>
      </c>
      <c r="AM316" s="5">
        <v>2.71</v>
      </c>
      <c r="AN316" s="5">
        <v>0.1</v>
      </c>
      <c r="AO316" s="5">
        <v>0.78100000000000003</v>
      </c>
      <c r="AP316" s="5">
        <v>0.05</v>
      </c>
      <c r="AQ316" s="5">
        <v>0.05</v>
      </c>
      <c r="AR316" s="5">
        <v>0.05</v>
      </c>
      <c r="AS316" s="5">
        <v>10</v>
      </c>
      <c r="AT316" s="5">
        <v>0.81</v>
      </c>
      <c r="AU316" s="5">
        <v>1E-3</v>
      </c>
      <c r="AV316" s="5">
        <v>3.75</v>
      </c>
      <c r="AW316" s="5">
        <v>0.05</v>
      </c>
      <c r="AX316" s="5">
        <v>375</v>
      </c>
      <c r="AY316" s="5">
        <v>0.5</v>
      </c>
    </row>
    <row r="317" spans="1:51" x14ac:dyDescent="0.25">
      <c r="A317" s="5" t="s">
        <v>52</v>
      </c>
      <c r="B317" s="5" t="e">
        <v>#N/A</v>
      </c>
      <c r="C317" s="5" t="e">
        <v>#N/A</v>
      </c>
      <c r="F317" s="5" t="s">
        <v>55</v>
      </c>
      <c r="G317" s="5" t="s">
        <v>61</v>
      </c>
      <c r="H317" s="5" t="s">
        <v>57</v>
      </c>
      <c r="I317" s="5">
        <v>9139</v>
      </c>
      <c r="J317" s="5" t="str">
        <f>IFERROR(VLOOKUP(I317,[1]INFO_LOCALES!$B:$C,2,FALSE),"")</f>
        <v>CD LO AGUIRRE</v>
      </c>
      <c r="K317" s="5" t="str">
        <f>IFERROR(VLOOKUP(Tabla2[[#This Row],[TIENDA]],[1]INFO_LOCALES!$B:$D,3,FALSE),"")</f>
        <v>RM - Santiago</v>
      </c>
      <c r="L317" s="5" t="str">
        <f>IFERROR(VLOOKUP(I317,[1]INFO_LOCALES!$B:$I,8,FALSE),"")</f>
        <v>Pudahuel</v>
      </c>
      <c r="M317" s="5" t="str">
        <f>IFERROR(VLOOKUP(I317,[1]INFO_LOCALES!$B:$H,7,FALSE),"")</f>
        <v>CAMINO LO AGUIRRE SUR 537</v>
      </c>
      <c r="N317" s="5">
        <f>IFERROR(VLOOKUP(I317,[1]INFO_LOCALES!$B:$E,4,FALSE),"")</f>
        <v>3552</v>
      </c>
      <c r="O317" s="5" t="str">
        <f>VLOOKUP(Tabla2[[#This Row],[TIENDA]],[1]INFO_LOCALES!$B:$J,9,0)</f>
        <v>SIN CONVENIO</v>
      </c>
      <c r="P317" s="5" t="str">
        <f>IFERROR(VLOOKUP(I317,[1]INFO_LOCALES!$B:$F,5,FALSE),"")</f>
        <v>AGUAS IZARRA</v>
      </c>
      <c r="Q317" s="5" t="s">
        <v>85</v>
      </c>
      <c r="R317" s="5" t="s">
        <v>86</v>
      </c>
      <c r="S317" s="6" t="s">
        <v>87</v>
      </c>
      <c r="T317" s="5" t="s">
        <v>67</v>
      </c>
      <c r="U317" s="6">
        <v>45560</v>
      </c>
      <c r="V317" s="5" t="s">
        <v>59</v>
      </c>
      <c r="W3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17" s="7">
        <f t="shared" si="9"/>
        <v>1</v>
      </c>
      <c r="Y317" s="5">
        <v>10.7</v>
      </c>
      <c r="Z317" s="5">
        <v>7</v>
      </c>
      <c r="AA317" s="5">
        <v>2</v>
      </c>
      <c r="AB317" s="5">
        <v>18.75</v>
      </c>
      <c r="AC317" s="5">
        <v>31</v>
      </c>
      <c r="AD317" s="5">
        <v>4.8</v>
      </c>
      <c r="AE317" s="5">
        <v>32.5</v>
      </c>
      <c r="AF317" s="5">
        <v>0.8</v>
      </c>
      <c r="AG317" s="5">
        <v>19.399999999999999</v>
      </c>
      <c r="AH317" s="5">
        <v>227.52</v>
      </c>
      <c r="AI317" s="5">
        <f t="shared" si="10"/>
        <v>6825.6</v>
      </c>
      <c r="AS317" s="5">
        <v>10</v>
      </c>
    </row>
    <row r="318" spans="1:51" x14ac:dyDescent="0.25">
      <c r="A318" s="5" t="s">
        <v>52</v>
      </c>
      <c r="B318" s="5" t="s">
        <v>82</v>
      </c>
      <c r="C318" s="5" t="s">
        <v>77</v>
      </c>
      <c r="F318" s="5" t="s">
        <v>55</v>
      </c>
      <c r="G318" s="5" t="s">
        <v>61</v>
      </c>
      <c r="H318" s="5" t="s">
        <v>57</v>
      </c>
      <c r="I318" s="5">
        <v>25</v>
      </c>
      <c r="J318" s="5" t="str">
        <f>IFERROR(VLOOKUP(I318,[1]INFO_LOCALES!$B:$C,2,FALSE),"")</f>
        <v>EL PALOMAR</v>
      </c>
      <c r="K318" s="5" t="str">
        <f>IFERROR(VLOOKUP(Tabla2[[#This Row],[TIENDA]],[1]INFO_LOCALES!$B:$D,3,FALSE),"")</f>
        <v>III - Atacama</v>
      </c>
      <c r="L318" s="5" t="str">
        <f>IFERROR(VLOOKUP(I318,[1]INFO_LOCALES!$B:$I,8,FALSE),"")</f>
        <v>Copiapó</v>
      </c>
      <c r="M318" s="5" t="str">
        <f>IFERROR(VLOOKUP(I318,[1]INFO_LOCALES!$B:$H,7,FALSE),"")</f>
        <v>Av. Palomar 1525</v>
      </c>
      <c r="N318" s="5">
        <f>IFERROR(VLOOKUP(I318,[1]INFO_LOCALES!$B:$E,4,FALSE),"")</f>
        <v>3868</v>
      </c>
      <c r="O318" s="5" t="str">
        <f>VLOOKUP(Tabla2[[#This Row],[TIENDA]],[1]INFO_LOCALES!$B:$J,9,0)</f>
        <v>TERMINADO</v>
      </c>
      <c r="P318" s="5" t="str">
        <f>IFERROR(VLOOKUP(I318,[1]INFO_LOCALES!$B:$F,5,FALSE),"")</f>
        <v>NUEVA ATACAMA</v>
      </c>
      <c r="Q318" s="5" t="s">
        <v>85</v>
      </c>
      <c r="R318" s="5" t="s">
        <v>86</v>
      </c>
      <c r="S318" s="6" t="s">
        <v>87</v>
      </c>
      <c r="T318" s="5" t="s">
        <v>67</v>
      </c>
      <c r="U318" s="6">
        <v>45561</v>
      </c>
      <c r="V318" s="5" t="s">
        <v>59</v>
      </c>
      <c r="W3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18" s="7">
        <f t="shared" si="9"/>
        <v>1</v>
      </c>
      <c r="Y318" s="5">
        <v>14.5</v>
      </c>
      <c r="Z318" s="5">
        <v>7.36</v>
      </c>
      <c r="AA318" s="5">
        <v>2</v>
      </c>
      <c r="AB318" s="5">
        <v>22.96</v>
      </c>
      <c r="AC318" s="5">
        <v>242</v>
      </c>
      <c r="AD318" s="5">
        <v>8.6</v>
      </c>
      <c r="AE318" s="5">
        <v>45.1</v>
      </c>
      <c r="AF318" s="5">
        <v>0.5</v>
      </c>
      <c r="AG318" s="5">
        <v>58</v>
      </c>
      <c r="AH318" s="5">
        <v>31.68</v>
      </c>
      <c r="AI318" s="5">
        <f t="shared" si="10"/>
        <v>950.4</v>
      </c>
    </row>
    <row r="319" spans="1:51" x14ac:dyDescent="0.25">
      <c r="A319" s="5" t="s">
        <v>52</v>
      </c>
      <c r="B319" s="5" t="s">
        <v>128</v>
      </c>
      <c r="C319" s="5" t="s">
        <v>77</v>
      </c>
      <c r="F319" s="5" t="s">
        <v>55</v>
      </c>
      <c r="G319" s="5" t="s">
        <v>61</v>
      </c>
      <c r="H319" s="5" t="s">
        <v>57</v>
      </c>
      <c r="I319" s="5">
        <v>17</v>
      </c>
      <c r="J319" s="5" t="str">
        <f>IFERROR(VLOOKUP(I319,[1]INFO_LOCALES!$B:$C,2,FALSE),"")</f>
        <v>LOS ALAMOS</v>
      </c>
      <c r="K319" s="5" t="str">
        <f>IFERROR(VLOOKUP(Tabla2[[#This Row],[TIENDA]],[1]INFO_LOCALES!$B:$D,3,FALSE),"")</f>
        <v>IV - Coquimbo</v>
      </c>
      <c r="L319" s="5" t="str">
        <f>IFERROR(VLOOKUP(I319,[1]INFO_LOCALES!$B:$I,8,FALSE),"")</f>
        <v>Coquimbo</v>
      </c>
      <c r="M319" s="5" t="str">
        <f>IFERROR(VLOOKUP(I319,[1]INFO_LOCALES!$B:$H,7,FALSE),"")</f>
        <v>Los Alamos 580</v>
      </c>
      <c r="N319" s="5">
        <f>IFERROR(VLOOKUP(I319,[1]INFO_LOCALES!$B:$E,4,FALSE),"")</f>
        <v>2643</v>
      </c>
      <c r="O319" s="5" t="str">
        <f>VLOOKUP(Tabla2[[#This Row],[TIENDA]],[1]INFO_LOCALES!$B:$J,9,0)</f>
        <v>TERMINADO</v>
      </c>
      <c r="P319" s="5" t="str">
        <f>IFERROR(VLOOKUP(I319,[1]INFO_LOCALES!$B:$F,5,FALSE),"")</f>
        <v>AGUAS DEL VALLE S A</v>
      </c>
      <c r="Q319" s="5" t="s">
        <v>85</v>
      </c>
      <c r="R319" s="5" t="s">
        <v>86</v>
      </c>
      <c r="S319" s="6" t="s">
        <v>87</v>
      </c>
      <c r="T319" s="5" t="s">
        <v>67</v>
      </c>
      <c r="U319" s="6">
        <v>45561</v>
      </c>
      <c r="V319" s="5" t="s">
        <v>59</v>
      </c>
      <c r="W3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19" s="7">
        <f t="shared" si="9"/>
        <v>1</v>
      </c>
      <c r="Y319" s="5">
        <v>5.9</v>
      </c>
      <c r="Z319" s="5">
        <v>8.0500000000000007</v>
      </c>
      <c r="AA319" s="5">
        <v>5</v>
      </c>
      <c r="AB319" s="5">
        <v>22.58</v>
      </c>
      <c r="AC319" s="5">
        <v>254</v>
      </c>
      <c r="AD319" s="5">
        <v>4.5</v>
      </c>
      <c r="AE319" s="5">
        <v>12.18</v>
      </c>
      <c r="AF319" s="5">
        <v>2.5</v>
      </c>
      <c r="AG319" s="5">
        <v>181</v>
      </c>
      <c r="AH319" s="5">
        <v>23.04</v>
      </c>
      <c r="AI319" s="5">
        <f t="shared" si="10"/>
        <v>691.19999999999993</v>
      </c>
    </row>
    <row r="320" spans="1:51" x14ac:dyDescent="0.25">
      <c r="A320" s="5" t="s">
        <v>60</v>
      </c>
      <c r="B320" s="5" t="e">
        <v>#N/A</v>
      </c>
      <c r="C320" s="5" t="e">
        <v>#N/A</v>
      </c>
      <c r="F320" s="5" t="s">
        <v>55</v>
      </c>
      <c r="G320" s="5" t="s">
        <v>61</v>
      </c>
      <c r="H320" s="5" t="s">
        <v>57</v>
      </c>
      <c r="I320" s="5">
        <v>3143</v>
      </c>
      <c r="J320" s="5" t="str">
        <f>IFERROR(VLOOKUP(I320,[1]INFO_LOCALES!$B:$C,2,FALSE),"")</f>
        <v>M10 TEMUCO IV</v>
      </c>
      <c r="K320" s="5" t="str">
        <f>IFERROR(VLOOKUP(Tabla2[[#This Row],[TIENDA]],[1]INFO_LOCALES!$B:$D,3,FALSE),"")</f>
        <v>IX - Araucanía</v>
      </c>
      <c r="L320" s="5" t="str">
        <f>IFERROR(VLOOKUP(I320,[1]INFO_LOCALES!$B:$I,8,FALSE),"")</f>
        <v>Temuco</v>
      </c>
      <c r="M320" s="5" t="str">
        <f>IFERROR(VLOOKUP(I320,[1]INFO_LOCALES!$B:$H,7,FALSE),"")</f>
        <v>Francisco Salazar 01650</v>
      </c>
      <c r="N320" s="5">
        <f>IFERROR(VLOOKUP(I320,[1]INFO_LOCALES!$B:$E,4,FALSE),"")</f>
        <v>4422</v>
      </c>
      <c r="O320" s="5" t="str">
        <f>VLOOKUP(Tabla2[[#This Row],[TIENDA]],[1]INFO_LOCALES!$B:$J,9,0)</f>
        <v>CONVENIO</v>
      </c>
      <c r="P320" s="5" t="str">
        <f>IFERROR(VLOOKUP(I320,[1]INFO_LOCALES!$B:$F,5,FALSE),"")</f>
        <v>AGUAS ARAUCANIA S A</v>
      </c>
      <c r="Q320" s="5" t="s">
        <v>85</v>
      </c>
      <c r="R320" s="5" t="s">
        <v>86</v>
      </c>
      <c r="S320" s="6" t="s">
        <v>87</v>
      </c>
      <c r="T320" s="5" t="s">
        <v>67</v>
      </c>
      <c r="U320" s="6">
        <v>45561</v>
      </c>
      <c r="V320" s="5" t="s">
        <v>59</v>
      </c>
      <c r="W3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20" s="7">
        <f t="shared" si="9"/>
        <v>1</v>
      </c>
      <c r="Y320" s="5">
        <v>19.7</v>
      </c>
      <c r="Z320" s="5">
        <v>7.46</v>
      </c>
      <c r="AA320" s="5">
        <v>2</v>
      </c>
      <c r="AB320" s="5">
        <v>19.149999999999999</v>
      </c>
      <c r="AC320" s="5">
        <v>81</v>
      </c>
      <c r="AD320" s="5">
        <v>3.29</v>
      </c>
      <c r="AE320" s="5">
        <v>19.2</v>
      </c>
      <c r="AF320" s="5">
        <v>4.5</v>
      </c>
      <c r="AG320" s="5">
        <v>107</v>
      </c>
      <c r="AH320" s="5">
        <v>2.8</v>
      </c>
      <c r="AI320" s="5">
        <f t="shared" si="10"/>
        <v>84</v>
      </c>
    </row>
    <row r="321" spans="1:52" x14ac:dyDescent="0.25">
      <c r="A321" s="5" t="s">
        <v>60</v>
      </c>
      <c r="B321" s="5" t="e">
        <v>#N/A</v>
      </c>
      <c r="C321" s="5" t="e">
        <v>#N/A</v>
      </c>
      <c r="F321" s="5" t="s">
        <v>55</v>
      </c>
      <c r="G321" s="5" t="s">
        <v>61</v>
      </c>
      <c r="H321" s="5" t="s">
        <v>57</v>
      </c>
      <c r="I321" s="5">
        <v>3014</v>
      </c>
      <c r="J321" s="5" t="str">
        <f>IFERROR(VLOOKUP(I321,[1]INFO_LOCALES!$B:$C,2,FALSE),"")</f>
        <v>M10 SAN FERNANDO</v>
      </c>
      <c r="K321" s="5" t="str">
        <f>IFERROR(VLOOKUP(Tabla2[[#This Row],[TIENDA]],[1]INFO_LOCALES!$B:$D,3,FALSE),"")</f>
        <v>VI - O'Higgins</v>
      </c>
      <c r="L321" s="5" t="str">
        <f>IFERROR(VLOOKUP(I321,[1]INFO_LOCALES!$B:$I,8,FALSE),"")</f>
        <v>San Fernando</v>
      </c>
      <c r="M321" s="5" t="str">
        <f>IFERROR(VLOOKUP(I321,[1]INFO_LOCALES!$B:$H,7,FALSE),"")</f>
        <v>Chillan 745</v>
      </c>
      <c r="N321" s="5">
        <f>IFERROR(VLOOKUP(I321,[1]INFO_LOCALES!$B:$E,4,FALSE),"")</f>
        <v>1298</v>
      </c>
      <c r="O321" s="5" t="str">
        <f>VLOOKUP(Tabla2[[#This Row],[TIENDA]],[1]INFO_LOCALES!$B:$J,9,0)</f>
        <v>TERMINADO</v>
      </c>
      <c r="P321" s="5" t="str">
        <f>IFERROR(VLOOKUP(I321,[1]INFO_LOCALES!$B:$F,5,FALSE),"")</f>
        <v>ESSBIO S.A.</v>
      </c>
      <c r="Q321" s="5" t="s">
        <v>85</v>
      </c>
      <c r="R321" s="5" t="s">
        <v>86</v>
      </c>
      <c r="S321" s="6" t="s">
        <v>87</v>
      </c>
      <c r="T321" s="5" t="s">
        <v>67</v>
      </c>
      <c r="U321" s="6">
        <v>45561</v>
      </c>
      <c r="V321" s="5" t="s">
        <v>59</v>
      </c>
      <c r="W3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21" s="7">
        <f t="shared" si="9"/>
        <v>2</v>
      </c>
      <c r="Y321" s="5">
        <v>47.2</v>
      </c>
      <c r="Z321" s="5">
        <v>7.65</v>
      </c>
      <c r="AA321" s="5">
        <v>2</v>
      </c>
      <c r="AB321" s="5">
        <v>17.260000000000002</v>
      </c>
      <c r="AC321" s="5">
        <v>450</v>
      </c>
      <c r="AD321" s="5">
        <v>17.100000000000001</v>
      </c>
      <c r="AE321" s="5">
        <v>28.13</v>
      </c>
      <c r="AF321" s="5">
        <v>1.5</v>
      </c>
      <c r="AG321" s="5">
        <v>150</v>
      </c>
      <c r="AH321" s="5">
        <v>4.32</v>
      </c>
      <c r="AI321" s="5">
        <f t="shared" si="10"/>
        <v>129.60000000000002</v>
      </c>
    </row>
    <row r="322" spans="1:52" x14ac:dyDescent="0.25">
      <c r="A322" s="5" t="s">
        <v>52</v>
      </c>
      <c r="B322" s="5" t="s">
        <v>69</v>
      </c>
      <c r="C322" s="5" t="s">
        <v>70</v>
      </c>
      <c r="F322" s="5" t="s">
        <v>55</v>
      </c>
      <c r="G322" s="5" t="s">
        <v>65</v>
      </c>
      <c r="H322" s="5" t="s">
        <v>57</v>
      </c>
      <c r="I322" s="5">
        <v>911</v>
      </c>
      <c r="J322" s="5" t="str">
        <f>IFERROR(VLOOKUP(I322,[1]INFO_LOCALES!$B:$C,2,FALSE),"")</f>
        <v>MAIPU 4 PONIENTE</v>
      </c>
      <c r="K322" s="5" t="str">
        <f>IFERROR(VLOOKUP(Tabla2[[#This Row],[TIENDA]],[1]INFO_LOCALES!$B:$D,3,FALSE),"")</f>
        <v>RM - Santiago</v>
      </c>
      <c r="L322" s="5" t="str">
        <f>IFERROR(VLOOKUP(I322,[1]INFO_LOCALES!$B:$I,8,FALSE),"")</f>
        <v>Maipú</v>
      </c>
      <c r="M322" s="5" t="str">
        <f>IFERROR(VLOOKUP(I322,[1]INFO_LOCALES!$B:$H,7,FALSE),"")</f>
        <v>4 Poniente 1197</v>
      </c>
      <c r="N322" s="5">
        <f>IFERROR(VLOOKUP(I322,[1]INFO_LOCALES!$B:$E,4,FALSE),"")</f>
        <v>0</v>
      </c>
      <c r="O322" s="5" t="str">
        <f>VLOOKUP(Tabla2[[#This Row],[TIENDA]],[1]INFO_LOCALES!$B:$J,9,0)</f>
        <v>SIN CONVENIO</v>
      </c>
      <c r="P322" s="5" t="str">
        <f>IFERROR(VLOOKUP(I322,[1]INFO_LOCALES!$B:$F,5,FALSE),"")</f>
        <v>SMAPA</v>
      </c>
      <c r="Q322" s="5" t="s">
        <v>71</v>
      </c>
      <c r="R322" s="5" t="s">
        <v>58</v>
      </c>
      <c r="S322" s="6"/>
      <c r="T322" s="5" t="s">
        <v>67</v>
      </c>
      <c r="U322" s="6">
        <v>45561</v>
      </c>
      <c r="V322" s="5" t="s">
        <v>59</v>
      </c>
      <c r="W3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22" s="7">
        <f t="shared" ref="X322:X385" si="11">IF(W322="CUMPLE",1,IF(W322="CUMPLE CON TOLERANCIA",2,IF(W322="NO CUMPLE",3)))</f>
        <v>1</v>
      </c>
      <c r="Y322" s="5">
        <v>35</v>
      </c>
      <c r="Z322" s="5">
        <v>7.83</v>
      </c>
      <c r="AA322" s="5">
        <v>2</v>
      </c>
      <c r="AB322" s="5">
        <v>21</v>
      </c>
      <c r="AC322" s="5">
        <v>148</v>
      </c>
      <c r="AD322" s="5">
        <v>2.1</v>
      </c>
      <c r="AE322" s="5">
        <v>3.8</v>
      </c>
      <c r="AF322" s="5">
        <v>1.5</v>
      </c>
      <c r="AG322" s="5">
        <v>170</v>
      </c>
      <c r="AI322" s="5">
        <f t="shared" si="10"/>
        <v>0</v>
      </c>
    </row>
    <row r="323" spans="1:52" x14ac:dyDescent="0.25">
      <c r="A323" s="5" t="s">
        <v>52</v>
      </c>
      <c r="B323" s="5" t="s">
        <v>82</v>
      </c>
      <c r="C323" s="5" t="s">
        <v>77</v>
      </c>
      <c r="F323" s="5" t="s">
        <v>55</v>
      </c>
      <c r="G323" s="5" t="s">
        <v>65</v>
      </c>
      <c r="H323" s="5" t="s">
        <v>57</v>
      </c>
      <c r="I323" s="5">
        <v>32</v>
      </c>
      <c r="J323" s="5" t="str">
        <f>IFERROR(VLOOKUP(I323,[1]INFO_LOCALES!$B:$C,2,FALSE),"")</f>
        <v>CHAÑARCILLO</v>
      </c>
      <c r="K323" s="5" t="str">
        <f>IFERROR(VLOOKUP(Tabla2[[#This Row],[TIENDA]],[1]INFO_LOCALES!$B:$D,3,FALSE),"")</f>
        <v>III - Atacama</v>
      </c>
      <c r="L323" s="5" t="str">
        <f>IFERROR(VLOOKUP(I323,[1]INFO_LOCALES!$B:$I,8,FALSE),"")</f>
        <v>Copiapó</v>
      </c>
      <c r="M323" s="5" t="str">
        <f>IFERROR(VLOOKUP(I323,[1]INFO_LOCALES!$B:$H,7,FALSE),"")</f>
        <v>Chacabuco Nº 231</v>
      </c>
      <c r="N323" s="5">
        <f>IFERROR(VLOOKUP(I323,[1]INFO_LOCALES!$B:$E,4,FALSE),"")</f>
        <v>0</v>
      </c>
      <c r="O323" s="5" t="str">
        <f>VLOOKUP(Tabla2[[#This Row],[TIENDA]],[1]INFO_LOCALES!$B:$J,9,0)</f>
        <v>CONVENIO</v>
      </c>
      <c r="P323" s="5" t="str">
        <f>IFERROR(VLOOKUP(I323,[1]INFO_LOCALES!$B:$F,5,FALSE),"")</f>
        <v>NUEVA ATACAMA</v>
      </c>
      <c r="Q323" s="5" t="s">
        <v>85</v>
      </c>
      <c r="R323" s="5" t="s">
        <v>86</v>
      </c>
      <c r="S323" s="6" t="s">
        <v>87</v>
      </c>
      <c r="T323" s="5" t="s">
        <v>67</v>
      </c>
      <c r="U323" s="6">
        <v>45562</v>
      </c>
      <c r="V323" s="5" t="s">
        <v>59</v>
      </c>
      <c r="W3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23" s="7">
        <f t="shared" si="11"/>
        <v>2</v>
      </c>
      <c r="Y323" s="5">
        <v>31.8</v>
      </c>
      <c r="Z323" s="5">
        <v>7.43</v>
      </c>
      <c r="AA323" s="5">
        <v>5</v>
      </c>
      <c r="AB323" s="5">
        <v>22.83</v>
      </c>
      <c r="AC323" s="5">
        <v>394</v>
      </c>
      <c r="AD323" s="5">
        <v>10.7</v>
      </c>
      <c r="AE323" s="5">
        <v>66.3</v>
      </c>
      <c r="AF323" s="5">
        <v>4</v>
      </c>
      <c r="AG323" s="5">
        <v>166</v>
      </c>
      <c r="AH323" s="5">
        <v>41.76</v>
      </c>
      <c r="AI323" s="5">
        <f t="shared" si="10"/>
        <v>1252.8</v>
      </c>
    </row>
    <row r="324" spans="1:52" x14ac:dyDescent="0.25">
      <c r="A324" s="5" t="s">
        <v>52</v>
      </c>
      <c r="B324" s="5" t="s">
        <v>146</v>
      </c>
      <c r="C324" s="5" t="s">
        <v>70</v>
      </c>
      <c r="F324" s="5" t="s">
        <v>55</v>
      </c>
      <c r="G324" s="5" t="s">
        <v>65</v>
      </c>
      <c r="H324" s="5" t="s">
        <v>57</v>
      </c>
      <c r="I324" s="5">
        <v>905</v>
      </c>
      <c r="J324" s="5" t="str">
        <f>IFERROR(VLOOKUP(I324,[1]INFO_LOCALES!$B:$C,2,FALSE),"")</f>
        <v>VICENTE VALDES</v>
      </c>
      <c r="K324" s="5" t="str">
        <f>IFERROR(VLOOKUP(Tabla2[[#This Row],[TIENDA]],[1]INFO_LOCALES!$B:$D,3,FALSE),"")</f>
        <v>RM - Santiago</v>
      </c>
      <c r="L324" s="5" t="str">
        <f>IFERROR(VLOOKUP(I324,[1]INFO_LOCALES!$B:$I,8,FALSE),"")</f>
        <v>La Florida</v>
      </c>
      <c r="M324" s="5" t="str">
        <f>IFERROR(VLOOKUP(I324,[1]INFO_LOCALES!$B:$H,7,FALSE),"")</f>
        <v>Vicuña Mackenna 7802</v>
      </c>
      <c r="N324" s="5">
        <f>IFERROR(VLOOKUP(I324,[1]INFO_LOCALES!$B:$E,4,FALSE),"")</f>
        <v>0</v>
      </c>
      <c r="O324" s="5" t="str">
        <f>VLOOKUP(Tabla2[[#This Row],[TIENDA]],[1]INFO_LOCALES!$B:$J,9,0)</f>
        <v>SIN CONVENIO</v>
      </c>
      <c r="P324" s="5" t="str">
        <f>IFERROR(VLOOKUP(I324,[1]INFO_LOCALES!$B:$F,5,FALSE),"")</f>
        <v>AGUAS ANDINAS S.A.</v>
      </c>
      <c r="Q324" s="5" t="s">
        <v>113</v>
      </c>
      <c r="R324" s="5" t="s">
        <v>58</v>
      </c>
      <c r="S324" s="6">
        <v>45589</v>
      </c>
      <c r="T324" s="5" t="s">
        <v>67</v>
      </c>
      <c r="U324" s="6">
        <v>45563</v>
      </c>
      <c r="V324" s="5" t="s">
        <v>59</v>
      </c>
      <c r="W3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24" s="7">
        <f t="shared" si="11"/>
        <v>2</v>
      </c>
      <c r="Y324" s="5">
        <v>146</v>
      </c>
      <c r="Z324" s="5">
        <v>9</v>
      </c>
      <c r="AA324" s="5">
        <v>0.8</v>
      </c>
      <c r="AB324" s="5">
        <v>19.399999999999999</v>
      </c>
      <c r="AC324" s="5">
        <v>493</v>
      </c>
      <c r="AD324" s="5">
        <v>26.25</v>
      </c>
      <c r="AE324" s="5">
        <v>45.41</v>
      </c>
      <c r="AF324" s="5">
        <v>15</v>
      </c>
      <c r="AG324" s="5">
        <v>488</v>
      </c>
      <c r="AH324" s="5">
        <v>15</v>
      </c>
      <c r="AI324" s="5">
        <f t="shared" si="10"/>
        <v>450</v>
      </c>
    </row>
    <row r="325" spans="1:52" x14ac:dyDescent="0.25">
      <c r="A325" s="5" t="s">
        <v>52</v>
      </c>
      <c r="B325" s="5" t="s">
        <v>69</v>
      </c>
      <c r="C325" s="5" t="s">
        <v>70</v>
      </c>
      <c r="F325" s="5" t="s">
        <v>55</v>
      </c>
      <c r="G325" s="5" t="s">
        <v>65</v>
      </c>
      <c r="H325" s="5" t="s">
        <v>57</v>
      </c>
      <c r="I325" s="5">
        <v>910</v>
      </c>
      <c r="J325" s="5" t="str">
        <f>IFERROR(VLOOKUP(I325,[1]INFO_LOCALES!$B:$C,2,FALSE),"")</f>
        <v>MAIPU CAMINO MELIPILLA</v>
      </c>
      <c r="K325" s="5" t="str">
        <f>IFERROR(VLOOKUP(Tabla2[[#This Row],[TIENDA]],[1]INFO_LOCALES!$B:$D,3,FALSE),"")</f>
        <v>RM - Santiago</v>
      </c>
      <c r="L325" s="5" t="str">
        <f>IFERROR(VLOOKUP(I325,[1]INFO_LOCALES!$B:$I,8,FALSE),"")</f>
        <v>Maipú</v>
      </c>
      <c r="M325" s="5" t="str">
        <f>IFERROR(VLOOKUP(I325,[1]INFO_LOCALES!$B:$H,7,FALSE),"")</f>
        <v>Camino Melipilla 16850</v>
      </c>
      <c r="N325" s="5">
        <f>IFERROR(VLOOKUP(I325,[1]INFO_LOCALES!$B:$E,4,FALSE),"")</f>
        <v>0</v>
      </c>
      <c r="O325" s="5" t="str">
        <f>VLOOKUP(Tabla2[[#This Row],[TIENDA]],[1]INFO_LOCALES!$B:$J,9,0)</f>
        <v>SIN CONVENIO</v>
      </c>
      <c r="P325" s="5" t="str">
        <f>IFERROR(VLOOKUP(I325,[1]INFO_LOCALES!$B:$F,5,FALSE),"")</f>
        <v>SMAPA</v>
      </c>
      <c r="Q325" s="5" t="s">
        <v>71</v>
      </c>
      <c r="R325" s="5" t="s">
        <v>58</v>
      </c>
      <c r="S325" s="6">
        <v>45580</v>
      </c>
      <c r="T325" s="5" t="s">
        <v>67</v>
      </c>
      <c r="U325" s="6">
        <v>45563</v>
      </c>
      <c r="V325" s="5" t="s">
        <v>59</v>
      </c>
      <c r="W3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25" s="7">
        <f t="shared" si="11"/>
        <v>2</v>
      </c>
      <c r="Y325" s="5">
        <v>1.3</v>
      </c>
      <c r="Z325" s="5">
        <v>7.55</v>
      </c>
      <c r="AA325" s="5">
        <v>2</v>
      </c>
      <c r="AB325" s="5">
        <v>22</v>
      </c>
      <c r="AC325" s="5">
        <v>486</v>
      </c>
      <c r="AD325" s="5">
        <v>10.4</v>
      </c>
      <c r="AE325" s="5">
        <v>40</v>
      </c>
      <c r="AF325" s="5">
        <v>0.1</v>
      </c>
      <c r="AG325" s="5">
        <v>26</v>
      </c>
      <c r="AI325" s="5">
        <f t="shared" si="10"/>
        <v>0</v>
      </c>
    </row>
    <row r="326" spans="1:52" x14ac:dyDescent="0.25">
      <c r="A326" s="5" t="s">
        <v>52</v>
      </c>
      <c r="B326" s="5" t="s">
        <v>90</v>
      </c>
      <c r="C326" s="5" t="s">
        <v>81</v>
      </c>
      <c r="F326" s="5" t="s">
        <v>55</v>
      </c>
      <c r="G326" s="5" t="s">
        <v>61</v>
      </c>
      <c r="H326" s="5" t="s">
        <v>57</v>
      </c>
      <c r="I326" s="5">
        <v>778</v>
      </c>
      <c r="J326" s="5" t="str">
        <f>IFERROR(VLOOKUP(I326,[1]INFO_LOCALES!$B:$C,2,FALSE),"")</f>
        <v>ORIENTE</v>
      </c>
      <c r="K326" s="5" t="str">
        <f>IFERROR(VLOOKUP(Tabla2[[#This Row],[TIENDA]],[1]INFO_LOCALES!$B:$D,3,FALSE),"")</f>
        <v>X - Los Lagos</v>
      </c>
      <c r="L326" s="5" t="str">
        <f>IFERROR(VLOOKUP(I326,[1]INFO_LOCALES!$B:$I,8,FALSE),"")</f>
        <v>Osorno</v>
      </c>
      <c r="M326" s="5" t="str">
        <f>IFERROR(VLOOKUP(I326,[1]INFO_LOCALES!$B:$H,7,FALSE),"")</f>
        <v>Julio Buschman 2223</v>
      </c>
      <c r="N326" s="5">
        <f>IFERROR(VLOOKUP(I326,[1]INFO_LOCALES!$B:$E,4,FALSE),"")</f>
        <v>2867</v>
      </c>
      <c r="O326" s="5" t="str">
        <f>VLOOKUP(Tabla2[[#This Row],[TIENDA]],[1]INFO_LOCALES!$B:$J,9,0)</f>
        <v>CONVENIO</v>
      </c>
      <c r="P326" s="5" t="str">
        <f>IFERROR(VLOOKUP(I326,[1]INFO_LOCALES!$B:$F,5,FALSE),"")</f>
        <v>SURALIS</v>
      </c>
      <c r="Q326" s="5" t="s">
        <v>105</v>
      </c>
      <c r="R326" s="5" t="s">
        <v>58</v>
      </c>
      <c r="S326" s="6">
        <v>45595</v>
      </c>
      <c r="T326" s="5" t="s">
        <v>67</v>
      </c>
      <c r="U326" s="6">
        <v>45564</v>
      </c>
      <c r="V326" s="5" t="s">
        <v>59</v>
      </c>
      <c r="W3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26" s="7">
        <f t="shared" si="11"/>
        <v>1</v>
      </c>
      <c r="Y326" s="5">
        <v>19</v>
      </c>
      <c r="Z326" s="5">
        <v>6.42</v>
      </c>
      <c r="AA326" s="5">
        <v>2</v>
      </c>
      <c r="AB326" s="5">
        <v>11.6</v>
      </c>
      <c r="AC326" s="5">
        <v>218</v>
      </c>
      <c r="AD326" s="5">
        <v>8.9</v>
      </c>
      <c r="AE326" s="5">
        <v>29.93</v>
      </c>
      <c r="AF326" s="5">
        <v>0.5</v>
      </c>
      <c r="AG326" s="5">
        <v>219</v>
      </c>
      <c r="AH326" s="5">
        <v>16.100000000000001</v>
      </c>
      <c r="AI326" s="5">
        <f t="shared" si="10"/>
        <v>483.00000000000006</v>
      </c>
      <c r="AZ326" s="8" t="s">
        <v>206</v>
      </c>
    </row>
    <row r="327" spans="1:52" x14ac:dyDescent="0.25">
      <c r="A327" s="5" t="s">
        <v>52</v>
      </c>
      <c r="B327" s="5" t="s">
        <v>82</v>
      </c>
      <c r="C327" s="5" t="s">
        <v>77</v>
      </c>
      <c r="F327" s="5" t="s">
        <v>55</v>
      </c>
      <c r="G327" s="5" t="s">
        <v>65</v>
      </c>
      <c r="H327" s="5" t="s">
        <v>57</v>
      </c>
      <c r="I327" s="5">
        <v>24</v>
      </c>
      <c r="J327" s="5" t="str">
        <f>IFERROR(VLOOKUP(I327,[1]INFO_LOCALES!$B:$C,2,FALSE),"")</f>
        <v>CHACABUCO</v>
      </c>
      <c r="K327" s="5" t="str">
        <f>IFERROR(VLOOKUP(Tabla2[[#This Row],[TIENDA]],[1]INFO_LOCALES!$B:$D,3,FALSE),"")</f>
        <v>III - Atacama</v>
      </c>
      <c r="L327" s="5" t="str">
        <f>IFERROR(VLOOKUP(I327,[1]INFO_LOCALES!$B:$I,8,FALSE),"")</f>
        <v>Copiapó</v>
      </c>
      <c r="M327" s="5" t="str">
        <f>IFERROR(VLOOKUP(I327,[1]INFO_LOCALES!$B:$H,7,FALSE),"")</f>
        <v>Los Carreras  586</v>
      </c>
      <c r="N327" s="5">
        <f>IFERROR(VLOOKUP(I327,[1]INFO_LOCALES!$B:$E,4,FALSE),"")</f>
        <v>0</v>
      </c>
      <c r="O327" s="5" t="str">
        <f>VLOOKUP(Tabla2[[#This Row],[TIENDA]],[1]INFO_LOCALES!$B:$J,9,0)</f>
        <v>SIN CONVENIO</v>
      </c>
      <c r="P327" s="5" t="str">
        <f>IFERROR(VLOOKUP(I327,[1]INFO_LOCALES!$B:$F,5,FALSE),"")</f>
        <v>NUEVA ATACAMA</v>
      </c>
      <c r="Q327" s="5" t="s">
        <v>85</v>
      </c>
      <c r="R327" s="5" t="s">
        <v>86</v>
      </c>
      <c r="S327" s="6" t="s">
        <v>87</v>
      </c>
      <c r="T327" s="5" t="s">
        <v>67</v>
      </c>
      <c r="U327" s="6">
        <v>45565</v>
      </c>
      <c r="V327" s="5" t="s">
        <v>59</v>
      </c>
      <c r="W3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27" s="7">
        <f t="shared" si="11"/>
        <v>3</v>
      </c>
      <c r="Y327" s="5">
        <v>6.8</v>
      </c>
      <c r="Z327" s="5">
        <v>7.9</v>
      </c>
      <c r="AA327" s="5">
        <v>22</v>
      </c>
      <c r="AB327" s="5">
        <v>23.11</v>
      </c>
      <c r="AC327" s="5">
        <v>88</v>
      </c>
      <c r="AD327" s="5">
        <v>0.7</v>
      </c>
      <c r="AE327" s="5">
        <v>5</v>
      </c>
      <c r="AF327" s="5">
        <v>0.5</v>
      </c>
      <c r="AG327" s="5">
        <v>47.2</v>
      </c>
      <c r="AH327" s="5">
        <v>23.4</v>
      </c>
      <c r="AI327" s="5">
        <f t="shared" si="10"/>
        <v>702</v>
      </c>
    </row>
    <row r="328" spans="1:52" x14ac:dyDescent="0.25">
      <c r="A328" s="5" t="s">
        <v>52</v>
      </c>
      <c r="B328" s="5" t="s">
        <v>82</v>
      </c>
      <c r="C328" s="5" t="s">
        <v>77</v>
      </c>
      <c r="F328" s="5" t="s">
        <v>55</v>
      </c>
      <c r="G328" s="5" t="s">
        <v>65</v>
      </c>
      <c r="H328" s="5" t="s">
        <v>57</v>
      </c>
      <c r="I328" s="5">
        <v>23</v>
      </c>
      <c r="J328" s="5" t="str">
        <f>IFERROR(VLOOKUP(I328,[1]INFO_LOCALES!$B:$C,2,FALSE),"")</f>
        <v>LOS CARRERAS</v>
      </c>
      <c r="K328" s="5" t="str">
        <f>IFERROR(VLOOKUP(Tabla2[[#This Row],[TIENDA]],[1]INFO_LOCALES!$B:$D,3,FALSE),"")</f>
        <v>III - Atacama</v>
      </c>
      <c r="L328" s="5" t="str">
        <f>IFERROR(VLOOKUP(I328,[1]INFO_LOCALES!$B:$I,8,FALSE),"")</f>
        <v>Copiapó</v>
      </c>
      <c r="M328" s="5" t="str">
        <f>IFERROR(VLOOKUP(I328,[1]INFO_LOCALES!$B:$H,7,FALSE),"")</f>
        <v>Los Carrera 479</v>
      </c>
      <c r="N328" s="5">
        <f>IFERROR(VLOOKUP(I328,[1]INFO_LOCALES!$B:$E,4,FALSE),"")</f>
        <v>0</v>
      </c>
      <c r="O328" s="5" t="str">
        <f>VLOOKUP(Tabla2[[#This Row],[TIENDA]],[1]INFO_LOCALES!$B:$J,9,0)</f>
        <v>SIN CONVENIO</v>
      </c>
      <c r="P328" s="5" t="str">
        <f>IFERROR(VLOOKUP(I328,[1]INFO_LOCALES!$B:$F,5,FALSE),"")</f>
        <v>NUEVA ATACAMA</v>
      </c>
      <c r="Q328" s="5" t="s">
        <v>85</v>
      </c>
      <c r="R328" s="5" t="s">
        <v>86</v>
      </c>
      <c r="S328" s="6" t="s">
        <v>87</v>
      </c>
      <c r="T328" s="5" t="s">
        <v>67</v>
      </c>
      <c r="U328" s="6">
        <v>45565</v>
      </c>
      <c r="V328" s="5" t="s">
        <v>59</v>
      </c>
      <c r="W3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28" s="7">
        <f t="shared" si="11"/>
        <v>2</v>
      </c>
      <c r="Y328" s="5">
        <v>61.8</v>
      </c>
      <c r="Z328" s="5">
        <v>7.54</v>
      </c>
      <c r="AA328" s="5">
        <v>2</v>
      </c>
      <c r="AB328" s="5">
        <v>23.8</v>
      </c>
      <c r="AC328" s="5">
        <v>497</v>
      </c>
      <c r="AD328" s="5">
        <v>15.4</v>
      </c>
      <c r="AE328" s="5">
        <v>57.8</v>
      </c>
      <c r="AF328" s="5">
        <v>0.5</v>
      </c>
      <c r="AG328" s="5">
        <v>76.900000000000006</v>
      </c>
      <c r="AH328" s="5">
        <v>26.64</v>
      </c>
      <c r="AI328" s="5">
        <f t="shared" si="10"/>
        <v>799.2</v>
      </c>
    </row>
    <row r="329" spans="1:52" x14ac:dyDescent="0.25">
      <c r="A329" s="5" t="s">
        <v>60</v>
      </c>
      <c r="B329" s="5" t="e">
        <v>#N/A</v>
      </c>
      <c r="C329" s="5" t="e">
        <v>#N/A</v>
      </c>
      <c r="F329" s="5" t="s">
        <v>55</v>
      </c>
      <c r="G329" s="5" t="s">
        <v>61</v>
      </c>
      <c r="H329" s="5" t="s">
        <v>57</v>
      </c>
      <c r="I329" s="5">
        <v>3022</v>
      </c>
      <c r="J329" s="5" t="str">
        <f>IFERROR(VLOOKUP(I329,[1]INFO_LOCALES!$B:$C,2,FALSE),"")</f>
        <v>M10 TEMUCO II</v>
      </c>
      <c r="K329" s="5" t="str">
        <f>IFERROR(VLOOKUP(Tabla2[[#This Row],[TIENDA]],[1]INFO_LOCALES!$B:$D,3,FALSE),"")</f>
        <v>IX - Araucanía</v>
      </c>
      <c r="L329" s="5" t="str">
        <f>IFERROR(VLOOKUP(I329,[1]INFO_LOCALES!$B:$I,8,FALSE),"")</f>
        <v>Temuco</v>
      </c>
      <c r="M329" s="5" t="str">
        <f>IFERROR(VLOOKUP(I329,[1]INFO_LOCALES!$B:$H,7,FALSE),"")</f>
        <v>Pedro De Valdivia 2285</v>
      </c>
      <c r="N329" s="5">
        <f>IFERROR(VLOOKUP(I329,[1]INFO_LOCALES!$B:$E,4,FALSE),"")</f>
        <v>3721</v>
      </c>
      <c r="O329" s="5" t="str">
        <f>VLOOKUP(Tabla2[[#This Row],[TIENDA]],[1]INFO_LOCALES!$B:$J,9,0)</f>
        <v>CONVENIO</v>
      </c>
      <c r="P329" s="5" t="str">
        <f>IFERROR(VLOOKUP(I329,[1]INFO_LOCALES!$B:$F,5,FALSE),"")</f>
        <v>AGUAS ARAUCANIA S A</v>
      </c>
      <c r="Q329" s="5" t="s">
        <v>85</v>
      </c>
      <c r="R329" s="5" t="s">
        <v>86</v>
      </c>
      <c r="S329" s="6" t="s">
        <v>87</v>
      </c>
      <c r="T329" s="5" t="s">
        <v>67</v>
      </c>
      <c r="U329" s="6">
        <v>45565</v>
      </c>
      <c r="V329" s="5" t="s">
        <v>59</v>
      </c>
      <c r="W3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29" s="7">
        <f t="shared" si="11"/>
        <v>3</v>
      </c>
      <c r="Y329" s="5">
        <v>12.9</v>
      </c>
      <c r="Z329" s="5">
        <v>7.16</v>
      </c>
      <c r="AA329" s="5">
        <v>16</v>
      </c>
      <c r="AB329" s="5">
        <v>15.06</v>
      </c>
      <c r="AC329" s="5">
        <v>70</v>
      </c>
      <c r="AD329" s="5">
        <v>3.67</v>
      </c>
      <c r="AE329" s="5">
        <v>8.9</v>
      </c>
      <c r="AF329" s="5">
        <v>0.5</v>
      </c>
      <c r="AG329" s="5">
        <v>70</v>
      </c>
      <c r="AH329" s="5">
        <v>0</v>
      </c>
      <c r="AI329" s="5">
        <f t="shared" si="10"/>
        <v>0</v>
      </c>
    </row>
    <row r="330" spans="1:52" x14ac:dyDescent="0.25">
      <c r="A330" s="5" t="s">
        <v>52</v>
      </c>
      <c r="B330" s="5" t="s">
        <v>74</v>
      </c>
      <c r="C330" s="5" t="s">
        <v>74</v>
      </c>
      <c r="F330" s="5" t="s">
        <v>55</v>
      </c>
      <c r="G330" s="5" t="s">
        <v>61</v>
      </c>
      <c r="H330" s="5" t="s">
        <v>57</v>
      </c>
      <c r="I330" s="5">
        <v>458</v>
      </c>
      <c r="J330" s="5" t="str">
        <f>IFERROR(VLOOKUP(I330,[1]INFO_LOCALES!$B:$C,2,FALSE),"")</f>
        <v>ESPAÑA AUSTRAL</v>
      </c>
      <c r="K330" s="5" t="str">
        <f>IFERROR(VLOOKUP(Tabla2[[#This Row],[TIENDA]],[1]INFO_LOCALES!$B:$D,3,FALSE),"")</f>
        <v>XII - Magallanes</v>
      </c>
      <c r="L330" s="5" t="str">
        <f>IFERROR(VLOOKUP(I330,[1]INFO_LOCALES!$B:$I,8,FALSE),"")</f>
        <v>Punta Arenas</v>
      </c>
      <c r="M330" s="5" t="str">
        <f>IFERROR(VLOOKUP(I330,[1]INFO_LOCALES!$B:$H,7,FALSE),"")</f>
        <v>Av. España 01375</v>
      </c>
      <c r="N330" s="5">
        <f>IFERROR(VLOOKUP(I330,[1]INFO_LOCALES!$B:$E,4,FALSE),"")</f>
        <v>1306</v>
      </c>
      <c r="O330" s="5" t="str">
        <f>VLOOKUP(Tabla2[[#This Row],[TIENDA]],[1]INFO_LOCALES!$B:$J,9,0)</f>
        <v>SIN CONVENIO</v>
      </c>
      <c r="P330" s="5" t="str">
        <f>IFERROR(VLOOKUP(I330,[1]INFO_LOCALES!$B:$F,5,FALSE),"")</f>
        <v>AGUAS MAGALLANES S.A.</v>
      </c>
      <c r="Q330" s="5" t="s">
        <v>71</v>
      </c>
      <c r="R330" s="5" t="s">
        <v>58</v>
      </c>
      <c r="S330" s="6">
        <v>45595</v>
      </c>
      <c r="T330" s="5" t="s">
        <v>67</v>
      </c>
      <c r="U330" s="6">
        <v>45565</v>
      </c>
      <c r="V330" s="5" t="s">
        <v>59</v>
      </c>
      <c r="W3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30" s="7">
        <f t="shared" si="11"/>
        <v>2</v>
      </c>
      <c r="Y330" s="5">
        <v>8.9</v>
      </c>
      <c r="Z330" s="5">
        <v>6.56</v>
      </c>
      <c r="AA330" s="5">
        <v>2</v>
      </c>
      <c r="AB330" s="5">
        <v>20</v>
      </c>
      <c r="AC330" s="5">
        <v>417</v>
      </c>
      <c r="AD330" s="5">
        <v>7.5</v>
      </c>
      <c r="AE330" s="5">
        <v>2.2999999999999998</v>
      </c>
      <c r="AF330" s="5">
        <v>0.1</v>
      </c>
      <c r="AG330" s="5">
        <v>124</v>
      </c>
      <c r="AH330" s="5">
        <v>0</v>
      </c>
      <c r="AI330" s="5">
        <f t="shared" si="10"/>
        <v>0</v>
      </c>
    </row>
    <row r="331" spans="1:52" x14ac:dyDescent="0.25">
      <c r="A331" s="5" t="s">
        <v>52</v>
      </c>
      <c r="B331" s="5" t="s">
        <v>82</v>
      </c>
      <c r="C331" s="5" t="s">
        <v>77</v>
      </c>
      <c r="F331" s="5" t="s">
        <v>55</v>
      </c>
      <c r="G331" s="5" t="s">
        <v>61</v>
      </c>
      <c r="H331" s="5" t="s">
        <v>57</v>
      </c>
      <c r="I331" s="5">
        <v>472</v>
      </c>
      <c r="J331" s="5" t="str">
        <f>IFERROR(VLOOKUP(I331,[1]INFO_LOCALES!$B:$C,2,FALSE),"")</f>
        <v>CALDERA I</v>
      </c>
      <c r="K331" s="5" t="str">
        <f>IFERROR(VLOOKUP(Tabla2[[#This Row],[TIENDA]],[1]INFO_LOCALES!$B:$D,3,FALSE),"")</f>
        <v>III - Atacama</v>
      </c>
      <c r="L331" s="5" t="str">
        <f>IFERROR(VLOOKUP(I331,[1]INFO_LOCALES!$B:$I,8,FALSE),"")</f>
        <v>Caldera</v>
      </c>
      <c r="M331" s="5" t="str">
        <f>IFERROR(VLOOKUP(I331,[1]INFO_LOCALES!$B:$H,7,FALSE),"")</f>
        <v>Batallon Atacama 319</v>
      </c>
      <c r="N331" s="5">
        <f>IFERROR(VLOOKUP(I331,[1]INFO_LOCALES!$B:$E,4,FALSE),"")</f>
        <v>0</v>
      </c>
      <c r="O331" s="5" t="str">
        <f>VLOOKUP(Tabla2[[#This Row],[TIENDA]],[1]INFO_LOCALES!$B:$J,9,0)</f>
        <v>CONVENIO</v>
      </c>
      <c r="P331" s="5" t="str">
        <f>IFERROR(VLOOKUP(I331,[1]INFO_LOCALES!$B:$F,5,FALSE),"")</f>
        <v>NUEVA ATACAMA</v>
      </c>
      <c r="Q331" s="5" t="s">
        <v>66</v>
      </c>
      <c r="R331" s="5" t="s">
        <v>58</v>
      </c>
      <c r="S331" s="6">
        <v>45629</v>
      </c>
      <c r="T331" s="5" t="str">
        <f>UPPER(IF(Tabla2[[#This Row],[FECHA DE MUESTREO ]]=0,"",TEXT(Tabla2[[#This Row],[FECHA DE MUESTREO ]],("MMMM"))))</f>
        <v>OCTUBRE</v>
      </c>
      <c r="U331" s="6">
        <v>45567</v>
      </c>
      <c r="V331" s="5" t="s">
        <v>59</v>
      </c>
      <c r="W3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31" s="7">
        <f t="shared" si="11"/>
        <v>3</v>
      </c>
      <c r="Y331" s="5">
        <v>11.35</v>
      </c>
      <c r="AA331" s="5">
        <v>20</v>
      </c>
      <c r="AC331" s="5">
        <v>161</v>
      </c>
      <c r="AD331" s="5">
        <v>3.29</v>
      </c>
      <c r="AE331" s="5">
        <v>57</v>
      </c>
      <c r="AF331" s="5">
        <v>1.3</v>
      </c>
      <c r="AG331" s="5">
        <v>125</v>
      </c>
      <c r="AI331" s="5">
        <f t="shared" si="10"/>
        <v>0</v>
      </c>
      <c r="AY331" s="5">
        <v>0.1</v>
      </c>
    </row>
    <row r="332" spans="1:52" x14ac:dyDescent="0.25">
      <c r="A332" s="5" t="s">
        <v>52</v>
      </c>
      <c r="B332" s="5" t="s">
        <v>82</v>
      </c>
      <c r="C332" s="5" t="s">
        <v>77</v>
      </c>
      <c r="F332" s="5" t="s">
        <v>55</v>
      </c>
      <c r="G332" s="5" t="s">
        <v>61</v>
      </c>
      <c r="H332" s="5" t="s">
        <v>57</v>
      </c>
      <c r="I332" s="5">
        <v>24</v>
      </c>
      <c r="J332" s="5" t="str">
        <f>IFERROR(VLOOKUP(I332,[1]INFO_LOCALES!$B:$C,2,FALSE),"")</f>
        <v>CHACABUCO</v>
      </c>
      <c r="K332" s="5" t="str">
        <f>IFERROR(VLOOKUP(Tabla2[[#This Row],[TIENDA]],[1]INFO_LOCALES!$B:$D,3,FALSE),"")</f>
        <v>III - Atacama</v>
      </c>
      <c r="L332" s="5" t="str">
        <f>IFERROR(VLOOKUP(I332,[1]INFO_LOCALES!$B:$I,8,FALSE),"")</f>
        <v>Copiapó</v>
      </c>
      <c r="M332" s="5" t="str">
        <f>IFERROR(VLOOKUP(I332,[1]INFO_LOCALES!$B:$H,7,FALSE),"")</f>
        <v>Los Carreras  586</v>
      </c>
      <c r="N332" s="5">
        <f>IFERROR(VLOOKUP(I332,[1]INFO_LOCALES!$B:$E,4,FALSE),"")</f>
        <v>0</v>
      </c>
      <c r="O332" s="5" t="str">
        <f>VLOOKUP(Tabla2[[#This Row],[TIENDA]],[1]INFO_LOCALES!$B:$J,9,0)</f>
        <v>SIN CONVENIO</v>
      </c>
      <c r="P332" s="5" t="str">
        <f>IFERROR(VLOOKUP(I332,[1]INFO_LOCALES!$B:$F,5,FALSE),"")</f>
        <v>NUEVA ATACAMA</v>
      </c>
      <c r="Q332" s="5" t="s">
        <v>66</v>
      </c>
      <c r="R332" s="5" t="s">
        <v>58</v>
      </c>
      <c r="S332" s="6">
        <v>45672</v>
      </c>
      <c r="T332" s="5" t="str">
        <f>UPPER(IF(Tabla2[[#This Row],[FECHA DE MUESTREO ]]=0,"",TEXT(Tabla2[[#This Row],[FECHA DE MUESTREO ]],("MMMM"))))</f>
        <v>OCTUBRE</v>
      </c>
      <c r="U332" s="6">
        <v>45567</v>
      </c>
      <c r="V332" s="5" t="s">
        <v>59</v>
      </c>
      <c r="W3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32" s="7">
        <f t="shared" si="11"/>
        <v>3</v>
      </c>
      <c r="Y332" s="5">
        <v>11.35</v>
      </c>
      <c r="AA332" s="5">
        <v>20</v>
      </c>
      <c r="AC332" s="5">
        <v>161</v>
      </c>
      <c r="AD332" s="5">
        <v>3.29</v>
      </c>
      <c r="AE332" s="5">
        <v>57</v>
      </c>
      <c r="AF332" s="5" t="s">
        <v>207</v>
      </c>
      <c r="AG332" s="5">
        <v>125</v>
      </c>
      <c r="AI332" s="5">
        <f t="shared" si="10"/>
        <v>0</v>
      </c>
    </row>
    <row r="333" spans="1:52" x14ac:dyDescent="0.25">
      <c r="A333" s="5" t="s">
        <v>52</v>
      </c>
      <c r="B333" s="5" t="s">
        <v>90</v>
      </c>
      <c r="C333" s="5" t="s">
        <v>81</v>
      </c>
      <c r="F333" s="5" t="s">
        <v>55</v>
      </c>
      <c r="G333" s="5" t="s">
        <v>61</v>
      </c>
      <c r="H333" s="5" t="s">
        <v>57</v>
      </c>
      <c r="I333" s="5">
        <v>777</v>
      </c>
      <c r="J333" s="5" t="str">
        <f>IFERROR(VLOOKUP(I333,[1]INFO_LOCALES!$B:$C,2,FALSE),"")</f>
        <v>CENTRAL</v>
      </c>
      <c r="K333" s="5" t="str">
        <f>IFERROR(VLOOKUP(Tabla2[[#This Row],[TIENDA]],[1]INFO_LOCALES!$B:$D,3,FALSE),"")</f>
        <v>X - Los Lagos</v>
      </c>
      <c r="L333" s="5" t="str">
        <f>IFERROR(VLOOKUP(I333,[1]INFO_LOCALES!$B:$I,8,FALSE),"")</f>
        <v>Osorno</v>
      </c>
      <c r="M333" s="5" t="str">
        <f>IFERROR(VLOOKUP(I333,[1]INFO_LOCALES!$B:$H,7,FALSE),"")</f>
        <v>Patricio Lynch 1278</v>
      </c>
      <c r="N333" s="5">
        <f>IFERROR(VLOOKUP(I333,[1]INFO_LOCALES!$B:$E,4,FALSE),"")</f>
        <v>3684</v>
      </c>
      <c r="O333" s="5" t="str">
        <f>VLOOKUP(Tabla2[[#This Row],[TIENDA]],[1]INFO_LOCALES!$B:$J,9,0)</f>
        <v>CONVENIO</v>
      </c>
      <c r="P333" s="5" t="str">
        <f>IFERROR(VLOOKUP(I333,[1]INFO_LOCALES!$B:$F,5,FALSE),"")</f>
        <v>SURALIS</v>
      </c>
      <c r="Q333" s="5" t="s">
        <v>105</v>
      </c>
      <c r="R333" s="5" t="s">
        <v>58</v>
      </c>
      <c r="S333" s="6">
        <v>45625</v>
      </c>
      <c r="T333" s="5" t="str">
        <f>UPPER(IF(Tabla2[[#This Row],[FECHA DE MUESTREO ]]=0,"",TEXT(Tabla2[[#This Row],[FECHA DE MUESTREO ]],("MMMM"))))</f>
        <v>OCTUBRE</v>
      </c>
      <c r="U333" s="6">
        <v>45569</v>
      </c>
      <c r="V333" s="5" t="s">
        <v>59</v>
      </c>
      <c r="W3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33" s="7">
        <f t="shared" si="11"/>
        <v>2</v>
      </c>
      <c r="Y333" s="5">
        <v>16</v>
      </c>
      <c r="Z333" s="5">
        <v>8.1</v>
      </c>
      <c r="AA333" s="5">
        <v>8</v>
      </c>
      <c r="AB333" s="5">
        <v>15.2</v>
      </c>
      <c r="AC333" s="5">
        <v>291</v>
      </c>
      <c r="AD333" s="5">
        <v>1.6</v>
      </c>
      <c r="AE333" s="5">
        <v>5.3</v>
      </c>
      <c r="AF333" s="5">
        <v>0.5</v>
      </c>
      <c r="AG333" s="5">
        <v>108</v>
      </c>
      <c r="AH333" s="5">
        <v>2</v>
      </c>
      <c r="AI333" s="5">
        <f t="shared" si="10"/>
        <v>60</v>
      </c>
    </row>
    <row r="334" spans="1:52" x14ac:dyDescent="0.25">
      <c r="A334" s="5" t="s">
        <v>52</v>
      </c>
      <c r="B334" s="5" t="s">
        <v>90</v>
      </c>
      <c r="C334" s="5" t="s">
        <v>81</v>
      </c>
      <c r="F334" s="5" t="s">
        <v>55</v>
      </c>
      <c r="G334" s="5" t="s">
        <v>56</v>
      </c>
      <c r="H334" s="5" t="s">
        <v>57</v>
      </c>
      <c r="I334" s="5">
        <v>778</v>
      </c>
      <c r="J334" s="5" t="str">
        <f>IFERROR(VLOOKUP(I334,[1]INFO_LOCALES!$B:$C,2,FALSE),"")</f>
        <v>ORIENTE</v>
      </c>
      <c r="K334" s="5" t="str">
        <f>IFERROR(VLOOKUP(Tabla2[[#This Row],[TIENDA]],[1]INFO_LOCALES!$B:$D,3,FALSE),"")</f>
        <v>X - Los Lagos</v>
      </c>
      <c r="L334" s="5" t="str">
        <f>IFERROR(VLOOKUP(I334,[1]INFO_LOCALES!$B:$I,8,FALSE),"")</f>
        <v>Osorno</v>
      </c>
      <c r="M334" s="5" t="str">
        <f>IFERROR(VLOOKUP(I334,[1]INFO_LOCALES!$B:$H,7,FALSE),"")</f>
        <v>Julio Buschman 2223</v>
      </c>
      <c r="N334" s="5">
        <f>IFERROR(VLOOKUP(I334,[1]INFO_LOCALES!$B:$E,4,FALSE),"")</f>
        <v>2867</v>
      </c>
      <c r="O334" s="5" t="str">
        <f>VLOOKUP(Tabla2[[#This Row],[TIENDA]],[1]INFO_LOCALES!$B:$J,9,0)</f>
        <v>CONVENIO</v>
      </c>
      <c r="P334" s="5" t="str">
        <f>IFERROR(VLOOKUP(I334,[1]INFO_LOCALES!$B:$F,5,FALSE),"")</f>
        <v>SURALIS</v>
      </c>
      <c r="Q334" s="5" t="s">
        <v>105</v>
      </c>
      <c r="R334" s="5" t="s">
        <v>58</v>
      </c>
      <c r="S334" s="6">
        <v>45625</v>
      </c>
      <c r="T334" s="5" t="str">
        <f>UPPER(IF(Tabla2[[#This Row],[FECHA DE MUESTREO ]]=0,"",TEXT(Tabla2[[#This Row],[FECHA DE MUESTREO ]],("MMMM"))))</f>
        <v>OCTUBRE</v>
      </c>
      <c r="U334" s="6">
        <v>45575</v>
      </c>
      <c r="V334" s="5" t="s">
        <v>59</v>
      </c>
      <c r="W3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34" s="7">
        <f t="shared" si="11"/>
        <v>3</v>
      </c>
      <c r="Y334" s="5">
        <v>149</v>
      </c>
      <c r="Z334" s="5">
        <v>6.8</v>
      </c>
      <c r="AA334" s="5">
        <v>9</v>
      </c>
      <c r="AB334" s="5">
        <v>13.8</v>
      </c>
      <c r="AC334" s="5">
        <v>1237</v>
      </c>
      <c r="AD334" s="5">
        <v>14.7</v>
      </c>
      <c r="AE334" s="5">
        <v>34.57</v>
      </c>
      <c r="AF334" s="5">
        <v>125</v>
      </c>
      <c r="AG334" s="5">
        <v>625</v>
      </c>
      <c r="AH334" s="5">
        <v>12</v>
      </c>
      <c r="AI334" s="5">
        <f t="shared" si="10"/>
        <v>360</v>
      </c>
    </row>
    <row r="335" spans="1:52" x14ac:dyDescent="0.25">
      <c r="A335" s="5" t="s">
        <v>52</v>
      </c>
      <c r="B335" s="5" t="e">
        <v>#N/A</v>
      </c>
      <c r="C335" s="5" t="e">
        <v>#N/A</v>
      </c>
      <c r="F335" s="5" t="s">
        <v>55</v>
      </c>
      <c r="G335" s="5" t="s">
        <v>65</v>
      </c>
      <c r="H335" s="5" t="s">
        <v>57</v>
      </c>
      <c r="I335" s="5" t="s">
        <v>208</v>
      </c>
      <c r="J335" s="5" t="str">
        <f>IFERROR(VLOOKUP(I335,[1]INFO_LOCALES!$B:$C,2,FALSE),"")</f>
        <v>EDIFICIO LAS ARTES</v>
      </c>
      <c r="K335" s="5" t="str">
        <f>IFERROR(VLOOKUP(Tabla2[[#This Row],[TIENDA]],[1]INFO_LOCALES!$B:$D,3,FALSE),"")</f>
        <v>RM - Santiago</v>
      </c>
      <c r="L335" s="5" t="str">
        <f>IFERROR(VLOOKUP(I335,[1]INFO_LOCALES!$B:$I,8,FALSE),"")</f>
        <v>Las Condes</v>
      </c>
      <c r="M335" s="5" t="str">
        <f>IFERROR(VLOOKUP(I335,[1]INFO_LOCALES!$B:$H,7,FALSE),"")</f>
        <v>Cerro El Plomo 5680. Piso 7,8,9,10 y 11</v>
      </c>
      <c r="N335" s="5">
        <f>IFERROR(VLOOKUP(I335,[1]INFO_LOCALES!$B:$E,4,FALSE),"")</f>
        <v>0</v>
      </c>
      <c r="O335" s="5" t="str">
        <f>VLOOKUP(Tabla2[[#This Row],[TIENDA]],[1]INFO_LOCALES!$B:$J,9,0)</f>
        <v>SIN CONVENIO</v>
      </c>
      <c r="P335" s="5" t="str">
        <f>IFERROR(VLOOKUP(I335,[1]INFO_LOCALES!$B:$F,5,FALSE),"")</f>
        <v>AGUAS CORDILLERA S.A.</v>
      </c>
      <c r="Q335" s="5" t="s">
        <v>85</v>
      </c>
      <c r="R335" s="5" t="s">
        <v>86</v>
      </c>
      <c r="S335" s="6">
        <v>45601</v>
      </c>
      <c r="T335" s="5" t="s">
        <v>72</v>
      </c>
      <c r="U335" s="6">
        <v>45579</v>
      </c>
      <c r="V335" s="5" t="s">
        <v>59</v>
      </c>
      <c r="W3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35" s="7">
        <f t="shared" si="11"/>
        <v>2</v>
      </c>
      <c r="Y335" s="5">
        <v>15.7</v>
      </c>
      <c r="Z335" s="5">
        <v>7.36</v>
      </c>
      <c r="AA335" s="5">
        <v>10</v>
      </c>
      <c r="AB335" s="5">
        <v>14</v>
      </c>
      <c r="AC335" s="5">
        <v>44</v>
      </c>
      <c r="AD335" s="5">
        <v>4.93</v>
      </c>
      <c r="AE335" s="5">
        <v>39.6</v>
      </c>
      <c r="AF335" s="5">
        <v>0.5</v>
      </c>
      <c r="AG335" s="5">
        <v>85</v>
      </c>
      <c r="AI335" s="5">
        <f t="shared" si="10"/>
        <v>0</v>
      </c>
    </row>
    <row r="336" spans="1:52" x14ac:dyDescent="0.25">
      <c r="A336" s="5" t="s">
        <v>52</v>
      </c>
      <c r="B336" s="5" t="s">
        <v>82</v>
      </c>
      <c r="C336" s="5" t="s">
        <v>77</v>
      </c>
      <c r="F336" s="5" t="s">
        <v>55</v>
      </c>
      <c r="G336" s="5" t="s">
        <v>61</v>
      </c>
      <c r="H336" s="5" t="s">
        <v>57</v>
      </c>
      <c r="I336" s="5">
        <v>7</v>
      </c>
      <c r="J336" s="5" t="str">
        <f>IFERROR(VLOOKUP(I336,[1]INFO_LOCALES!$B:$C,2,FALSE),"")</f>
        <v>VALLENAR I</v>
      </c>
      <c r="K336" s="5" t="str">
        <f>IFERROR(VLOOKUP(Tabla2[[#This Row],[TIENDA]],[1]INFO_LOCALES!$B:$D,3,FALSE),"")</f>
        <v>III - Atacama</v>
      </c>
      <c r="L336" s="5" t="str">
        <f>IFERROR(VLOOKUP(I336,[1]INFO_LOCALES!$B:$I,8,FALSE),"")</f>
        <v>Vallenar</v>
      </c>
      <c r="M336" s="5" t="str">
        <f>IFERROR(VLOOKUP(I336,[1]INFO_LOCALES!$B:$H,7,FALSE),"")</f>
        <v>Brasil 663</v>
      </c>
      <c r="N336" s="5">
        <f>IFERROR(VLOOKUP(I336,[1]INFO_LOCALES!$B:$E,4,FALSE),"")</f>
        <v>0</v>
      </c>
      <c r="O336" s="5" t="str">
        <f>VLOOKUP(Tabla2[[#This Row],[TIENDA]],[1]INFO_LOCALES!$B:$J,9,0)</f>
        <v>CONVENIO</v>
      </c>
      <c r="P336" s="5" t="str">
        <f>IFERROR(VLOOKUP(I336,[1]INFO_LOCALES!$B:$F,5,FALSE),"")</f>
        <v>NUEVA ATACAMA</v>
      </c>
      <c r="Q336" s="5" t="s">
        <v>66</v>
      </c>
      <c r="R336" s="5" t="s">
        <v>58</v>
      </c>
      <c r="S336" s="6">
        <v>45629</v>
      </c>
      <c r="T336" s="5" t="str">
        <f>UPPER(IF(Tabla2[[#This Row],[FECHA DE MUESTREO ]]=0,"",TEXT(Tabla2[[#This Row],[FECHA DE MUESTREO ]],("MMMM"))))</f>
        <v>OCTUBRE</v>
      </c>
      <c r="U336" s="6">
        <v>45580</v>
      </c>
      <c r="V336" s="5" t="s">
        <v>59</v>
      </c>
      <c r="W3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36" s="7">
        <f t="shared" si="11"/>
        <v>3</v>
      </c>
      <c r="Y336" s="5">
        <v>14.79</v>
      </c>
      <c r="AA336" s="5">
        <v>13.3</v>
      </c>
      <c r="AC336" s="5">
        <v>563</v>
      </c>
      <c r="AD336" s="5">
        <v>3.46</v>
      </c>
      <c r="AE336" s="5">
        <v>174.5</v>
      </c>
      <c r="AF336" s="5">
        <v>2</v>
      </c>
      <c r="AG336" s="5">
        <v>137.29</v>
      </c>
      <c r="AI336" s="5">
        <f t="shared" si="10"/>
        <v>0</v>
      </c>
      <c r="AY336" s="5">
        <v>0.1</v>
      </c>
    </row>
    <row r="337" spans="1:51" x14ac:dyDescent="0.25">
      <c r="A337" s="5" t="s">
        <v>52</v>
      </c>
      <c r="B337" s="5" t="s">
        <v>53</v>
      </c>
      <c r="C337" s="5" t="s">
        <v>54</v>
      </c>
      <c r="F337" s="5" t="s">
        <v>55</v>
      </c>
      <c r="G337" s="5" t="s">
        <v>61</v>
      </c>
      <c r="H337" s="5" t="s">
        <v>57</v>
      </c>
      <c r="I337" s="5">
        <v>344</v>
      </c>
      <c r="J337" s="5" t="str">
        <f>IFERROR(VLOOKUP(I337,[1]INFO_LOCALES!$B:$C,2,FALSE),"")</f>
        <v>CURICO ALAMEDA</v>
      </c>
      <c r="K337" s="5" t="str">
        <f>IFERROR(VLOOKUP(Tabla2[[#This Row],[TIENDA]],[1]INFO_LOCALES!$B:$D,3,FALSE),"")</f>
        <v>VII - Maule</v>
      </c>
      <c r="L337" s="5" t="str">
        <f>IFERROR(VLOOKUP(I337,[1]INFO_LOCALES!$B:$I,8,FALSE),"")</f>
        <v>Curicó</v>
      </c>
      <c r="M337" s="5" t="str">
        <f>IFERROR(VLOOKUP(I337,[1]INFO_LOCALES!$B:$H,7,FALSE),"")</f>
        <v>Estado 43</v>
      </c>
      <c r="N337" s="5">
        <f>IFERROR(VLOOKUP(I337,[1]INFO_LOCALES!$B:$E,4,FALSE),"")</f>
        <v>4530</v>
      </c>
      <c r="O337" s="5" t="str">
        <f>VLOOKUP(Tabla2[[#This Row],[TIENDA]],[1]INFO_LOCALES!$B:$J,9,0)</f>
        <v>SIN CONVENIO</v>
      </c>
      <c r="P337" s="5" t="str">
        <f>IFERROR(VLOOKUP(I337,[1]INFO_LOCALES!$B:$F,5,FALSE),"")</f>
        <v>NUEVOSUR S.A.</v>
      </c>
      <c r="Q337" s="5" t="s">
        <v>85</v>
      </c>
      <c r="R337" s="5" t="s">
        <v>86</v>
      </c>
      <c r="S337" s="6">
        <v>45672</v>
      </c>
      <c r="T337" s="5" t="str">
        <f>UPPER(IF(Tabla2[[#This Row],[FECHA DE MUESTREO ]]=0,"",TEXT(Tabla2[[#This Row],[FECHA DE MUESTREO ]],("MMMM"))))</f>
        <v>OCTUBRE</v>
      </c>
      <c r="U337" s="6">
        <v>45580</v>
      </c>
      <c r="V337" s="5" t="s">
        <v>59</v>
      </c>
      <c r="W3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37" s="7">
        <f t="shared" si="11"/>
        <v>2</v>
      </c>
      <c r="Y337" s="5">
        <v>13</v>
      </c>
      <c r="Z337" s="5">
        <v>6.67</v>
      </c>
      <c r="AA337" s="5">
        <v>5.3</v>
      </c>
      <c r="AB337" s="5">
        <v>16</v>
      </c>
      <c r="AC337" s="5">
        <v>519.79999999999995</v>
      </c>
      <c r="AD337" s="5">
        <v>4.49</v>
      </c>
      <c r="AE337" s="5">
        <v>41.7</v>
      </c>
      <c r="AF337" s="5">
        <v>10</v>
      </c>
      <c r="AG337" s="5">
        <v>440.5</v>
      </c>
      <c r="AH337" s="5">
        <v>0</v>
      </c>
      <c r="AI337" s="5">
        <v>0</v>
      </c>
    </row>
    <row r="338" spans="1:51" x14ac:dyDescent="0.25">
      <c r="A338" s="5" t="s">
        <v>52</v>
      </c>
      <c r="B338" s="5" t="s">
        <v>53</v>
      </c>
      <c r="C338" s="5" t="s">
        <v>54</v>
      </c>
      <c r="F338" s="5" t="s">
        <v>55</v>
      </c>
      <c r="G338" s="5" t="s">
        <v>61</v>
      </c>
      <c r="H338" s="5" t="s">
        <v>57</v>
      </c>
      <c r="I338" s="5">
        <v>344</v>
      </c>
      <c r="J338" s="5" t="str">
        <f>IFERROR(VLOOKUP(I338,[1]INFO_LOCALES!$B:$C,2,FALSE),"")</f>
        <v>CURICO ALAMEDA</v>
      </c>
      <c r="K338" s="5" t="str">
        <f>IFERROR(VLOOKUP(Tabla2[[#This Row],[TIENDA]],[1]INFO_LOCALES!$B:$D,3,FALSE),"")</f>
        <v>VII - Maule</v>
      </c>
      <c r="L338" s="5" t="str">
        <f>IFERROR(VLOOKUP(I338,[1]INFO_LOCALES!$B:$I,8,FALSE),"")</f>
        <v>Curicó</v>
      </c>
      <c r="M338" s="5" t="str">
        <f>IFERROR(VLOOKUP(I338,[1]INFO_LOCALES!$B:$H,7,FALSE),"")</f>
        <v>Estado 43</v>
      </c>
      <c r="N338" s="5">
        <f>IFERROR(VLOOKUP(I338,[1]INFO_LOCALES!$B:$E,4,FALSE),"")</f>
        <v>4530</v>
      </c>
      <c r="O338" s="5" t="str">
        <f>VLOOKUP(Tabla2[[#This Row],[TIENDA]],[1]INFO_LOCALES!$B:$J,9,0)</f>
        <v>SIN CONVENIO</v>
      </c>
      <c r="P338" s="5" t="str">
        <f>IFERROR(VLOOKUP(I338,[1]INFO_LOCALES!$B:$F,5,FALSE),"")</f>
        <v>NUEVOSUR S.A.</v>
      </c>
      <c r="Q338" s="5" t="s">
        <v>66</v>
      </c>
      <c r="R338" s="5" t="s">
        <v>58</v>
      </c>
      <c r="S338" s="6">
        <v>45672</v>
      </c>
      <c r="T338" s="5" t="str">
        <f>UPPER(IF(Tabla2[[#This Row],[FECHA DE MUESTREO ]]=0,"",TEXT(Tabla2[[#This Row],[FECHA DE MUESTREO ]],("MMMM"))))</f>
        <v>OCTUBRE</v>
      </c>
      <c r="U338" s="6">
        <v>45580</v>
      </c>
      <c r="V338" s="5" t="s">
        <v>59</v>
      </c>
      <c r="W3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38" s="7">
        <f t="shared" si="11"/>
        <v>2</v>
      </c>
      <c r="Y338" s="5">
        <v>13</v>
      </c>
      <c r="Z338" s="5">
        <v>7.15</v>
      </c>
      <c r="AA338" s="5">
        <v>5.3</v>
      </c>
      <c r="AB338" s="5">
        <v>10.5</v>
      </c>
      <c r="AC338" s="5">
        <v>519</v>
      </c>
      <c r="AD338" s="5">
        <v>4.49</v>
      </c>
      <c r="AE338" s="5">
        <v>41.7</v>
      </c>
      <c r="AG338" s="5">
        <v>440</v>
      </c>
      <c r="AH338" s="5">
        <v>0.31</v>
      </c>
      <c r="AI338" s="5">
        <f>AH338*30</f>
        <v>9.3000000000000007</v>
      </c>
    </row>
    <row r="339" spans="1:51" x14ac:dyDescent="0.25">
      <c r="A339" s="5" t="s">
        <v>52</v>
      </c>
      <c r="B339" s="5" t="s">
        <v>209</v>
      </c>
      <c r="C339" s="5" t="s">
        <v>54</v>
      </c>
      <c r="F339" s="5" t="s">
        <v>55</v>
      </c>
      <c r="G339" s="5" t="s">
        <v>65</v>
      </c>
      <c r="H339" s="5" t="s">
        <v>57</v>
      </c>
      <c r="I339" s="5">
        <v>336</v>
      </c>
      <c r="J339" s="5" t="str">
        <f>IFERROR(VLOOKUP(I339,[1]INFO_LOCALES!$B:$C,2,FALSE),"")</f>
        <v>CONCEPCION I</v>
      </c>
      <c r="K339" s="5" t="str">
        <f>IFERROR(VLOOKUP(Tabla2[[#This Row],[TIENDA]],[1]INFO_LOCALES!$B:$D,3,FALSE),"")</f>
        <v>VIII - Biobío</v>
      </c>
      <c r="L339" s="5" t="str">
        <f>IFERROR(VLOOKUP(I339,[1]INFO_LOCALES!$B:$I,8,FALSE),"")</f>
        <v>Concepción</v>
      </c>
      <c r="M339" s="5" t="str">
        <f>IFERROR(VLOOKUP(I339,[1]INFO_LOCALES!$B:$H,7,FALSE),"")</f>
        <v>CHACABUCO 70</v>
      </c>
      <c r="N339" s="5">
        <f>IFERROR(VLOOKUP(I339,[1]INFO_LOCALES!$B:$E,4,FALSE),"")</f>
        <v>0</v>
      </c>
      <c r="O339" s="5" t="str">
        <f>VLOOKUP(Tabla2[[#This Row],[TIENDA]],[1]INFO_LOCALES!$B:$J,9,0)</f>
        <v>SIN CONVENIO</v>
      </c>
      <c r="P339" s="5" t="str">
        <f>IFERROR(VLOOKUP(I339,[1]INFO_LOCALES!$B:$F,5,FALSE),"")</f>
        <v>ESSBIO S.A.</v>
      </c>
      <c r="Q339" s="5" t="s">
        <v>66</v>
      </c>
      <c r="R339" s="5" t="s">
        <v>58</v>
      </c>
      <c r="S339" s="6">
        <v>45672</v>
      </c>
      <c r="T339" s="5" t="str">
        <f>UPPER(IF(Tabla2[[#This Row],[FECHA DE MUESTREO ]]=0,"",TEXT(Tabla2[[#This Row],[FECHA DE MUESTREO ]],("MMMM"))))</f>
        <v>OCTUBRE</v>
      </c>
      <c r="U339" s="6">
        <v>45581</v>
      </c>
      <c r="V339" s="5" t="s">
        <v>59</v>
      </c>
      <c r="W3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39" s="7">
        <f t="shared" si="11"/>
        <v>1</v>
      </c>
      <c r="Y339" s="5">
        <v>26</v>
      </c>
      <c r="Z339" s="5">
        <v>7.1</v>
      </c>
      <c r="AA339" s="5">
        <v>4.7</v>
      </c>
      <c r="AB339" s="5">
        <v>17.5</v>
      </c>
      <c r="AC339" s="5">
        <v>265.64999999999998</v>
      </c>
      <c r="AD339" s="5">
        <v>8.35</v>
      </c>
      <c r="AE339" s="5">
        <v>28.6</v>
      </c>
      <c r="AF339" s="5">
        <v>1</v>
      </c>
      <c r="AG339" s="5">
        <v>72.14</v>
      </c>
      <c r="AH339" s="5">
        <v>4579.2</v>
      </c>
      <c r="AI339" s="5">
        <v>137376</v>
      </c>
    </row>
    <row r="340" spans="1:51" x14ac:dyDescent="0.25">
      <c r="A340" s="5" t="s">
        <v>52</v>
      </c>
      <c r="B340" s="5" t="s">
        <v>164</v>
      </c>
      <c r="C340" s="5" t="s">
        <v>54</v>
      </c>
      <c r="F340" s="5" t="s">
        <v>55</v>
      </c>
      <c r="G340" s="5" t="s">
        <v>61</v>
      </c>
      <c r="H340" s="5" t="s">
        <v>57</v>
      </c>
      <c r="I340" s="5">
        <v>88</v>
      </c>
      <c r="J340" s="5" t="str">
        <f>IFERROR(VLOOKUP(I340,[1]INFO_LOCALES!$B:$C,2,FALSE),"")</f>
        <v>LINARES I</v>
      </c>
      <c r="K340" s="5" t="str">
        <f>IFERROR(VLOOKUP(Tabla2[[#This Row],[TIENDA]],[1]INFO_LOCALES!$B:$D,3,FALSE),"")</f>
        <v>VII - Maule</v>
      </c>
      <c r="L340" s="5" t="str">
        <f>IFERROR(VLOOKUP(I340,[1]INFO_LOCALES!$B:$I,8,FALSE),"")</f>
        <v>Linares</v>
      </c>
      <c r="M340" s="5" t="str">
        <f>IFERROR(VLOOKUP(I340,[1]INFO_LOCALES!$B:$H,7,FALSE),"")</f>
        <v>Maipu Nº 556</v>
      </c>
      <c r="N340" s="5">
        <f>IFERROR(VLOOKUP(I340,[1]INFO_LOCALES!$B:$E,4,FALSE),"")</f>
        <v>0</v>
      </c>
      <c r="O340" s="5" t="str">
        <f>VLOOKUP(Tabla2[[#This Row],[TIENDA]],[1]INFO_LOCALES!$B:$J,9,0)</f>
        <v>SIN CONVENIO</v>
      </c>
      <c r="P340" s="5" t="str">
        <f>IFERROR(VLOOKUP(I340,[1]INFO_LOCALES!$B:$F,5,FALSE),"")</f>
        <v>NUEVOSUR S.A.</v>
      </c>
      <c r="Q340" s="5" t="s">
        <v>66</v>
      </c>
      <c r="R340" s="5" t="s">
        <v>58</v>
      </c>
      <c r="S340" s="6">
        <v>45672</v>
      </c>
      <c r="T340" s="5" t="str">
        <f>UPPER(IF(Tabla2[[#This Row],[FECHA DE MUESTREO ]]=0,"",TEXT(Tabla2[[#This Row],[FECHA DE MUESTREO ]],("MMMM"))))</f>
        <v>OCTUBRE</v>
      </c>
      <c r="U340" s="6">
        <v>45586</v>
      </c>
      <c r="V340" s="5" t="s">
        <v>59</v>
      </c>
      <c r="W3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40" s="7">
        <f t="shared" si="11"/>
        <v>3</v>
      </c>
      <c r="Y340" s="5">
        <v>2</v>
      </c>
      <c r="Z340" s="5">
        <v>7.1</v>
      </c>
      <c r="AA340" s="5">
        <v>23.3</v>
      </c>
      <c r="AB340" s="5">
        <v>14.5</v>
      </c>
      <c r="AC340" s="5">
        <v>220.3</v>
      </c>
      <c r="AD340" s="5">
        <v>12.58</v>
      </c>
      <c r="AE340" s="5">
        <v>24.8</v>
      </c>
      <c r="AG340" s="5">
        <v>45.95</v>
      </c>
      <c r="AH340" s="5">
        <v>0.18</v>
      </c>
      <c r="AI340" s="5">
        <f t="shared" ref="AI340:AI391" si="12">AH340*30</f>
        <v>5.3999999999999995</v>
      </c>
    </row>
    <row r="341" spans="1:51" x14ac:dyDescent="0.25">
      <c r="A341" s="5" t="s">
        <v>52</v>
      </c>
      <c r="B341" s="5" t="s">
        <v>82</v>
      </c>
      <c r="C341" s="5" t="s">
        <v>77</v>
      </c>
      <c r="F341" s="5" t="s">
        <v>55</v>
      </c>
      <c r="G341" s="5" t="s">
        <v>65</v>
      </c>
      <c r="H341" s="5" t="s">
        <v>57</v>
      </c>
      <c r="I341" s="5">
        <v>14</v>
      </c>
      <c r="J341" s="5" t="str">
        <f>IFERROR(VLOOKUP(I341,[1]INFO_LOCALES!$B:$C,2,FALSE),"")</f>
        <v>COPIAPO</v>
      </c>
      <c r="K341" s="5" t="str">
        <f>IFERROR(VLOOKUP(Tabla2[[#This Row],[TIENDA]],[1]INFO_LOCALES!$B:$D,3,FALSE),"")</f>
        <v>III - Atacama</v>
      </c>
      <c r="L341" s="5" t="str">
        <f>IFERROR(VLOOKUP(I341,[1]INFO_LOCALES!$B:$I,8,FALSE),"")</f>
        <v>Copiapó</v>
      </c>
      <c r="M341" s="5" t="str">
        <f>IFERROR(VLOOKUP(I341,[1]INFO_LOCALES!$B:$H,7,FALSE),"")</f>
        <v>Av. Henrriquez N° 523</v>
      </c>
      <c r="N341" s="5">
        <f>IFERROR(VLOOKUP(I341,[1]INFO_LOCALES!$B:$E,4,FALSE),"")</f>
        <v>0</v>
      </c>
      <c r="O341" s="5" t="str">
        <f>VLOOKUP(Tabla2[[#This Row],[TIENDA]],[1]INFO_LOCALES!$B:$J,9,0)</f>
        <v>CONVENIO</v>
      </c>
      <c r="P341" s="5" t="str">
        <f>IFERROR(VLOOKUP(I341,[1]INFO_LOCALES!$B:$F,5,FALSE),"")</f>
        <v>NUEVA ATACAMA</v>
      </c>
      <c r="Q341" s="5" t="s">
        <v>85</v>
      </c>
      <c r="R341" s="5" t="s">
        <v>86</v>
      </c>
      <c r="S341" s="6"/>
      <c r="T341" s="5" t="s">
        <v>72</v>
      </c>
      <c r="U341" s="6">
        <v>45587</v>
      </c>
      <c r="V341" s="5" t="s">
        <v>59</v>
      </c>
      <c r="W3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41" s="7">
        <f t="shared" si="11"/>
        <v>1</v>
      </c>
      <c r="Y341" s="5">
        <v>7.6</v>
      </c>
      <c r="AA341" s="5">
        <v>6</v>
      </c>
      <c r="AC341" s="5">
        <v>112</v>
      </c>
      <c r="AD341" s="5">
        <v>6.9</v>
      </c>
      <c r="AE341" s="5">
        <v>30.15</v>
      </c>
      <c r="AF341" s="5">
        <v>5</v>
      </c>
      <c r="AG341" s="5">
        <v>32.4</v>
      </c>
      <c r="AI341" s="5">
        <f t="shared" si="12"/>
        <v>0</v>
      </c>
    </row>
    <row r="342" spans="1:51" x14ac:dyDescent="0.25">
      <c r="A342" s="5" t="s">
        <v>52</v>
      </c>
      <c r="B342" s="5" t="s">
        <v>82</v>
      </c>
      <c r="C342" s="5" t="s">
        <v>77</v>
      </c>
      <c r="F342" s="5" t="s">
        <v>55</v>
      </c>
      <c r="G342" s="5" t="s">
        <v>61</v>
      </c>
      <c r="H342" s="5" t="s">
        <v>57</v>
      </c>
      <c r="I342" s="5">
        <v>25</v>
      </c>
      <c r="J342" s="5" t="str">
        <f>IFERROR(VLOOKUP(I342,[1]INFO_LOCALES!$B:$C,2,FALSE),"")</f>
        <v>EL PALOMAR</v>
      </c>
      <c r="K342" s="5" t="str">
        <f>IFERROR(VLOOKUP(Tabla2[[#This Row],[TIENDA]],[1]INFO_LOCALES!$B:$D,3,FALSE),"")</f>
        <v>III - Atacama</v>
      </c>
      <c r="L342" s="5" t="str">
        <f>IFERROR(VLOOKUP(I342,[1]INFO_LOCALES!$B:$I,8,FALSE),"")</f>
        <v>Copiapó</v>
      </c>
      <c r="M342" s="5" t="str">
        <f>IFERROR(VLOOKUP(I342,[1]INFO_LOCALES!$B:$H,7,FALSE),"")</f>
        <v>Av. Palomar 1525</v>
      </c>
      <c r="N342" s="5">
        <f>IFERROR(VLOOKUP(I342,[1]INFO_LOCALES!$B:$E,4,FALSE),"")</f>
        <v>3868</v>
      </c>
      <c r="O342" s="5" t="str">
        <f>VLOOKUP(Tabla2[[#This Row],[TIENDA]],[1]INFO_LOCALES!$B:$J,9,0)</f>
        <v>TERMINADO</v>
      </c>
      <c r="P342" s="5" t="str">
        <f>IFERROR(VLOOKUP(I342,[1]INFO_LOCALES!$B:$F,5,FALSE),"")</f>
        <v>NUEVA ATACAMA</v>
      </c>
      <c r="Q342" s="5" t="s">
        <v>85</v>
      </c>
      <c r="R342" s="5" t="s">
        <v>86</v>
      </c>
      <c r="S342" s="6"/>
      <c r="T342" s="5" t="s">
        <v>72</v>
      </c>
      <c r="U342" s="6">
        <v>45587</v>
      </c>
      <c r="V342" s="5" t="s">
        <v>59</v>
      </c>
      <c r="W3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42" s="7">
        <f t="shared" si="11"/>
        <v>1</v>
      </c>
      <c r="Y342" s="5">
        <v>3.4</v>
      </c>
      <c r="AA342" s="5">
        <v>3</v>
      </c>
      <c r="AC342" s="5">
        <v>264</v>
      </c>
      <c r="AD342" s="5">
        <v>7.4</v>
      </c>
      <c r="AE342" s="5">
        <v>57.4</v>
      </c>
      <c r="AF342" s="5">
        <v>0.5</v>
      </c>
      <c r="AG342" s="5">
        <v>40</v>
      </c>
      <c r="AI342" s="5">
        <f t="shared" si="12"/>
        <v>0</v>
      </c>
    </row>
    <row r="343" spans="1:51" x14ac:dyDescent="0.25">
      <c r="A343" s="5" t="s">
        <v>52</v>
      </c>
      <c r="B343" s="5" t="s">
        <v>82</v>
      </c>
      <c r="C343" s="5" t="s">
        <v>77</v>
      </c>
      <c r="F343" s="5" t="s">
        <v>55</v>
      </c>
      <c r="G343" s="5" t="s">
        <v>61</v>
      </c>
      <c r="H343" s="5" t="s">
        <v>57</v>
      </c>
      <c r="I343" s="5">
        <v>22</v>
      </c>
      <c r="J343" s="5" t="str">
        <f>IFERROR(VLOOKUP(I343,[1]INFO_LOCALES!$B:$C,2,FALSE),"")</f>
        <v>ATACAMA</v>
      </c>
      <c r="K343" s="5" t="str">
        <f>IFERROR(VLOOKUP(Tabla2[[#This Row],[TIENDA]],[1]INFO_LOCALES!$B:$D,3,FALSE),"")</f>
        <v>III - Atacama</v>
      </c>
      <c r="L343" s="5" t="str">
        <f>IFERROR(VLOOKUP(I343,[1]INFO_LOCALES!$B:$I,8,FALSE),"")</f>
        <v>Copiapó</v>
      </c>
      <c r="M343" s="5" t="str">
        <f>IFERROR(VLOOKUP(I343,[1]INFO_LOCALES!$B:$H,7,FALSE),"")</f>
        <v>Los Carreras 2242</v>
      </c>
      <c r="N343" s="5">
        <f>IFERROR(VLOOKUP(I343,[1]INFO_LOCALES!$B:$E,4,FALSE),"")</f>
        <v>2666</v>
      </c>
      <c r="O343" s="5" t="str">
        <f>VLOOKUP(Tabla2[[#This Row],[TIENDA]],[1]INFO_LOCALES!$B:$J,9,0)</f>
        <v>CONVENIO</v>
      </c>
      <c r="P343" s="5" t="str">
        <f>IFERROR(VLOOKUP(I343,[1]INFO_LOCALES!$B:$F,5,FALSE),"")</f>
        <v>NUEVA ATACAMA</v>
      </c>
      <c r="Q343" s="5" t="s">
        <v>85</v>
      </c>
      <c r="R343" s="5" t="s">
        <v>86</v>
      </c>
      <c r="S343" s="6"/>
      <c r="T343" s="5" t="s">
        <v>72</v>
      </c>
      <c r="U343" s="6">
        <v>45587</v>
      </c>
      <c r="V343" s="5" t="s">
        <v>59</v>
      </c>
      <c r="W3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43" s="7">
        <f t="shared" si="11"/>
        <v>3</v>
      </c>
      <c r="Y343" s="5">
        <v>36.4</v>
      </c>
      <c r="AA343" s="5">
        <v>3</v>
      </c>
      <c r="AC343" s="5">
        <v>628</v>
      </c>
      <c r="AD343" s="5">
        <v>14</v>
      </c>
      <c r="AE343" s="5">
        <v>91.64</v>
      </c>
      <c r="AF343" s="5">
        <v>0.8</v>
      </c>
      <c r="AG343" s="5">
        <v>113</v>
      </c>
      <c r="AI343" s="5">
        <f t="shared" si="12"/>
        <v>0</v>
      </c>
    </row>
    <row r="344" spans="1:51" x14ac:dyDescent="0.25">
      <c r="A344" s="5" t="s">
        <v>52</v>
      </c>
      <c r="B344" s="5" t="s">
        <v>73</v>
      </c>
      <c r="C344" s="5" t="s">
        <v>74</v>
      </c>
      <c r="F344" s="5" t="s">
        <v>55</v>
      </c>
      <c r="G344" s="5" t="s">
        <v>61</v>
      </c>
      <c r="H344" s="5" t="s">
        <v>57</v>
      </c>
      <c r="I344" s="5">
        <v>442</v>
      </c>
      <c r="J344" s="5" t="str">
        <f>IFERROR(VLOOKUP(I344,[1]INFO_LOCALES!$B:$C,2,FALSE),"")</f>
        <v>COYHAIQUE</v>
      </c>
      <c r="K344" s="5" t="str">
        <f>IFERROR(VLOOKUP(Tabla2[[#This Row],[TIENDA]],[1]INFO_LOCALES!$B:$D,3,FALSE),"")</f>
        <v>XI - Aysén</v>
      </c>
      <c r="L344" s="5" t="str">
        <f>IFERROR(VLOOKUP(I344,[1]INFO_LOCALES!$B:$I,8,FALSE),"")</f>
        <v>Coyhaique</v>
      </c>
      <c r="M344" s="5" t="str">
        <f>IFERROR(VLOOKUP(I344,[1]INFO_LOCALES!$B:$H,7,FALSE),"")</f>
        <v>Lautaro 331</v>
      </c>
      <c r="N344" s="5">
        <f>IFERROR(VLOOKUP(I344,[1]INFO_LOCALES!$B:$E,4,FALSE),"")</f>
        <v>1320</v>
      </c>
      <c r="O344" s="5" t="str">
        <f>VLOOKUP(Tabla2[[#This Row],[TIENDA]],[1]INFO_LOCALES!$B:$J,9,0)</f>
        <v>SIN CONVENIO</v>
      </c>
      <c r="P344" s="5" t="str">
        <f>IFERROR(VLOOKUP(I344,[1]INFO_LOCALES!$B:$F,5,FALSE),"")</f>
        <v>AGUAS PATAGONIA</v>
      </c>
      <c r="Q344" s="5" t="s">
        <v>144</v>
      </c>
      <c r="R344" s="5" t="s">
        <v>86</v>
      </c>
      <c r="S344" s="6">
        <v>45628</v>
      </c>
      <c r="T344" s="5" t="str">
        <f>UPPER(IF(Tabla2[[#This Row],[FECHA DE MUESTREO ]]=0,"",TEXT(Tabla2[[#This Row],[FECHA DE MUESTREO ]],("MMMM"))))</f>
        <v>OCTUBRE</v>
      </c>
      <c r="U344" s="6">
        <v>45587</v>
      </c>
      <c r="V344" s="5" t="s">
        <v>59</v>
      </c>
      <c r="W3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44" s="7">
        <f t="shared" si="11"/>
        <v>2</v>
      </c>
      <c r="Y344" s="5">
        <v>21</v>
      </c>
      <c r="Z344" s="5">
        <v>7.77</v>
      </c>
      <c r="AA344" s="5">
        <v>7</v>
      </c>
      <c r="AB344" s="5">
        <v>10.84</v>
      </c>
      <c r="AC344" s="5">
        <v>377</v>
      </c>
      <c r="AD344" s="5">
        <v>13.8</v>
      </c>
      <c r="AE344" s="5">
        <v>22</v>
      </c>
      <c r="AF344" s="5">
        <v>2</v>
      </c>
      <c r="AG344" s="5">
        <v>135</v>
      </c>
      <c r="AH344" s="5">
        <v>37.15</v>
      </c>
      <c r="AI344" s="5">
        <f t="shared" si="12"/>
        <v>1114.5</v>
      </c>
    </row>
    <row r="345" spans="1:51" x14ac:dyDescent="0.25">
      <c r="A345" s="5" t="s">
        <v>60</v>
      </c>
      <c r="B345" s="5" t="e">
        <v>#N/A</v>
      </c>
      <c r="C345" s="5" t="e">
        <v>#N/A</v>
      </c>
      <c r="F345" s="5" t="s">
        <v>55</v>
      </c>
      <c r="G345" s="5" t="s">
        <v>65</v>
      </c>
      <c r="H345" s="5" t="s">
        <v>57</v>
      </c>
      <c r="I345" s="5">
        <v>3013</v>
      </c>
      <c r="J345" s="5" t="str">
        <f>IFERROR(VLOOKUP(I345,[1]INFO_LOCALES!$B:$C,2,FALSE),"")</f>
        <v>M10 SAN BERNARDO I</v>
      </c>
      <c r="K345" s="5" t="str">
        <f>IFERROR(VLOOKUP(Tabla2[[#This Row],[TIENDA]],[1]INFO_LOCALES!$B:$D,3,FALSE),"")</f>
        <v>RM - Santiago</v>
      </c>
      <c r="L345" s="5" t="str">
        <f>IFERROR(VLOOKUP(I345,[1]INFO_LOCALES!$B:$I,8,FALSE),"")</f>
        <v>San Bernardo</v>
      </c>
      <c r="M345" s="5" t="str">
        <f>IFERROR(VLOOKUP(I345,[1]INFO_LOCALES!$B:$H,7,FALSE),"")</f>
        <v>Av. Portales 2448</v>
      </c>
      <c r="N345" s="5">
        <f>IFERROR(VLOOKUP(I345,[1]INFO_LOCALES!$B:$E,4,FALSE),"")</f>
        <v>0</v>
      </c>
      <c r="O345" s="5" t="str">
        <f>VLOOKUP(Tabla2[[#This Row],[TIENDA]],[1]INFO_LOCALES!$B:$J,9,0)</f>
        <v>SIN CONVENIO</v>
      </c>
      <c r="P345" s="5" t="str">
        <f>IFERROR(VLOOKUP(I345,[1]INFO_LOCALES!$B:$F,5,FALSE),"")</f>
        <v>AGUAS ANDINAS S.A.</v>
      </c>
      <c r="Q345" s="5" t="s">
        <v>113</v>
      </c>
      <c r="R345" s="5" t="s">
        <v>58</v>
      </c>
      <c r="S345" s="6">
        <v>45637</v>
      </c>
      <c r="T345" s="5" t="str">
        <f>UPPER(IF(Tabla2[[#This Row],[FECHA DE MUESTREO ]]=0,"",TEXT(Tabla2[[#This Row],[FECHA DE MUESTREO ]],("MMMM"))))</f>
        <v>OCTUBRE</v>
      </c>
      <c r="U345" s="6">
        <v>45587</v>
      </c>
      <c r="V345" s="5" t="s">
        <v>59</v>
      </c>
      <c r="W3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45" s="7">
        <f t="shared" si="11"/>
        <v>2</v>
      </c>
      <c r="Y345" s="5">
        <v>19</v>
      </c>
      <c r="Z345" s="5">
        <v>8.61</v>
      </c>
      <c r="AA345" s="5">
        <v>11.7</v>
      </c>
      <c r="AB345" s="5">
        <v>18.5</v>
      </c>
      <c r="AC345" s="5">
        <v>175</v>
      </c>
      <c r="AD345" s="5">
        <v>9.27</v>
      </c>
      <c r="AE345" s="5">
        <v>61.02</v>
      </c>
      <c r="AF345" s="5">
        <v>0.2</v>
      </c>
      <c r="AG345" s="5">
        <v>55</v>
      </c>
      <c r="AH345" s="5">
        <v>3</v>
      </c>
      <c r="AI345" s="5">
        <f t="shared" si="12"/>
        <v>90</v>
      </c>
    </row>
    <row r="346" spans="1:51" x14ac:dyDescent="0.25">
      <c r="A346" s="5" t="s">
        <v>52</v>
      </c>
      <c r="B346" s="5" t="s">
        <v>74</v>
      </c>
      <c r="C346" s="5" t="s">
        <v>74</v>
      </c>
      <c r="F346" s="5" t="s">
        <v>55</v>
      </c>
      <c r="G346" s="5" t="s">
        <v>61</v>
      </c>
      <c r="H346" s="5" t="s">
        <v>57</v>
      </c>
      <c r="I346" s="5">
        <v>465</v>
      </c>
      <c r="J346" s="5" t="str">
        <f>IFERROR(VLOOKUP(I346,[1]INFO_LOCALES!$B:$C,2,FALSE),"")</f>
        <v>PUERTO NATALES</v>
      </c>
      <c r="K346" s="5" t="str">
        <f>IFERROR(VLOOKUP(Tabla2[[#This Row],[TIENDA]],[1]INFO_LOCALES!$B:$D,3,FALSE),"")</f>
        <v>XII - Magallanes</v>
      </c>
      <c r="L346" s="5" t="str">
        <f>IFERROR(VLOOKUP(I346,[1]INFO_LOCALES!$B:$I,8,FALSE),"")</f>
        <v>Puerto Natales</v>
      </c>
      <c r="M346" s="5" t="str">
        <f>IFERROR(VLOOKUP(I346,[1]INFO_LOCALES!$B:$H,7,FALSE),"")</f>
        <v>Bulnes 742</v>
      </c>
      <c r="N346" s="5">
        <f>IFERROR(VLOOKUP(I346,[1]INFO_LOCALES!$B:$E,4,FALSE),"")</f>
        <v>1133</v>
      </c>
      <c r="O346" s="5" t="str">
        <f>VLOOKUP(Tabla2[[#This Row],[TIENDA]],[1]INFO_LOCALES!$B:$J,9,0)</f>
        <v>SIN CONVENIO</v>
      </c>
      <c r="P346" s="5" t="str">
        <f>IFERROR(VLOOKUP(I346,[1]INFO_LOCALES!$B:$F,5,FALSE),"")</f>
        <v>AGUAS MAGALLANES S.A.</v>
      </c>
      <c r="Q346" s="5" t="s">
        <v>163</v>
      </c>
      <c r="R346" s="5" t="s">
        <v>86</v>
      </c>
      <c r="S346" s="6"/>
      <c r="T346" s="5" t="s">
        <v>72</v>
      </c>
      <c r="U346" s="6">
        <v>45588</v>
      </c>
      <c r="V346" s="5" t="s">
        <v>135</v>
      </c>
      <c r="W3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46" s="7">
        <f t="shared" si="11"/>
        <v>1</v>
      </c>
      <c r="AH346" s="5">
        <v>29.16</v>
      </c>
      <c r="AI346" s="5">
        <f t="shared" si="12"/>
        <v>874.8</v>
      </c>
    </row>
    <row r="347" spans="1:51" x14ac:dyDescent="0.25">
      <c r="A347" s="5" t="s">
        <v>52</v>
      </c>
      <c r="B347" s="5" t="s">
        <v>82</v>
      </c>
      <c r="C347" s="5" t="s">
        <v>77</v>
      </c>
      <c r="F347" s="5" t="s">
        <v>55</v>
      </c>
      <c r="G347" s="5" t="s">
        <v>65</v>
      </c>
      <c r="H347" s="5" t="s">
        <v>57</v>
      </c>
      <c r="I347" s="5">
        <v>32</v>
      </c>
      <c r="J347" s="5" t="str">
        <f>IFERROR(VLOOKUP(I347,[1]INFO_LOCALES!$B:$C,2,FALSE),"")</f>
        <v>CHAÑARCILLO</v>
      </c>
      <c r="K347" s="5" t="str">
        <f>IFERROR(VLOOKUP(Tabla2[[#This Row],[TIENDA]],[1]INFO_LOCALES!$B:$D,3,FALSE),"")</f>
        <v>III - Atacama</v>
      </c>
      <c r="L347" s="5" t="str">
        <f>IFERROR(VLOOKUP(I347,[1]INFO_LOCALES!$B:$I,8,FALSE),"")</f>
        <v>Copiapó</v>
      </c>
      <c r="M347" s="5" t="str">
        <f>IFERROR(VLOOKUP(I347,[1]INFO_LOCALES!$B:$H,7,FALSE),"")</f>
        <v>Chacabuco Nº 231</v>
      </c>
      <c r="N347" s="5">
        <f>IFERROR(VLOOKUP(I347,[1]INFO_LOCALES!$B:$E,4,FALSE),"")</f>
        <v>0</v>
      </c>
      <c r="O347" s="5" t="str">
        <f>VLOOKUP(Tabla2[[#This Row],[TIENDA]],[1]INFO_LOCALES!$B:$J,9,0)</f>
        <v>CONVENIO</v>
      </c>
      <c r="P347" s="5" t="str">
        <f>IFERROR(VLOOKUP(I347,[1]INFO_LOCALES!$B:$F,5,FALSE),"")</f>
        <v>NUEVA ATACAMA</v>
      </c>
      <c r="Q347" s="5" t="s">
        <v>85</v>
      </c>
      <c r="R347" s="5" t="s">
        <v>86</v>
      </c>
      <c r="S347" s="6"/>
      <c r="T347" s="5" t="s">
        <v>72</v>
      </c>
      <c r="U347" s="6">
        <v>45588</v>
      </c>
      <c r="V347" s="5" t="s">
        <v>59</v>
      </c>
      <c r="W3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47" s="7">
        <f t="shared" si="11"/>
        <v>3</v>
      </c>
      <c r="Y347" s="5">
        <v>764</v>
      </c>
      <c r="AA347" s="5">
        <v>3</v>
      </c>
      <c r="AC347" s="5">
        <v>1063</v>
      </c>
      <c r="AD347" s="5">
        <v>18.100000000000001</v>
      </c>
      <c r="AE347" s="5">
        <v>87.18</v>
      </c>
      <c r="AF347" s="5">
        <v>16</v>
      </c>
      <c r="AG347" s="5">
        <v>1086.7</v>
      </c>
      <c r="AI347" s="5">
        <f t="shared" si="12"/>
        <v>0</v>
      </c>
    </row>
    <row r="348" spans="1:51" x14ac:dyDescent="0.25">
      <c r="A348" s="5" t="s">
        <v>52</v>
      </c>
      <c r="B348" s="5" t="s">
        <v>82</v>
      </c>
      <c r="C348" s="5" t="s">
        <v>77</v>
      </c>
      <c r="F348" s="5" t="s">
        <v>55</v>
      </c>
      <c r="G348" s="5" t="s">
        <v>65</v>
      </c>
      <c r="H348" s="5" t="s">
        <v>57</v>
      </c>
      <c r="I348" s="5">
        <v>24</v>
      </c>
      <c r="J348" s="5" t="str">
        <f>IFERROR(VLOOKUP(I348,[1]INFO_LOCALES!$B:$C,2,FALSE),"")</f>
        <v>CHACABUCO</v>
      </c>
      <c r="K348" s="5" t="str">
        <f>IFERROR(VLOOKUP(Tabla2[[#This Row],[TIENDA]],[1]INFO_LOCALES!$B:$D,3,FALSE),"")</f>
        <v>III - Atacama</v>
      </c>
      <c r="L348" s="5" t="str">
        <f>IFERROR(VLOOKUP(I348,[1]INFO_LOCALES!$B:$I,8,FALSE),"")</f>
        <v>Copiapó</v>
      </c>
      <c r="M348" s="5" t="str">
        <f>IFERROR(VLOOKUP(I348,[1]INFO_LOCALES!$B:$H,7,FALSE),"")</f>
        <v>Los Carreras  586</v>
      </c>
      <c r="N348" s="5">
        <f>IFERROR(VLOOKUP(I348,[1]INFO_LOCALES!$B:$E,4,FALSE),"")</f>
        <v>0</v>
      </c>
      <c r="O348" s="5" t="str">
        <f>VLOOKUP(Tabla2[[#This Row],[TIENDA]],[1]INFO_LOCALES!$B:$J,9,0)</f>
        <v>SIN CONVENIO</v>
      </c>
      <c r="P348" s="5" t="str">
        <f>IFERROR(VLOOKUP(I348,[1]INFO_LOCALES!$B:$F,5,FALSE),"")</f>
        <v>NUEVA ATACAMA</v>
      </c>
      <c r="Q348" s="5" t="s">
        <v>85</v>
      </c>
      <c r="R348" s="5" t="s">
        <v>86</v>
      </c>
      <c r="S348" s="6"/>
      <c r="T348" s="5" t="s">
        <v>72</v>
      </c>
      <c r="U348" s="6">
        <v>45588</v>
      </c>
      <c r="V348" s="5" t="s">
        <v>59</v>
      </c>
      <c r="W3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48" s="7">
        <f t="shared" si="11"/>
        <v>1</v>
      </c>
      <c r="Y348" s="5">
        <v>16.8</v>
      </c>
      <c r="AA348" s="5">
        <v>3</v>
      </c>
      <c r="AC348" s="5">
        <v>147</v>
      </c>
      <c r="AD348" s="5">
        <v>2.1</v>
      </c>
      <c r="AE348" s="5">
        <v>5</v>
      </c>
      <c r="AF348" s="5">
        <v>0.5</v>
      </c>
      <c r="AG348" s="5">
        <v>36</v>
      </c>
      <c r="AI348" s="5">
        <f t="shared" si="12"/>
        <v>0</v>
      </c>
    </row>
    <row r="349" spans="1:51" x14ac:dyDescent="0.25">
      <c r="A349" s="5" t="s">
        <v>52</v>
      </c>
      <c r="B349" s="5" t="s">
        <v>82</v>
      </c>
      <c r="C349" s="5" t="s">
        <v>77</v>
      </c>
      <c r="F349" s="5" t="s">
        <v>55</v>
      </c>
      <c r="G349" s="5" t="s">
        <v>65</v>
      </c>
      <c r="H349" s="5" t="s">
        <v>57</v>
      </c>
      <c r="I349" s="5">
        <v>472</v>
      </c>
      <c r="J349" s="5" t="str">
        <f>IFERROR(VLOOKUP(I349,[1]INFO_LOCALES!$B:$C,2,FALSE),"")</f>
        <v>CALDERA I</v>
      </c>
      <c r="K349" s="5" t="str">
        <f>IFERROR(VLOOKUP(Tabla2[[#This Row],[TIENDA]],[1]INFO_LOCALES!$B:$D,3,FALSE),"")</f>
        <v>III - Atacama</v>
      </c>
      <c r="L349" s="5" t="str">
        <f>IFERROR(VLOOKUP(I349,[1]INFO_LOCALES!$B:$I,8,FALSE),"")</f>
        <v>Caldera</v>
      </c>
      <c r="M349" s="5" t="str">
        <f>IFERROR(VLOOKUP(I349,[1]INFO_LOCALES!$B:$H,7,FALSE),"")</f>
        <v>Batallon Atacama 319</v>
      </c>
      <c r="N349" s="5">
        <f>IFERROR(VLOOKUP(I349,[1]INFO_LOCALES!$B:$E,4,FALSE),"")</f>
        <v>0</v>
      </c>
      <c r="O349" s="5" t="str">
        <f>VLOOKUP(Tabla2[[#This Row],[TIENDA]],[1]INFO_LOCALES!$B:$J,9,0)</f>
        <v>CONVENIO</v>
      </c>
      <c r="P349" s="5" t="str">
        <f>IFERROR(VLOOKUP(I349,[1]INFO_LOCALES!$B:$F,5,FALSE),"")</f>
        <v>NUEVA ATACAMA</v>
      </c>
      <c r="Q349" s="5" t="s">
        <v>85</v>
      </c>
      <c r="R349" s="5" t="s">
        <v>86</v>
      </c>
      <c r="S349" s="6"/>
      <c r="T349" s="5" t="s">
        <v>72</v>
      </c>
      <c r="U349" s="6">
        <v>45588</v>
      </c>
      <c r="V349" s="5" t="s">
        <v>59</v>
      </c>
      <c r="W3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49" s="7">
        <f t="shared" si="11"/>
        <v>2</v>
      </c>
      <c r="Y349" s="5">
        <v>25.3</v>
      </c>
      <c r="AA349" s="5">
        <v>5</v>
      </c>
      <c r="AC349" s="5">
        <v>573</v>
      </c>
      <c r="AD349" s="5">
        <v>19</v>
      </c>
      <c r="AE349" s="5">
        <v>56.94</v>
      </c>
      <c r="AF349" s="5">
        <v>1.5</v>
      </c>
      <c r="AG349" s="5">
        <v>212</v>
      </c>
      <c r="AI349" s="5">
        <f t="shared" si="12"/>
        <v>0</v>
      </c>
    </row>
    <row r="350" spans="1:51" x14ac:dyDescent="0.25">
      <c r="A350" s="5" t="s">
        <v>52</v>
      </c>
      <c r="B350" s="5" t="s">
        <v>82</v>
      </c>
      <c r="C350" s="5" t="s">
        <v>77</v>
      </c>
      <c r="F350" s="5" t="s">
        <v>55</v>
      </c>
      <c r="G350" s="5" t="s">
        <v>65</v>
      </c>
      <c r="H350" s="5" t="s">
        <v>57</v>
      </c>
      <c r="I350" s="5">
        <v>7</v>
      </c>
      <c r="J350" s="5" t="str">
        <f>IFERROR(VLOOKUP(I350,[1]INFO_LOCALES!$B:$C,2,FALSE),"")</f>
        <v>VALLENAR I</v>
      </c>
      <c r="K350" s="5" t="str">
        <f>IFERROR(VLOOKUP(Tabla2[[#This Row],[TIENDA]],[1]INFO_LOCALES!$B:$D,3,FALSE),"")</f>
        <v>III - Atacama</v>
      </c>
      <c r="L350" s="5" t="str">
        <f>IFERROR(VLOOKUP(I350,[1]INFO_LOCALES!$B:$I,8,FALSE),"")</f>
        <v>Vallenar</v>
      </c>
      <c r="M350" s="5" t="str">
        <f>IFERROR(VLOOKUP(I350,[1]INFO_LOCALES!$B:$H,7,FALSE),"")</f>
        <v>Brasil 663</v>
      </c>
      <c r="N350" s="5">
        <f>IFERROR(VLOOKUP(I350,[1]INFO_LOCALES!$B:$E,4,FALSE),"")</f>
        <v>0</v>
      </c>
      <c r="O350" s="5" t="str">
        <f>VLOOKUP(Tabla2[[#This Row],[TIENDA]],[1]INFO_LOCALES!$B:$J,9,0)</f>
        <v>CONVENIO</v>
      </c>
      <c r="P350" s="5" t="str">
        <f>IFERROR(VLOOKUP(I350,[1]INFO_LOCALES!$B:$F,5,FALSE),"")</f>
        <v>NUEVA ATACAMA</v>
      </c>
      <c r="Q350" s="5" t="s">
        <v>85</v>
      </c>
      <c r="R350" s="5" t="s">
        <v>86</v>
      </c>
      <c r="S350" s="6"/>
      <c r="T350" s="5" t="s">
        <v>72</v>
      </c>
      <c r="U350" s="6">
        <v>45589</v>
      </c>
      <c r="V350" s="5" t="s">
        <v>59</v>
      </c>
      <c r="W3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50" s="7">
        <f t="shared" si="11"/>
        <v>1</v>
      </c>
      <c r="Y350" s="5">
        <v>7.1</v>
      </c>
      <c r="AA350" s="5">
        <v>7</v>
      </c>
      <c r="AC350" s="5">
        <v>165</v>
      </c>
      <c r="AD350" s="5">
        <v>7.8</v>
      </c>
      <c r="AE350" s="5">
        <v>5</v>
      </c>
      <c r="AF350" s="5">
        <v>2</v>
      </c>
      <c r="AG350" s="5">
        <v>127</v>
      </c>
      <c r="AI350" s="5">
        <f t="shared" si="12"/>
        <v>0</v>
      </c>
    </row>
    <row r="351" spans="1:51" x14ac:dyDescent="0.25">
      <c r="A351" s="5" t="s">
        <v>52</v>
      </c>
      <c r="B351" s="5" t="s">
        <v>82</v>
      </c>
      <c r="C351" s="5" t="s">
        <v>77</v>
      </c>
      <c r="F351" s="5" t="s">
        <v>55</v>
      </c>
      <c r="G351" s="5" t="s">
        <v>65</v>
      </c>
      <c r="H351" s="5" t="s">
        <v>57</v>
      </c>
      <c r="I351" s="5">
        <v>16</v>
      </c>
      <c r="J351" s="5" t="str">
        <f>IFERROR(VLOOKUP(I351,[1]INFO_LOCALES!$B:$C,2,FALSE),"")</f>
        <v>VALLENAR II</v>
      </c>
      <c r="K351" s="5" t="str">
        <f>IFERROR(VLOOKUP(Tabla2[[#This Row],[TIENDA]],[1]INFO_LOCALES!$B:$D,3,FALSE),"")</f>
        <v>III - Atacama</v>
      </c>
      <c r="L351" s="5" t="str">
        <f>IFERROR(VLOOKUP(I351,[1]INFO_LOCALES!$B:$I,8,FALSE),"")</f>
        <v>Vallenar</v>
      </c>
      <c r="M351" s="5" t="str">
        <f>IFERROR(VLOOKUP(I351,[1]INFO_LOCALES!$B:$H,7,FALSE),"")</f>
        <v>Arturo Prat 2350</v>
      </c>
      <c r="N351" s="5">
        <f>IFERROR(VLOOKUP(I351,[1]INFO_LOCALES!$B:$E,4,FALSE),"")</f>
        <v>0</v>
      </c>
      <c r="O351" s="5" t="str">
        <f>VLOOKUP(Tabla2[[#This Row],[TIENDA]],[1]INFO_LOCALES!$B:$J,9,0)</f>
        <v>TERMINADO</v>
      </c>
      <c r="P351" s="5" t="str">
        <f>IFERROR(VLOOKUP(I351,[1]INFO_LOCALES!$B:$F,5,FALSE),"")</f>
        <v>NUEVA ATACAMA</v>
      </c>
      <c r="Q351" s="5" t="s">
        <v>85</v>
      </c>
      <c r="R351" s="5" t="s">
        <v>86</v>
      </c>
      <c r="S351" s="6"/>
      <c r="T351" s="5" t="s">
        <v>72</v>
      </c>
      <c r="U351" s="6">
        <v>45589</v>
      </c>
      <c r="V351" s="5" t="s">
        <v>59</v>
      </c>
      <c r="W3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51" s="7">
        <f t="shared" si="11"/>
        <v>1</v>
      </c>
      <c r="Y351" s="5">
        <v>7.1</v>
      </c>
      <c r="AA351" s="5">
        <v>7</v>
      </c>
      <c r="AC351" s="5">
        <v>165</v>
      </c>
      <c r="AD351" s="5">
        <v>7.8</v>
      </c>
      <c r="AE351" s="5">
        <v>5</v>
      </c>
      <c r="AF351" s="5">
        <v>2</v>
      </c>
      <c r="AG351" s="5">
        <v>127</v>
      </c>
      <c r="AI351" s="5">
        <f t="shared" si="12"/>
        <v>0</v>
      </c>
    </row>
    <row r="352" spans="1:51" x14ac:dyDescent="0.25">
      <c r="A352" s="5" t="s">
        <v>52</v>
      </c>
      <c r="B352" s="5" t="s">
        <v>82</v>
      </c>
      <c r="C352" s="5" t="s">
        <v>77</v>
      </c>
      <c r="F352" s="5" t="s">
        <v>55</v>
      </c>
      <c r="G352" s="5" t="s">
        <v>61</v>
      </c>
      <c r="H352" s="5" t="s">
        <v>57</v>
      </c>
      <c r="I352" s="5">
        <v>22</v>
      </c>
      <c r="J352" s="5" t="str">
        <f>IFERROR(VLOOKUP(I352,[1]INFO_LOCALES!$B:$C,2,FALSE),"")</f>
        <v>ATACAMA</v>
      </c>
      <c r="K352" s="5" t="str">
        <f>IFERROR(VLOOKUP(Tabla2[[#This Row],[TIENDA]],[1]INFO_LOCALES!$B:$D,3,FALSE),"")</f>
        <v>III - Atacama</v>
      </c>
      <c r="L352" s="5" t="str">
        <f>IFERROR(VLOOKUP(I352,[1]INFO_LOCALES!$B:$I,8,FALSE),"")</f>
        <v>Copiapó</v>
      </c>
      <c r="M352" s="5" t="str">
        <f>IFERROR(VLOOKUP(I352,[1]INFO_LOCALES!$B:$H,7,FALSE),"")</f>
        <v>Los Carreras 2242</v>
      </c>
      <c r="N352" s="5">
        <f>IFERROR(VLOOKUP(I352,[1]INFO_LOCALES!$B:$E,4,FALSE),"")</f>
        <v>2666</v>
      </c>
      <c r="O352" s="5" t="str">
        <f>VLOOKUP(Tabla2[[#This Row],[TIENDA]],[1]INFO_LOCALES!$B:$J,9,0)</f>
        <v>CONVENIO</v>
      </c>
      <c r="P352" s="5" t="str">
        <f>IFERROR(VLOOKUP(I352,[1]INFO_LOCALES!$B:$F,5,FALSE),"")</f>
        <v>NUEVA ATACAMA</v>
      </c>
      <c r="Q352" s="5" t="s">
        <v>66</v>
      </c>
      <c r="R352" s="5" t="s">
        <v>58</v>
      </c>
      <c r="S352" s="6">
        <v>45629</v>
      </c>
      <c r="T352" s="5" t="str">
        <f>UPPER(IF(Tabla2[[#This Row],[FECHA DE MUESTREO ]]=0,"",TEXT(Tabla2[[#This Row],[FECHA DE MUESTREO ]],("MMMM"))))</f>
        <v>OCTUBRE</v>
      </c>
      <c r="U352" s="6">
        <v>45589</v>
      </c>
      <c r="V352" s="5" t="s">
        <v>59</v>
      </c>
      <c r="W3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52" s="7">
        <f t="shared" si="11"/>
        <v>2</v>
      </c>
      <c r="Y352" s="5">
        <v>26.52</v>
      </c>
      <c r="AC352" s="5">
        <v>526</v>
      </c>
      <c r="AD352" s="5">
        <v>6.28</v>
      </c>
      <c r="AE352" s="5">
        <v>130</v>
      </c>
      <c r="AF352" s="5">
        <v>1.6</v>
      </c>
      <c r="AG352" s="5">
        <v>244</v>
      </c>
      <c r="AI352" s="5">
        <f t="shared" si="12"/>
        <v>0</v>
      </c>
      <c r="AY352" s="5">
        <v>0.1</v>
      </c>
    </row>
    <row r="353" spans="1:51" x14ac:dyDescent="0.25">
      <c r="A353" s="5" t="s">
        <v>52</v>
      </c>
      <c r="B353" s="5" t="s">
        <v>82</v>
      </c>
      <c r="C353" s="5" t="s">
        <v>77</v>
      </c>
      <c r="F353" s="5" t="s">
        <v>55</v>
      </c>
      <c r="G353" s="5" t="s">
        <v>65</v>
      </c>
      <c r="H353" s="5" t="s">
        <v>57</v>
      </c>
      <c r="I353" s="5">
        <v>14</v>
      </c>
      <c r="J353" s="5" t="str">
        <f>IFERROR(VLOOKUP(I353,[1]INFO_LOCALES!$B:$C,2,FALSE),"")</f>
        <v>COPIAPO</v>
      </c>
      <c r="K353" s="5" t="str">
        <f>IFERROR(VLOOKUP(Tabla2[[#This Row],[TIENDA]],[1]INFO_LOCALES!$B:$D,3,FALSE),"")</f>
        <v>III - Atacama</v>
      </c>
      <c r="L353" s="5" t="str">
        <f>IFERROR(VLOOKUP(I353,[1]INFO_LOCALES!$B:$I,8,FALSE),"")</f>
        <v>Copiapó</v>
      </c>
      <c r="M353" s="5" t="str">
        <f>IFERROR(VLOOKUP(I353,[1]INFO_LOCALES!$B:$H,7,FALSE),"")</f>
        <v>Av. Henrriquez N° 523</v>
      </c>
      <c r="N353" s="5">
        <f>IFERROR(VLOOKUP(I353,[1]INFO_LOCALES!$B:$E,4,FALSE),"")</f>
        <v>0</v>
      </c>
      <c r="O353" s="5" t="str">
        <f>VLOOKUP(Tabla2[[#This Row],[TIENDA]],[1]INFO_LOCALES!$B:$J,9,0)</f>
        <v>CONVENIO</v>
      </c>
      <c r="P353" s="5" t="str">
        <f>IFERROR(VLOOKUP(I353,[1]INFO_LOCALES!$B:$F,5,FALSE),"")</f>
        <v>NUEVA ATACAMA</v>
      </c>
      <c r="Q353" s="5" t="s">
        <v>66</v>
      </c>
      <c r="R353" s="5" t="s">
        <v>58</v>
      </c>
      <c r="S353" s="6">
        <v>45629</v>
      </c>
      <c r="T353" s="5" t="str">
        <f>UPPER(IF(Tabla2[[#This Row],[FECHA DE MUESTREO ]]=0,"",TEXT(Tabla2[[#This Row],[FECHA DE MUESTREO ]],("MMMM"))))</f>
        <v>OCTUBRE</v>
      </c>
      <c r="U353" s="6">
        <v>45589</v>
      </c>
      <c r="V353" s="5" t="s">
        <v>59</v>
      </c>
      <c r="W3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53" s="7">
        <f t="shared" si="11"/>
        <v>1</v>
      </c>
      <c r="AC353" s="5">
        <v>284</v>
      </c>
      <c r="AE353" s="5">
        <v>38.049999999999997</v>
      </c>
      <c r="AF353" s="5">
        <v>0.9</v>
      </c>
      <c r="AG353" s="5">
        <v>26</v>
      </c>
      <c r="AI353" s="5">
        <f t="shared" si="12"/>
        <v>0</v>
      </c>
      <c r="AY353" s="5">
        <v>0.1</v>
      </c>
    </row>
    <row r="354" spans="1:51" x14ac:dyDescent="0.25">
      <c r="A354" s="5" t="s">
        <v>52</v>
      </c>
      <c r="B354" s="5" t="s">
        <v>82</v>
      </c>
      <c r="C354" s="5" t="s">
        <v>77</v>
      </c>
      <c r="F354" s="5" t="s">
        <v>55</v>
      </c>
      <c r="G354" s="5" t="s">
        <v>65</v>
      </c>
      <c r="H354" s="5" t="s">
        <v>57</v>
      </c>
      <c r="I354" s="5">
        <v>32</v>
      </c>
      <c r="J354" s="5" t="str">
        <f>IFERROR(VLOOKUP(I354,[1]INFO_LOCALES!$B:$C,2,FALSE),"")</f>
        <v>CHAÑARCILLO</v>
      </c>
      <c r="K354" s="5" t="str">
        <f>IFERROR(VLOOKUP(Tabla2[[#This Row],[TIENDA]],[1]INFO_LOCALES!$B:$D,3,FALSE),"")</f>
        <v>III - Atacama</v>
      </c>
      <c r="L354" s="5" t="str">
        <f>IFERROR(VLOOKUP(I354,[1]INFO_LOCALES!$B:$I,8,FALSE),"")</f>
        <v>Copiapó</v>
      </c>
      <c r="M354" s="5" t="str">
        <f>IFERROR(VLOOKUP(I354,[1]INFO_LOCALES!$B:$H,7,FALSE),"")</f>
        <v>Chacabuco Nº 231</v>
      </c>
      <c r="N354" s="5">
        <f>IFERROR(VLOOKUP(I354,[1]INFO_LOCALES!$B:$E,4,FALSE),"")</f>
        <v>0</v>
      </c>
      <c r="O354" s="5" t="str">
        <f>VLOOKUP(Tabla2[[#This Row],[TIENDA]],[1]INFO_LOCALES!$B:$J,9,0)</f>
        <v>CONVENIO</v>
      </c>
      <c r="P354" s="5" t="str">
        <f>IFERROR(VLOOKUP(I354,[1]INFO_LOCALES!$B:$F,5,FALSE),"")</f>
        <v>NUEVA ATACAMA</v>
      </c>
      <c r="Q354" s="5" t="s">
        <v>66</v>
      </c>
      <c r="R354" s="5" t="s">
        <v>58</v>
      </c>
      <c r="S354" s="6">
        <v>45629</v>
      </c>
      <c r="T354" s="5" t="str">
        <f>UPPER(IF(Tabla2[[#This Row],[FECHA DE MUESTREO ]]=0,"",TEXT(Tabla2[[#This Row],[FECHA DE MUESTREO ]],("MMMM"))))</f>
        <v>OCTUBRE</v>
      </c>
      <c r="U354" s="6">
        <v>45589</v>
      </c>
      <c r="V354" s="5" t="s">
        <v>59</v>
      </c>
      <c r="W3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54" s="7">
        <f t="shared" si="11"/>
        <v>2</v>
      </c>
      <c r="Y354" s="5">
        <v>17.920000000000002</v>
      </c>
      <c r="AC354" s="5">
        <v>380</v>
      </c>
      <c r="AD354" s="5">
        <v>3.46</v>
      </c>
      <c r="AE354" s="5">
        <v>87.6</v>
      </c>
      <c r="AF354" s="5">
        <v>1</v>
      </c>
      <c r="AG354" s="5">
        <v>70</v>
      </c>
      <c r="AI354" s="5">
        <f t="shared" si="12"/>
        <v>0</v>
      </c>
      <c r="AY354" s="5">
        <v>0.1</v>
      </c>
    </row>
    <row r="355" spans="1:51" x14ac:dyDescent="0.25">
      <c r="A355" s="5" t="s">
        <v>52</v>
      </c>
      <c r="B355" s="5" t="s">
        <v>82</v>
      </c>
      <c r="C355" s="5" t="s">
        <v>77</v>
      </c>
      <c r="F355" s="5" t="s">
        <v>55</v>
      </c>
      <c r="G355" s="5" t="s">
        <v>65</v>
      </c>
      <c r="H355" s="5" t="s">
        <v>57</v>
      </c>
      <c r="I355" s="5">
        <v>32</v>
      </c>
      <c r="J355" s="5" t="str">
        <f>IFERROR(VLOOKUP(I355,[1]INFO_LOCALES!$B:$C,2,FALSE),"")</f>
        <v>CHAÑARCILLO</v>
      </c>
      <c r="K355" s="5" t="str">
        <f>IFERROR(VLOOKUP(Tabla2[[#This Row],[TIENDA]],[1]INFO_LOCALES!$B:$D,3,FALSE),"")</f>
        <v>III - Atacama</v>
      </c>
      <c r="L355" s="5" t="str">
        <f>IFERROR(VLOOKUP(I355,[1]INFO_LOCALES!$B:$I,8,FALSE),"")</f>
        <v>Copiapó</v>
      </c>
      <c r="M355" s="5" t="str">
        <f>IFERROR(VLOOKUP(I355,[1]INFO_LOCALES!$B:$H,7,FALSE),"")</f>
        <v>Chacabuco Nº 231</v>
      </c>
      <c r="N355" s="5">
        <f>IFERROR(VLOOKUP(I355,[1]INFO_LOCALES!$B:$E,4,FALSE),"")</f>
        <v>0</v>
      </c>
      <c r="O355" s="5" t="str">
        <f>VLOOKUP(Tabla2[[#This Row],[TIENDA]],[1]INFO_LOCALES!$B:$J,9,0)</f>
        <v>CONVENIO</v>
      </c>
      <c r="P355" s="5" t="str">
        <f>IFERROR(VLOOKUP(I355,[1]INFO_LOCALES!$B:$F,5,FALSE),"")</f>
        <v>NUEVA ATACAMA</v>
      </c>
      <c r="Q355" s="5" t="s">
        <v>66</v>
      </c>
      <c r="R355" s="5" t="s">
        <v>58</v>
      </c>
      <c r="S355" s="6">
        <v>45672</v>
      </c>
      <c r="T355" s="5" t="str">
        <f>UPPER(IF(Tabla2[[#This Row],[FECHA DE MUESTREO ]]=0,"",TEXT(Tabla2[[#This Row],[FECHA DE MUESTREO ]],("MMMM"))))</f>
        <v>OCTUBRE</v>
      </c>
      <c r="U355" s="6">
        <v>45589</v>
      </c>
      <c r="V355" s="5" t="s">
        <v>59</v>
      </c>
      <c r="W3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55" s="7">
        <f t="shared" si="11"/>
        <v>2</v>
      </c>
      <c r="Y355" s="5">
        <v>17.920000000000002</v>
      </c>
      <c r="AC355" s="5">
        <v>380</v>
      </c>
      <c r="AD355" s="5">
        <v>3.46</v>
      </c>
      <c r="AE355" s="5">
        <v>87.6</v>
      </c>
      <c r="AF355" s="5">
        <v>1</v>
      </c>
      <c r="AG355" s="5">
        <v>70</v>
      </c>
      <c r="AI355" s="5">
        <f t="shared" si="12"/>
        <v>0</v>
      </c>
      <c r="AY355" s="5">
        <v>0.1</v>
      </c>
    </row>
    <row r="356" spans="1:51" x14ac:dyDescent="0.25">
      <c r="A356" s="5" t="s">
        <v>52</v>
      </c>
      <c r="B356" s="5" t="s">
        <v>116</v>
      </c>
      <c r="C356" s="5" t="s">
        <v>70</v>
      </c>
      <c r="F356" s="5" t="s">
        <v>55</v>
      </c>
      <c r="G356" s="5" t="s">
        <v>61</v>
      </c>
      <c r="H356" s="5" t="s">
        <v>57</v>
      </c>
      <c r="I356" s="5">
        <v>477</v>
      </c>
      <c r="J356" s="5" t="str">
        <f>IFERROR(VLOOKUP(I356,[1]INFO_LOCALES!$B:$C,2,FALSE),"")</f>
        <v>CURAUMA</v>
      </c>
      <c r="K356" s="5" t="str">
        <f>IFERROR(VLOOKUP(Tabla2[[#This Row],[TIENDA]],[1]INFO_LOCALES!$B:$D,3,FALSE),"")</f>
        <v>V - Valparaiso</v>
      </c>
      <c r="L356" s="5" t="str">
        <f>IFERROR(VLOOKUP(I356,[1]INFO_LOCALES!$B:$I,8,FALSE),"")</f>
        <v>Valparaíso</v>
      </c>
      <c r="M356" s="5" t="str">
        <f>IFERROR(VLOOKUP(I356,[1]INFO_LOCALES!$B:$H,7,FALSE),"")</f>
        <v>Obispo Valdes 1170</v>
      </c>
      <c r="N356" s="5">
        <f>IFERROR(VLOOKUP(I356,[1]INFO_LOCALES!$B:$E,4,FALSE),"")</f>
        <v>2721</v>
      </c>
      <c r="O356" s="5" t="str">
        <f>VLOOKUP(Tabla2[[#This Row],[TIENDA]],[1]INFO_LOCALES!$B:$J,9,0)</f>
        <v>SIN CONVENIO</v>
      </c>
      <c r="P356" s="5" t="str">
        <f>IFERROR(VLOOKUP(I356,[1]INFO_LOCALES!$B:$F,5,FALSE),"")</f>
        <v>ESVAL S.A.</v>
      </c>
      <c r="Q356" s="5" t="s">
        <v>85</v>
      </c>
      <c r="R356" s="5" t="s">
        <v>86</v>
      </c>
      <c r="S356" s="6"/>
      <c r="T356" s="5" t="s">
        <v>72</v>
      </c>
      <c r="U356" s="6">
        <v>45590</v>
      </c>
      <c r="V356" s="5" t="s">
        <v>118</v>
      </c>
      <c r="W3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56" s="7">
        <f t="shared" si="11"/>
        <v>1</v>
      </c>
      <c r="Y356" s="5">
        <v>16.5</v>
      </c>
      <c r="AA356" s="5">
        <v>2</v>
      </c>
      <c r="AC356" s="5">
        <v>87</v>
      </c>
      <c r="AD356" s="5">
        <v>4</v>
      </c>
      <c r="AE356" s="5">
        <v>13.91</v>
      </c>
      <c r="AF356" s="5">
        <v>3</v>
      </c>
      <c r="AG356" s="5">
        <v>59</v>
      </c>
      <c r="AI356" s="5">
        <f t="shared" si="12"/>
        <v>0</v>
      </c>
      <c r="AJ356" s="5">
        <v>0.2009</v>
      </c>
      <c r="AK356" s="5">
        <v>5.0000000000000001E-3</v>
      </c>
      <c r="AL356" s="5">
        <v>0.18540000000000001</v>
      </c>
      <c r="AM356" s="5">
        <v>0.01</v>
      </c>
      <c r="AN356" s="5">
        <v>0.1</v>
      </c>
      <c r="AO356" s="5">
        <v>0.1</v>
      </c>
      <c r="AP356" s="5">
        <v>0.05</v>
      </c>
      <c r="AQ356" s="5">
        <v>0.05</v>
      </c>
      <c r="AR356" s="5">
        <v>0.05</v>
      </c>
      <c r="AS356" s="5">
        <v>10</v>
      </c>
      <c r="AT356" s="5">
        <v>0.1069</v>
      </c>
      <c r="AU356" s="5">
        <v>1E-3</v>
      </c>
      <c r="AV356" s="5">
        <v>0.05</v>
      </c>
      <c r="AW356" s="5">
        <v>0.05</v>
      </c>
      <c r="AX356" s="5">
        <v>93</v>
      </c>
      <c r="AY356" s="5">
        <v>0.5</v>
      </c>
    </row>
    <row r="357" spans="1:51" x14ac:dyDescent="0.25">
      <c r="A357" s="5" t="s">
        <v>60</v>
      </c>
      <c r="B357" s="5" t="e">
        <v>#N/A</v>
      </c>
      <c r="C357" s="5" t="e">
        <v>#N/A</v>
      </c>
      <c r="F357" s="5" t="s">
        <v>55</v>
      </c>
      <c r="G357" s="5" t="s">
        <v>61</v>
      </c>
      <c r="H357" s="5" t="s">
        <v>57</v>
      </c>
      <c r="I357" s="5">
        <v>3014</v>
      </c>
      <c r="J357" s="5" t="str">
        <f>IFERROR(VLOOKUP(I357,[1]INFO_LOCALES!$B:$C,2,FALSE),"")</f>
        <v>M10 SAN FERNANDO</v>
      </c>
      <c r="K357" s="5" t="str">
        <f>IFERROR(VLOOKUP(Tabla2[[#This Row],[TIENDA]],[1]INFO_LOCALES!$B:$D,3,FALSE),"")</f>
        <v>VI - O'Higgins</v>
      </c>
      <c r="L357" s="5" t="str">
        <f>IFERROR(VLOOKUP(I357,[1]INFO_LOCALES!$B:$I,8,FALSE),"")</f>
        <v>San Fernando</v>
      </c>
      <c r="M357" s="5" t="str">
        <f>IFERROR(VLOOKUP(I357,[1]INFO_LOCALES!$B:$H,7,FALSE),"")</f>
        <v>Chillan 745</v>
      </c>
      <c r="N357" s="5">
        <f>IFERROR(VLOOKUP(I357,[1]INFO_LOCALES!$B:$E,4,FALSE),"")</f>
        <v>1298</v>
      </c>
      <c r="O357" s="5" t="str">
        <f>VLOOKUP(Tabla2[[#This Row],[TIENDA]],[1]INFO_LOCALES!$B:$J,9,0)</f>
        <v>TERMINADO</v>
      </c>
      <c r="P357" s="5" t="str">
        <f>IFERROR(VLOOKUP(I357,[1]INFO_LOCALES!$B:$F,5,FALSE),"")</f>
        <v>ESSBIO S.A.</v>
      </c>
      <c r="Q357" s="5" t="s">
        <v>85</v>
      </c>
      <c r="R357" s="5" t="s">
        <v>86</v>
      </c>
      <c r="S357" s="6"/>
      <c r="T357" s="5" t="s">
        <v>72</v>
      </c>
      <c r="U357" s="6">
        <v>45590</v>
      </c>
      <c r="V357" s="5" t="s">
        <v>118</v>
      </c>
      <c r="W3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57" s="7">
        <f t="shared" si="11"/>
        <v>1</v>
      </c>
      <c r="Y357" s="5">
        <v>42.2</v>
      </c>
      <c r="AA357" s="5">
        <v>2</v>
      </c>
      <c r="AC357" s="5">
        <v>105</v>
      </c>
      <c r="AD357" s="5">
        <v>6.1</v>
      </c>
      <c r="AE357" s="5">
        <v>19.079999999999998</v>
      </c>
      <c r="AF357" s="5">
        <v>4</v>
      </c>
      <c r="AG357" s="5">
        <v>108</v>
      </c>
      <c r="AI357" s="5">
        <f t="shared" si="12"/>
        <v>0</v>
      </c>
      <c r="AJ357" s="5">
        <v>0.77380000000000004</v>
      </c>
      <c r="AK357" s="5">
        <v>5.0000000000000001E-3</v>
      </c>
      <c r="AL357" s="5">
        <v>0.1371</v>
      </c>
      <c r="AM357" s="5">
        <v>0.01</v>
      </c>
      <c r="AN357" s="5">
        <v>0.1</v>
      </c>
      <c r="AO357" s="5">
        <v>0.60160000000000002</v>
      </c>
      <c r="AP357" s="5">
        <v>8.6800000000000002E-2</v>
      </c>
      <c r="AQ357" s="5">
        <v>0.05</v>
      </c>
      <c r="AR357" s="5">
        <v>0.05</v>
      </c>
      <c r="AS357" s="5">
        <v>10</v>
      </c>
      <c r="AT357" s="5">
        <v>7.1999999999999995E-2</v>
      </c>
      <c r="AU357" s="5">
        <v>1E-3</v>
      </c>
      <c r="AV357" s="5">
        <v>0.05</v>
      </c>
      <c r="AW357" s="5">
        <v>0.05</v>
      </c>
      <c r="AX357" s="5">
        <v>63</v>
      </c>
      <c r="AY357" s="5">
        <v>0.5</v>
      </c>
    </row>
    <row r="358" spans="1:51" x14ac:dyDescent="0.25">
      <c r="A358" s="5" t="s">
        <v>52</v>
      </c>
      <c r="B358" s="5" t="s">
        <v>90</v>
      </c>
      <c r="C358" s="5" t="s">
        <v>81</v>
      </c>
      <c r="F358" s="5" t="s">
        <v>55</v>
      </c>
      <c r="G358" s="5" t="s">
        <v>65</v>
      </c>
      <c r="H358" s="5" t="s">
        <v>57</v>
      </c>
      <c r="I358" s="5">
        <v>544</v>
      </c>
      <c r="J358" s="5" t="str">
        <f>IFERROR(VLOOKUP(I358,[1]INFO_LOCALES!$B:$C,2,FALSE),"")</f>
        <v>PURRANQUE</v>
      </c>
      <c r="K358" s="5" t="str">
        <f>IFERROR(VLOOKUP(Tabla2[[#This Row],[TIENDA]],[1]INFO_LOCALES!$B:$D,3,FALSE),"")</f>
        <v>X - Los Lagos</v>
      </c>
      <c r="L358" s="5" t="str">
        <f>IFERROR(VLOOKUP(I358,[1]INFO_LOCALES!$B:$I,8,FALSE),"")</f>
        <v>Purranque</v>
      </c>
      <c r="M358" s="5" t="str">
        <f>IFERROR(VLOOKUP(I358,[1]INFO_LOCALES!$B:$H,7,FALSE),"")</f>
        <v>Eleuterio Ramirez 549</v>
      </c>
      <c r="N358" s="5">
        <f>IFERROR(VLOOKUP(I358,[1]INFO_LOCALES!$B:$E,4,FALSE),"")</f>
        <v>0</v>
      </c>
      <c r="O358" s="5" t="str">
        <f>VLOOKUP(Tabla2[[#This Row],[TIENDA]],[1]INFO_LOCALES!$B:$J,9,0)</f>
        <v>SIN CONVENIO</v>
      </c>
      <c r="P358" s="5" t="str">
        <f>IFERROR(VLOOKUP(I358,[1]INFO_LOCALES!$B:$F,5,FALSE),"")</f>
        <v>SURALIS</v>
      </c>
      <c r="Q358" s="5" t="s">
        <v>105</v>
      </c>
      <c r="R358" s="5" t="s">
        <v>58</v>
      </c>
      <c r="S358" s="6">
        <v>45625</v>
      </c>
      <c r="T358" s="5" t="str">
        <f>UPPER(IF(Tabla2[[#This Row],[FECHA DE MUESTREO ]]=0,"",TEXT(Tabla2[[#This Row],[FECHA DE MUESTREO ]],("MMMM"))))</f>
        <v>OCTUBRE</v>
      </c>
      <c r="U358" s="6">
        <v>45590</v>
      </c>
      <c r="V358" s="5" t="s">
        <v>59</v>
      </c>
      <c r="W3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58" s="7">
        <f t="shared" si="11"/>
        <v>1</v>
      </c>
      <c r="Y358" s="5">
        <v>15</v>
      </c>
      <c r="Z358" s="5">
        <v>7.6</v>
      </c>
      <c r="AA358" s="5">
        <v>2</v>
      </c>
      <c r="AB358" s="5">
        <v>9.8000000000000007</v>
      </c>
      <c r="AC358" s="5">
        <v>70</v>
      </c>
      <c r="AD358" s="5">
        <v>2.4</v>
      </c>
      <c r="AE358" s="5">
        <v>3.7</v>
      </c>
      <c r="AF358" s="5">
        <v>1</v>
      </c>
      <c r="AG358" s="5">
        <v>74</v>
      </c>
      <c r="AH358" s="5">
        <v>12</v>
      </c>
      <c r="AI358" s="5">
        <f t="shared" si="12"/>
        <v>360</v>
      </c>
    </row>
    <row r="359" spans="1:51" x14ac:dyDescent="0.25">
      <c r="A359" s="5" t="s">
        <v>52</v>
      </c>
      <c r="B359" s="5" t="s">
        <v>104</v>
      </c>
      <c r="C359" s="5" t="s">
        <v>54</v>
      </c>
      <c r="F359" s="5" t="s">
        <v>55</v>
      </c>
      <c r="G359" s="5" t="s">
        <v>61</v>
      </c>
      <c r="H359" s="5" t="s">
        <v>57</v>
      </c>
      <c r="I359" s="5">
        <v>555</v>
      </c>
      <c r="J359" s="5" t="str">
        <f>IFERROR(VLOOKUP(I359,[1]INFO_LOCALES!$B:$C,2,FALSE),"")</f>
        <v>GRANEROS</v>
      </c>
      <c r="K359" s="5" t="str">
        <f>IFERROR(VLOOKUP(Tabla2[[#This Row],[TIENDA]],[1]INFO_LOCALES!$B:$D,3,FALSE),"")</f>
        <v>VI - O'Higgins</v>
      </c>
      <c r="L359" s="5" t="str">
        <f>IFERROR(VLOOKUP(I359,[1]INFO_LOCALES!$B:$I,8,FALSE),"")</f>
        <v>Graneros</v>
      </c>
      <c r="M359" s="5" t="str">
        <f>IFERROR(VLOOKUP(I359,[1]INFO_LOCALES!$B:$H,7,FALSE),"")</f>
        <v>Obispo Rafael Lira 042</v>
      </c>
      <c r="N359" s="5">
        <f>IFERROR(VLOOKUP(I359,[1]INFO_LOCALES!$B:$E,4,FALSE),"")</f>
        <v>4574</v>
      </c>
      <c r="O359" s="5" t="str">
        <f>VLOOKUP(Tabla2[[#This Row],[TIENDA]],[1]INFO_LOCALES!$B:$J,9,0)</f>
        <v>SIN CONVENIO</v>
      </c>
      <c r="P359" s="5" t="str">
        <f>IFERROR(VLOOKUP(I359,[1]INFO_LOCALES!$B:$F,5,FALSE),"")</f>
        <v>ESSBIO S.A.</v>
      </c>
      <c r="Q359" s="5" t="s">
        <v>85</v>
      </c>
      <c r="R359" s="5" t="s">
        <v>86</v>
      </c>
      <c r="S359" s="6"/>
      <c r="T359" s="5" t="s">
        <v>72</v>
      </c>
      <c r="U359" s="6">
        <v>45592</v>
      </c>
      <c r="V359" s="5" t="s">
        <v>59</v>
      </c>
      <c r="W3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59" s="7">
        <f t="shared" si="11"/>
        <v>3</v>
      </c>
      <c r="Y359" s="5">
        <v>4</v>
      </c>
      <c r="AA359" s="5">
        <v>28</v>
      </c>
      <c r="AC359" s="5">
        <v>107</v>
      </c>
      <c r="AD359" s="5">
        <v>7.5</v>
      </c>
      <c r="AE359" s="5">
        <v>15.34</v>
      </c>
      <c r="AF359" s="5">
        <v>0.5</v>
      </c>
      <c r="AG359" s="5">
        <v>43</v>
      </c>
      <c r="AI359" s="5">
        <f t="shared" si="12"/>
        <v>0</v>
      </c>
    </row>
    <row r="360" spans="1:51" x14ac:dyDescent="0.25">
      <c r="A360" s="5" t="s">
        <v>52</v>
      </c>
      <c r="B360" s="5" t="s">
        <v>82</v>
      </c>
      <c r="C360" s="5" t="s">
        <v>77</v>
      </c>
      <c r="F360" s="5" t="s">
        <v>55</v>
      </c>
      <c r="G360" s="5" t="s">
        <v>65</v>
      </c>
      <c r="H360" s="5" t="s">
        <v>57</v>
      </c>
      <c r="I360" s="5">
        <v>23</v>
      </c>
      <c r="J360" s="5" t="str">
        <f>IFERROR(VLOOKUP(I360,[1]INFO_LOCALES!$B:$C,2,FALSE),"")</f>
        <v>LOS CARRERAS</v>
      </c>
      <c r="K360" s="5" t="str">
        <f>IFERROR(VLOOKUP(Tabla2[[#This Row],[TIENDA]],[1]INFO_LOCALES!$B:$D,3,FALSE),"")</f>
        <v>III - Atacama</v>
      </c>
      <c r="L360" s="5" t="str">
        <f>IFERROR(VLOOKUP(I360,[1]INFO_LOCALES!$B:$I,8,FALSE),"")</f>
        <v>Copiapó</v>
      </c>
      <c r="M360" s="5" t="str">
        <f>IFERROR(VLOOKUP(I360,[1]INFO_LOCALES!$B:$H,7,FALSE),"")</f>
        <v>Los Carrera 479</v>
      </c>
      <c r="N360" s="5">
        <f>IFERROR(VLOOKUP(I360,[1]INFO_LOCALES!$B:$E,4,FALSE),"")</f>
        <v>0</v>
      </c>
      <c r="O360" s="5" t="str">
        <f>VLOOKUP(Tabla2[[#This Row],[TIENDA]],[1]INFO_LOCALES!$B:$J,9,0)</f>
        <v>SIN CONVENIO</v>
      </c>
      <c r="P360" s="5" t="str">
        <f>IFERROR(VLOOKUP(I360,[1]INFO_LOCALES!$B:$F,5,FALSE),"")</f>
        <v>NUEVA ATACAMA</v>
      </c>
      <c r="Q360" s="5" t="s">
        <v>85</v>
      </c>
      <c r="R360" s="5" t="s">
        <v>86</v>
      </c>
      <c r="S360" s="6"/>
      <c r="T360" s="5" t="s">
        <v>72</v>
      </c>
      <c r="U360" s="6">
        <v>45593</v>
      </c>
      <c r="V360" s="5" t="s">
        <v>59</v>
      </c>
      <c r="W3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60" s="7">
        <f t="shared" si="11"/>
        <v>1</v>
      </c>
      <c r="Y360" s="5">
        <v>10.5</v>
      </c>
      <c r="AA360" s="5">
        <v>2</v>
      </c>
      <c r="AC360" s="5">
        <v>10</v>
      </c>
      <c r="AD360" s="5">
        <v>2.8</v>
      </c>
      <c r="AE360" s="5">
        <v>5</v>
      </c>
      <c r="AF360" s="5">
        <v>0.7</v>
      </c>
      <c r="AG360" s="5">
        <v>32</v>
      </c>
      <c r="AI360" s="5">
        <f t="shared" si="12"/>
        <v>0</v>
      </c>
    </row>
    <row r="361" spans="1:51" x14ac:dyDescent="0.25">
      <c r="A361" s="5" t="s">
        <v>52</v>
      </c>
      <c r="B361" s="5" t="e">
        <v>#N/A</v>
      </c>
      <c r="C361" s="5" t="e">
        <v>#N/A</v>
      </c>
      <c r="F361" s="5" t="s">
        <v>55</v>
      </c>
      <c r="G361" s="5" t="s">
        <v>61</v>
      </c>
      <c r="H361" s="5" t="s">
        <v>57</v>
      </c>
      <c r="I361" s="5">
        <v>9139</v>
      </c>
      <c r="J361" s="5" t="str">
        <f>IFERROR(VLOOKUP(I361,[1]INFO_LOCALES!$B:$C,2,FALSE),"")</f>
        <v>CD LO AGUIRRE</v>
      </c>
      <c r="K361" s="5" t="str">
        <f>IFERROR(VLOOKUP(Tabla2[[#This Row],[TIENDA]],[1]INFO_LOCALES!$B:$D,3,FALSE),"")</f>
        <v>RM - Santiago</v>
      </c>
      <c r="L361" s="5" t="str">
        <f>IFERROR(VLOOKUP(I361,[1]INFO_LOCALES!$B:$I,8,FALSE),"")</f>
        <v>Pudahuel</v>
      </c>
      <c r="M361" s="5" t="str">
        <f>IFERROR(VLOOKUP(I361,[1]INFO_LOCALES!$B:$H,7,FALSE),"")</f>
        <v>CAMINO LO AGUIRRE SUR 537</v>
      </c>
      <c r="N361" s="5">
        <f>IFERROR(VLOOKUP(I361,[1]INFO_LOCALES!$B:$E,4,FALSE),"")</f>
        <v>3552</v>
      </c>
      <c r="O361" s="5" t="str">
        <f>VLOOKUP(Tabla2[[#This Row],[TIENDA]],[1]INFO_LOCALES!$B:$J,9,0)</f>
        <v>SIN CONVENIO</v>
      </c>
      <c r="P361" s="5" t="str">
        <f>IFERROR(VLOOKUP(I361,[1]INFO_LOCALES!$B:$F,5,FALSE),"")</f>
        <v>AGUAS IZARRA</v>
      </c>
      <c r="Q361" s="5" t="s">
        <v>85</v>
      </c>
      <c r="R361" s="5" t="s">
        <v>86</v>
      </c>
      <c r="S361" s="6"/>
      <c r="T361" s="5" t="s">
        <v>72</v>
      </c>
      <c r="U361" s="6">
        <v>45594</v>
      </c>
      <c r="V361" s="5" t="s">
        <v>118</v>
      </c>
      <c r="W3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61" s="7">
        <f t="shared" si="11"/>
        <v>1</v>
      </c>
      <c r="Y361" s="5">
        <v>9.5</v>
      </c>
      <c r="AA361" s="5">
        <v>2</v>
      </c>
      <c r="AC361" s="5">
        <v>10</v>
      </c>
      <c r="AD361" s="5">
        <v>0.9</v>
      </c>
      <c r="AE361" s="5">
        <v>8.16</v>
      </c>
      <c r="AF361" s="5">
        <v>0.5</v>
      </c>
      <c r="AG361" s="5">
        <v>10</v>
      </c>
      <c r="AI361" s="5">
        <f t="shared" si="12"/>
        <v>0</v>
      </c>
    </row>
    <row r="362" spans="1:51" x14ac:dyDescent="0.25">
      <c r="A362" s="5" t="s">
        <v>52</v>
      </c>
      <c r="B362" s="5" t="s">
        <v>82</v>
      </c>
      <c r="C362" s="5" t="s">
        <v>77</v>
      </c>
      <c r="F362" s="5" t="s">
        <v>55</v>
      </c>
      <c r="G362" s="5" t="s">
        <v>61</v>
      </c>
      <c r="H362" s="5" t="s">
        <v>57</v>
      </c>
      <c r="I362" s="5">
        <v>14</v>
      </c>
      <c r="J362" s="5" t="str">
        <f>IFERROR(VLOOKUP(I362,[1]INFO_LOCALES!$B:$C,2,FALSE),"")</f>
        <v>COPIAPO</v>
      </c>
      <c r="K362" s="5" t="str">
        <f>IFERROR(VLOOKUP(Tabla2[[#This Row],[TIENDA]],[1]INFO_LOCALES!$B:$D,3,FALSE),"")</f>
        <v>III - Atacama</v>
      </c>
      <c r="L362" s="5" t="str">
        <f>IFERROR(VLOOKUP(I362,[1]INFO_LOCALES!$B:$I,8,FALSE),"")</f>
        <v>Copiapó</v>
      </c>
      <c r="M362" s="5" t="str">
        <f>IFERROR(VLOOKUP(I362,[1]INFO_LOCALES!$B:$H,7,FALSE),"")</f>
        <v>Av. Henrriquez N° 523</v>
      </c>
      <c r="N362" s="5">
        <f>IFERROR(VLOOKUP(I362,[1]INFO_LOCALES!$B:$E,4,FALSE),"")</f>
        <v>0</v>
      </c>
      <c r="O362" s="5" t="str">
        <f>VLOOKUP(Tabla2[[#This Row],[TIENDA]],[1]INFO_LOCALES!$B:$J,9,0)</f>
        <v>CONVENIO</v>
      </c>
      <c r="P362" s="5" t="str">
        <f>IFERROR(VLOOKUP(I362,[1]INFO_LOCALES!$B:$F,5,FALSE),"")</f>
        <v>NUEVA ATACAMA</v>
      </c>
      <c r="Q362" s="5" t="s">
        <v>85</v>
      </c>
      <c r="R362" s="5" t="s">
        <v>58</v>
      </c>
      <c r="S362" s="6">
        <v>45601</v>
      </c>
      <c r="T362" s="5" t="str">
        <f>UPPER(IF(Tabla2[[#This Row],[FECHA DE MUESTREO ]]=0,"",TEXT(Tabla2[[#This Row],[FECHA DE MUESTREO ]],("MMMM"))))</f>
        <v>NOVIEMBRE</v>
      </c>
      <c r="U362" s="6">
        <v>45601</v>
      </c>
      <c r="V362" s="5" t="s">
        <v>59</v>
      </c>
      <c r="W3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62" s="7">
        <f t="shared" si="11"/>
        <v>3</v>
      </c>
      <c r="Y362" s="5">
        <v>19.8</v>
      </c>
      <c r="Z362" s="5">
        <v>7.15</v>
      </c>
      <c r="AA362" s="5">
        <v>21</v>
      </c>
      <c r="AB362" s="5">
        <v>21.03</v>
      </c>
      <c r="AC362" s="5">
        <v>398</v>
      </c>
      <c r="AD362" s="5">
        <v>6.7</v>
      </c>
      <c r="AE362" s="5">
        <v>25.71</v>
      </c>
      <c r="AF362" s="5">
        <v>0.5</v>
      </c>
      <c r="AG362" s="5">
        <v>46</v>
      </c>
      <c r="AH362" s="5">
        <v>1.18</v>
      </c>
      <c r="AI362" s="5">
        <f t="shared" si="12"/>
        <v>35.4</v>
      </c>
    </row>
    <row r="363" spans="1:51" x14ac:dyDescent="0.25">
      <c r="A363" s="5" t="s">
        <v>52</v>
      </c>
      <c r="B363" s="5" t="s">
        <v>90</v>
      </c>
      <c r="C363" s="5" t="s">
        <v>81</v>
      </c>
      <c r="F363" s="5" t="s">
        <v>55</v>
      </c>
      <c r="G363" s="5" t="s">
        <v>61</v>
      </c>
      <c r="H363" s="5" t="s">
        <v>57</v>
      </c>
      <c r="I363" s="5">
        <v>778</v>
      </c>
      <c r="J363" s="5" t="str">
        <f>IFERROR(VLOOKUP(I363,[1]INFO_LOCALES!$B:$C,2,FALSE),"")</f>
        <v>ORIENTE</v>
      </c>
      <c r="K363" s="5" t="str">
        <f>IFERROR(VLOOKUP(Tabla2[[#This Row],[TIENDA]],[1]INFO_LOCALES!$B:$D,3,FALSE),"")</f>
        <v>X - Los Lagos</v>
      </c>
      <c r="L363" s="5" t="str">
        <f>IFERROR(VLOOKUP(I363,[1]INFO_LOCALES!$B:$I,8,FALSE),"")</f>
        <v>Osorno</v>
      </c>
      <c r="M363" s="5" t="str">
        <f>IFERROR(VLOOKUP(I363,[1]INFO_LOCALES!$B:$H,7,FALSE),"")</f>
        <v>Julio Buschman 2223</v>
      </c>
      <c r="N363" s="5">
        <f>IFERROR(VLOOKUP(I363,[1]INFO_LOCALES!$B:$E,4,FALSE),"")</f>
        <v>2867</v>
      </c>
      <c r="O363" s="5" t="str">
        <f>VLOOKUP(Tabla2[[#This Row],[TIENDA]],[1]INFO_LOCALES!$B:$J,9,0)</f>
        <v>CONVENIO</v>
      </c>
      <c r="P363" s="5" t="str">
        <f>IFERROR(VLOOKUP(I363,[1]INFO_LOCALES!$B:$F,5,FALSE),"")</f>
        <v>SURALIS</v>
      </c>
      <c r="Q363" s="5" t="s">
        <v>105</v>
      </c>
      <c r="R363" s="5" t="s">
        <v>58</v>
      </c>
      <c r="S363" s="6">
        <v>45657</v>
      </c>
      <c r="T363" s="5" t="str">
        <f>UPPER(IF(Tabla2[[#This Row],[FECHA DE MUESTREO ]]=0,"",TEXT(Tabla2[[#This Row],[FECHA DE MUESTREO ]],("MMMM"))))</f>
        <v>NOVIEMBRE</v>
      </c>
      <c r="U363" s="6">
        <v>45601</v>
      </c>
      <c r="V363" s="5" t="s">
        <v>59</v>
      </c>
      <c r="W3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63" s="7">
        <f t="shared" si="11"/>
        <v>1</v>
      </c>
      <c r="Y363" s="5">
        <v>17</v>
      </c>
      <c r="Z363" s="5">
        <v>8.35</v>
      </c>
      <c r="AA363" s="5">
        <v>5</v>
      </c>
      <c r="AB363" s="5">
        <v>13</v>
      </c>
      <c r="AC363" s="5">
        <v>212</v>
      </c>
      <c r="AD363" s="5">
        <v>1.5</v>
      </c>
      <c r="AE363" s="5">
        <v>69.14</v>
      </c>
      <c r="AF363" s="5">
        <v>5</v>
      </c>
      <c r="AG363" s="5">
        <v>101</v>
      </c>
      <c r="AH363" s="5">
        <v>11</v>
      </c>
      <c r="AI363" s="5">
        <f t="shared" si="12"/>
        <v>330</v>
      </c>
    </row>
    <row r="364" spans="1:51" x14ac:dyDescent="0.25">
      <c r="A364" s="5" t="s">
        <v>52</v>
      </c>
      <c r="B364" s="5" t="s">
        <v>90</v>
      </c>
      <c r="C364" s="5" t="s">
        <v>81</v>
      </c>
      <c r="F364" s="5" t="s">
        <v>55</v>
      </c>
      <c r="G364" s="5" t="s">
        <v>61</v>
      </c>
      <c r="H364" s="5" t="s">
        <v>57</v>
      </c>
      <c r="I364" s="5">
        <v>777</v>
      </c>
      <c r="J364" s="5" t="str">
        <f>IFERROR(VLOOKUP(I364,[1]INFO_LOCALES!$B:$C,2,FALSE),"")</f>
        <v>CENTRAL</v>
      </c>
      <c r="K364" s="5" t="str">
        <f>IFERROR(VLOOKUP(Tabla2[[#This Row],[TIENDA]],[1]INFO_LOCALES!$B:$D,3,FALSE),"")</f>
        <v>X - Los Lagos</v>
      </c>
      <c r="L364" s="5" t="str">
        <f>IFERROR(VLOOKUP(I364,[1]INFO_LOCALES!$B:$I,8,FALSE),"")</f>
        <v>Osorno</v>
      </c>
      <c r="M364" s="5" t="str">
        <f>IFERROR(VLOOKUP(I364,[1]INFO_LOCALES!$B:$H,7,FALSE),"")</f>
        <v>Patricio Lynch 1278</v>
      </c>
      <c r="N364" s="5">
        <f>IFERROR(VLOOKUP(I364,[1]INFO_LOCALES!$B:$E,4,FALSE),"")</f>
        <v>3684</v>
      </c>
      <c r="O364" s="5" t="str">
        <f>VLOOKUP(Tabla2[[#This Row],[TIENDA]],[1]INFO_LOCALES!$B:$J,9,0)</f>
        <v>CONVENIO</v>
      </c>
      <c r="P364" s="5" t="str">
        <f>IFERROR(VLOOKUP(I364,[1]INFO_LOCALES!$B:$F,5,FALSE),"")</f>
        <v>SURALIS</v>
      </c>
      <c r="Q364" s="5" t="s">
        <v>105</v>
      </c>
      <c r="R364" s="5" t="s">
        <v>58</v>
      </c>
      <c r="S364" s="6">
        <v>45657</v>
      </c>
      <c r="T364" s="5" t="str">
        <f>UPPER(IF(Tabla2[[#This Row],[FECHA DE MUESTREO ]]=0,"",TEXT(Tabla2[[#This Row],[FECHA DE MUESTREO ]],("MMMM"))))</f>
        <v>NOVIEMBRE</v>
      </c>
      <c r="U364" s="6">
        <v>45601</v>
      </c>
      <c r="V364" s="5" t="s">
        <v>59</v>
      </c>
      <c r="W3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64" s="7">
        <f t="shared" si="11"/>
        <v>2</v>
      </c>
      <c r="Y364" s="5">
        <v>24</v>
      </c>
      <c r="Z364" s="5">
        <v>6.8</v>
      </c>
      <c r="AA364" s="5">
        <v>3</v>
      </c>
      <c r="AB364" s="5">
        <v>13.6</v>
      </c>
      <c r="AC364" s="5">
        <v>433</v>
      </c>
      <c r="AD364" s="5">
        <v>1.7</v>
      </c>
      <c r="AE364" s="5">
        <v>55.7</v>
      </c>
      <c r="AF364" s="5">
        <v>1.5</v>
      </c>
      <c r="AG364" s="5">
        <v>128</v>
      </c>
      <c r="AH364" s="5">
        <v>2</v>
      </c>
      <c r="AI364" s="5">
        <f t="shared" si="12"/>
        <v>60</v>
      </c>
    </row>
    <row r="365" spans="1:51" x14ac:dyDescent="0.25">
      <c r="A365" s="5" t="s">
        <v>52</v>
      </c>
      <c r="B365" s="5" t="s">
        <v>82</v>
      </c>
      <c r="C365" s="5" t="s">
        <v>77</v>
      </c>
      <c r="F365" s="5" t="s">
        <v>55</v>
      </c>
      <c r="G365" s="5" t="s">
        <v>61</v>
      </c>
      <c r="H365" s="5" t="s">
        <v>57</v>
      </c>
      <c r="I365" s="5">
        <v>472</v>
      </c>
      <c r="J365" s="5" t="str">
        <f>IFERROR(VLOOKUP(I365,[1]INFO_LOCALES!$B:$C,2,FALSE),"")</f>
        <v>CALDERA I</v>
      </c>
      <c r="K365" s="5" t="str">
        <f>IFERROR(VLOOKUP(Tabla2[[#This Row],[TIENDA]],[1]INFO_LOCALES!$B:$D,3,FALSE),"")</f>
        <v>III - Atacama</v>
      </c>
      <c r="L365" s="5" t="str">
        <f>IFERROR(VLOOKUP(I365,[1]INFO_LOCALES!$B:$I,8,FALSE),"")</f>
        <v>Caldera</v>
      </c>
      <c r="M365" s="5" t="str">
        <f>IFERROR(VLOOKUP(I365,[1]INFO_LOCALES!$B:$H,7,FALSE),"")</f>
        <v>Batallon Atacama 319</v>
      </c>
      <c r="N365" s="5">
        <f>IFERROR(VLOOKUP(I365,[1]INFO_LOCALES!$B:$E,4,FALSE),"")</f>
        <v>0</v>
      </c>
      <c r="O365" s="5" t="str">
        <f>VLOOKUP(Tabla2[[#This Row],[TIENDA]],[1]INFO_LOCALES!$B:$J,9,0)</f>
        <v>CONVENIO</v>
      </c>
      <c r="P365" s="5" t="str">
        <f>IFERROR(VLOOKUP(I365,[1]INFO_LOCALES!$B:$F,5,FALSE),"")</f>
        <v>NUEVA ATACAMA</v>
      </c>
      <c r="Q365" s="5" t="s">
        <v>66</v>
      </c>
      <c r="R365" s="5" t="s">
        <v>58</v>
      </c>
      <c r="S365" s="6">
        <v>45672</v>
      </c>
      <c r="T365" s="5" t="str">
        <f>UPPER(IF(Tabla2[[#This Row],[FECHA DE MUESTREO ]]=0,"",TEXT(Tabla2[[#This Row],[FECHA DE MUESTREO ]],("MMMM"))))</f>
        <v>NOVIEMBRE</v>
      </c>
      <c r="U365" s="6">
        <v>45601</v>
      </c>
      <c r="V365" s="5" t="s">
        <v>59</v>
      </c>
      <c r="W3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65" s="7">
        <f t="shared" si="11"/>
        <v>3</v>
      </c>
      <c r="Y365" s="5">
        <v>3.2</v>
      </c>
      <c r="AA365" s="5">
        <v>22.3</v>
      </c>
      <c r="AC365" s="5">
        <v>231</v>
      </c>
      <c r="AD365" s="5">
        <v>7.33</v>
      </c>
      <c r="AE365" s="5">
        <v>106.5</v>
      </c>
      <c r="AF365" s="5">
        <v>0.9</v>
      </c>
      <c r="AG365" s="5">
        <v>64</v>
      </c>
      <c r="AI365" s="5">
        <f t="shared" si="12"/>
        <v>0</v>
      </c>
      <c r="AY365" s="5">
        <v>0.1</v>
      </c>
    </row>
    <row r="366" spans="1:51" x14ac:dyDescent="0.25">
      <c r="A366" s="5" t="s">
        <v>52</v>
      </c>
      <c r="B366" s="5" t="e">
        <v>#N/A</v>
      </c>
      <c r="C366" s="5" t="e">
        <v>#N/A</v>
      </c>
      <c r="F366" s="5" t="s">
        <v>55</v>
      </c>
      <c r="G366" s="5" t="s">
        <v>61</v>
      </c>
      <c r="H366" s="5" t="s">
        <v>57</v>
      </c>
      <c r="I366" s="5">
        <v>9139</v>
      </c>
      <c r="J366" s="5" t="str">
        <f>IFERROR(VLOOKUP(I366,[1]INFO_LOCALES!$B:$C,2,FALSE),"")</f>
        <v>CD LO AGUIRRE</v>
      </c>
      <c r="K366" s="5" t="str">
        <f>IFERROR(VLOOKUP(Tabla2[[#This Row],[TIENDA]],[1]INFO_LOCALES!$B:$D,3,FALSE),"")</f>
        <v>RM - Santiago</v>
      </c>
      <c r="L366" s="5" t="str">
        <f>IFERROR(VLOOKUP(I366,[1]INFO_LOCALES!$B:$I,8,FALSE),"")</f>
        <v>Pudahuel</v>
      </c>
      <c r="M366" s="5" t="str">
        <f>IFERROR(VLOOKUP(I366,[1]INFO_LOCALES!$B:$H,7,FALSE),"")</f>
        <v>CAMINO LO AGUIRRE SUR 537</v>
      </c>
      <c r="N366" s="5">
        <f>IFERROR(VLOOKUP(I366,[1]INFO_LOCALES!$B:$E,4,FALSE),"")</f>
        <v>3552</v>
      </c>
      <c r="O366" s="5" t="str">
        <f>VLOOKUP(Tabla2[[#This Row],[TIENDA]],[1]INFO_LOCALES!$B:$J,9,0)</f>
        <v>SIN CONVENIO</v>
      </c>
      <c r="P366" s="5" t="str">
        <f>IFERROR(VLOOKUP(I366,[1]INFO_LOCALES!$B:$F,5,FALSE),"")</f>
        <v>AGUAS IZARRA</v>
      </c>
      <c r="Q366" s="5" t="s">
        <v>105</v>
      </c>
      <c r="R366" s="5" t="s">
        <v>58</v>
      </c>
      <c r="S366" s="6">
        <v>45667</v>
      </c>
      <c r="T366" s="5" t="str">
        <f>UPPER(IF(Tabla2[[#This Row],[FECHA DE MUESTREO ]]=0,"",TEXT(Tabla2[[#This Row],[FECHA DE MUESTREO ]],("MMMM"))))</f>
        <v>NOVIEMBRE</v>
      </c>
      <c r="U366" s="6">
        <v>45601</v>
      </c>
      <c r="V366" s="5" t="s">
        <v>59</v>
      </c>
      <c r="W3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66" s="7">
        <f t="shared" si="11"/>
        <v>1</v>
      </c>
      <c r="Y366" s="5">
        <v>15</v>
      </c>
      <c r="Z366" s="5">
        <v>8.4</v>
      </c>
      <c r="AA366" s="5">
        <v>0.8</v>
      </c>
      <c r="AB366" s="5">
        <v>20.9</v>
      </c>
      <c r="AC366" s="5">
        <v>76</v>
      </c>
      <c r="AD366" s="5">
        <v>4.96</v>
      </c>
      <c r="AE366" s="5">
        <v>33.54</v>
      </c>
      <c r="AG366" s="5">
        <v>102</v>
      </c>
      <c r="AH366" s="5">
        <v>0.83</v>
      </c>
      <c r="AI366" s="5">
        <f t="shared" si="12"/>
        <v>24.9</v>
      </c>
    </row>
    <row r="367" spans="1:51" x14ac:dyDescent="0.25">
      <c r="A367" s="5" t="s">
        <v>210</v>
      </c>
      <c r="B367" s="5" t="e">
        <v>#N/A</v>
      </c>
      <c r="C367" s="5" t="e">
        <v>#N/A</v>
      </c>
      <c r="F367" s="5" t="s">
        <v>55</v>
      </c>
      <c r="G367" s="5" t="s">
        <v>65</v>
      </c>
      <c r="H367" s="5" t="s">
        <v>57</v>
      </c>
      <c r="I367" s="5">
        <v>9043</v>
      </c>
      <c r="J367" s="5" t="str">
        <f>IFERROR(VLOOKUP(I367,[1]INFO_LOCALES!$B:$C,2,FALSE),"")</f>
        <v>CD COQUIMBO FYV</v>
      </c>
      <c r="K367" s="5" t="str">
        <f>IFERROR(VLOOKUP(Tabla2[[#This Row],[TIENDA]],[1]INFO_LOCALES!$B:$D,3,FALSE),"")</f>
        <v>IV - Coquimbo</v>
      </c>
      <c r="L367" s="5" t="str">
        <f>IFERROR(VLOOKUP(I367,[1]INFO_LOCALES!$B:$I,8,FALSE),"")</f>
        <v>Coquimbo</v>
      </c>
      <c r="M367" s="5" t="str">
        <f>IFERROR(VLOOKUP(I367,[1]INFO_LOCALES!$B:$H,7,FALSE),"")</f>
        <v>RUTA D-43, BARRIO INDUSTRIAL 701, TIERRAS BLANCAS</v>
      </c>
      <c r="N367" s="5">
        <f>IFERROR(VLOOKUP(I367,[1]INFO_LOCALES!$B:$E,4,FALSE),"")</f>
        <v>0</v>
      </c>
      <c r="O367" s="5" t="str">
        <f>VLOOKUP(Tabla2[[#This Row],[TIENDA]],[1]INFO_LOCALES!$B:$J,9,0)</f>
        <v>SIN CONVENIO</v>
      </c>
      <c r="P367" s="5" t="str">
        <f>IFERROR(VLOOKUP(I367,[1]INFO_LOCALES!$B:$F,5,FALSE),"")</f>
        <v>RENTAS ALTO PENUELAS S.A.</v>
      </c>
      <c r="Q367" s="5" t="s">
        <v>85</v>
      </c>
      <c r="R367" s="5" t="s">
        <v>86</v>
      </c>
      <c r="S367" s="6">
        <v>45632</v>
      </c>
      <c r="T367" s="5" t="str">
        <f>UPPER(IF(Tabla2[[#This Row],[FECHA DE MUESTREO ]]=0,"",TEXT(Tabla2[[#This Row],[FECHA DE MUESTREO ]],("MMMM"))))</f>
        <v>NOVIEMBRE</v>
      </c>
      <c r="U367" s="6">
        <v>45603</v>
      </c>
      <c r="V367" s="5" t="s">
        <v>59</v>
      </c>
      <c r="W3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67" s="7">
        <f t="shared" si="11"/>
        <v>1</v>
      </c>
      <c r="Y367" s="5">
        <v>9.6999999999999993</v>
      </c>
      <c r="Z367" s="5">
        <v>7.5</v>
      </c>
      <c r="AA367" s="5">
        <v>2</v>
      </c>
      <c r="AB367" s="5">
        <v>23.3</v>
      </c>
      <c r="AC367" s="5">
        <v>10</v>
      </c>
      <c r="AD367" s="5">
        <v>4.8</v>
      </c>
      <c r="AF367" s="5">
        <v>5.0000000000000001E-3</v>
      </c>
      <c r="AG367" s="5">
        <v>10</v>
      </c>
      <c r="AI367" s="5">
        <f t="shared" si="12"/>
        <v>0</v>
      </c>
      <c r="AJ367" s="5">
        <v>0.1</v>
      </c>
      <c r="AK367" s="5">
        <v>2.0000000000000001E-4</v>
      </c>
      <c r="AL367" s="5">
        <v>0.2525</v>
      </c>
      <c r="AM367" s="5">
        <v>0.01</v>
      </c>
      <c r="AN367" s="5">
        <v>0.1</v>
      </c>
      <c r="AO367" s="5">
        <v>8.3500000000000005E-2</v>
      </c>
      <c r="AP367" s="5">
        <v>0.05</v>
      </c>
      <c r="AR367" s="5">
        <v>0.05</v>
      </c>
      <c r="AS367" s="5">
        <v>5</v>
      </c>
      <c r="AT367" s="5">
        <v>2.3300000000000001E-2</v>
      </c>
      <c r="AU367" s="5">
        <v>1E-3</v>
      </c>
      <c r="AV367" s="5">
        <v>0.05</v>
      </c>
      <c r="AW367" s="5">
        <v>0.01</v>
      </c>
      <c r="AX367" s="5">
        <v>196</v>
      </c>
      <c r="AY367" s="5">
        <v>0.5</v>
      </c>
    </row>
    <row r="368" spans="1:51" x14ac:dyDescent="0.25">
      <c r="A368" s="5" t="s">
        <v>210</v>
      </c>
      <c r="B368" s="5" t="e">
        <v>#N/A</v>
      </c>
      <c r="C368" s="5" t="e">
        <v>#N/A</v>
      </c>
      <c r="F368" s="5" t="s">
        <v>55</v>
      </c>
      <c r="G368" s="5" t="s">
        <v>65</v>
      </c>
      <c r="H368" s="5" t="s">
        <v>57</v>
      </c>
      <c r="I368" s="5">
        <v>9043</v>
      </c>
      <c r="J368" s="5" t="str">
        <f>IFERROR(VLOOKUP(I368,[1]INFO_LOCALES!$B:$C,2,FALSE),"")</f>
        <v>CD COQUIMBO FYV</v>
      </c>
      <c r="K368" s="5" t="str">
        <f>IFERROR(VLOOKUP(Tabla2[[#This Row],[TIENDA]],[1]INFO_LOCALES!$B:$D,3,FALSE),"")</f>
        <v>IV - Coquimbo</v>
      </c>
      <c r="L368" s="5" t="str">
        <f>IFERROR(VLOOKUP(I368,[1]INFO_LOCALES!$B:$I,8,FALSE),"")</f>
        <v>Coquimbo</v>
      </c>
      <c r="M368" s="5" t="str">
        <f>IFERROR(VLOOKUP(I368,[1]INFO_LOCALES!$B:$H,7,FALSE),"")</f>
        <v>RUTA D-43, BARRIO INDUSTRIAL 701, TIERRAS BLANCAS</v>
      </c>
      <c r="N368" s="5">
        <f>IFERROR(VLOOKUP(I368,[1]INFO_LOCALES!$B:$E,4,FALSE),"")</f>
        <v>0</v>
      </c>
      <c r="O368" s="5" t="str">
        <f>VLOOKUP(Tabla2[[#This Row],[TIENDA]],[1]INFO_LOCALES!$B:$J,9,0)</f>
        <v>SIN CONVENIO</v>
      </c>
      <c r="P368" s="5" t="str">
        <f>IFERROR(VLOOKUP(I368,[1]INFO_LOCALES!$B:$F,5,FALSE),"")</f>
        <v>RENTAS ALTO PENUELAS S.A.</v>
      </c>
      <c r="Q368" s="5" t="s">
        <v>85</v>
      </c>
      <c r="R368" s="5" t="s">
        <v>86</v>
      </c>
      <c r="S368" s="6">
        <v>45635</v>
      </c>
      <c r="T368" s="5" t="str">
        <f>UPPER(IF(Tabla2[[#This Row],[FECHA DE MUESTREO ]]=0,"",TEXT(Tabla2[[#This Row],[FECHA DE MUESTREO ]],("MMMM"))))</f>
        <v>NOVIEMBRE</v>
      </c>
      <c r="U368" s="6">
        <v>45604</v>
      </c>
      <c r="V368" s="5" t="s">
        <v>118</v>
      </c>
      <c r="W3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68" s="7">
        <f t="shared" si="11"/>
        <v>1</v>
      </c>
      <c r="Y368" s="5">
        <v>9.6999999999999993</v>
      </c>
      <c r="Z368" s="5">
        <v>7.5</v>
      </c>
      <c r="AA368" s="5">
        <v>2</v>
      </c>
      <c r="AB368" s="5">
        <v>23.3</v>
      </c>
      <c r="AC368" s="5">
        <v>10</v>
      </c>
      <c r="AD368" s="5">
        <v>4.8</v>
      </c>
      <c r="AG368" s="5">
        <v>10</v>
      </c>
      <c r="AI368" s="5">
        <f t="shared" si="12"/>
        <v>0</v>
      </c>
      <c r="AJ368" s="5">
        <v>0.1</v>
      </c>
      <c r="AK368" s="5">
        <v>2E-3</v>
      </c>
      <c r="AL368" s="5">
        <v>0.2525</v>
      </c>
      <c r="AM368" s="5">
        <v>0.01</v>
      </c>
      <c r="AN368" s="5">
        <v>0.1</v>
      </c>
      <c r="AO368" s="5">
        <v>8.3500000000000005E-2</v>
      </c>
      <c r="AP368" s="5">
        <v>0.05</v>
      </c>
      <c r="AR368" s="5">
        <v>0.05</v>
      </c>
      <c r="AS368" s="5">
        <v>5</v>
      </c>
      <c r="AT368" s="5">
        <v>2.3300000000000001E-2</v>
      </c>
      <c r="AU368" s="5">
        <v>1E-3</v>
      </c>
      <c r="AV368" s="5">
        <v>0.05</v>
      </c>
      <c r="AW368" s="5">
        <v>0.01</v>
      </c>
      <c r="AX368" s="5">
        <v>196</v>
      </c>
      <c r="AY368" s="5">
        <v>0.5</v>
      </c>
    </row>
    <row r="369" spans="1:51" x14ac:dyDescent="0.25">
      <c r="A369" s="5" t="s">
        <v>52</v>
      </c>
      <c r="B369" s="5" t="s">
        <v>82</v>
      </c>
      <c r="C369" s="5" t="s">
        <v>77</v>
      </c>
      <c r="F369" s="5" t="s">
        <v>55</v>
      </c>
      <c r="G369" s="5" t="s">
        <v>61</v>
      </c>
      <c r="H369" s="5" t="s">
        <v>57</v>
      </c>
      <c r="I369" s="5">
        <v>22</v>
      </c>
      <c r="J369" s="5" t="str">
        <f>IFERROR(VLOOKUP(I369,[1]INFO_LOCALES!$B:$C,2,FALSE),"")</f>
        <v>ATACAMA</v>
      </c>
      <c r="K369" s="5" t="str">
        <f>IFERROR(VLOOKUP(Tabla2[[#This Row],[TIENDA]],[1]INFO_LOCALES!$B:$D,3,FALSE),"")</f>
        <v>III - Atacama</v>
      </c>
      <c r="L369" s="5" t="str">
        <f>IFERROR(VLOOKUP(I369,[1]INFO_LOCALES!$B:$I,8,FALSE),"")</f>
        <v>Copiapó</v>
      </c>
      <c r="M369" s="5" t="str">
        <f>IFERROR(VLOOKUP(I369,[1]INFO_LOCALES!$B:$H,7,FALSE),"")</f>
        <v>Los Carreras 2242</v>
      </c>
      <c r="N369" s="5">
        <f>IFERROR(VLOOKUP(I369,[1]INFO_LOCALES!$B:$E,4,FALSE),"")</f>
        <v>2666</v>
      </c>
      <c r="O369" s="5" t="str">
        <f>VLOOKUP(Tabla2[[#This Row],[TIENDA]],[1]INFO_LOCALES!$B:$J,9,0)</f>
        <v>CONVENIO</v>
      </c>
      <c r="P369" s="5" t="str">
        <f>IFERROR(VLOOKUP(I369,[1]INFO_LOCALES!$B:$F,5,FALSE),"")</f>
        <v>NUEVA ATACAMA</v>
      </c>
      <c r="Q369" s="5" t="s">
        <v>85</v>
      </c>
      <c r="R369" s="5" t="s">
        <v>86</v>
      </c>
      <c r="S369" s="6">
        <v>45638</v>
      </c>
      <c r="T369" s="5" t="str">
        <f>UPPER(IF(Tabla2[[#This Row],[FECHA DE MUESTREO ]]=0,"",TEXT(Tabla2[[#This Row],[FECHA DE MUESTREO ]],("MMMM"))))</f>
        <v>NOVIEMBRE</v>
      </c>
      <c r="U369" s="6">
        <v>45607</v>
      </c>
      <c r="V369" s="5" t="s">
        <v>59</v>
      </c>
      <c r="W3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69" s="7">
        <f t="shared" si="11"/>
        <v>3</v>
      </c>
      <c r="Y369" s="5">
        <v>21.4</v>
      </c>
      <c r="Z369" s="5">
        <v>7.51</v>
      </c>
      <c r="AA369" s="5">
        <v>5</v>
      </c>
      <c r="AB369" s="5">
        <v>21.89</v>
      </c>
      <c r="AC369" s="5">
        <v>611</v>
      </c>
      <c r="AD369" s="5">
        <v>13.5</v>
      </c>
      <c r="AE369" s="5">
        <v>30.2</v>
      </c>
      <c r="AF369" s="5">
        <v>2</v>
      </c>
      <c r="AG369" s="5">
        <v>170</v>
      </c>
      <c r="AH369" s="5">
        <v>1.85</v>
      </c>
      <c r="AI369" s="5">
        <f t="shared" si="12"/>
        <v>55.5</v>
      </c>
    </row>
    <row r="370" spans="1:51" x14ac:dyDescent="0.25">
      <c r="A370" s="5" t="s">
        <v>52</v>
      </c>
      <c r="B370" s="5" t="s">
        <v>82</v>
      </c>
      <c r="C370" s="5" t="s">
        <v>77</v>
      </c>
      <c r="F370" s="5" t="s">
        <v>55</v>
      </c>
      <c r="G370" s="5" t="s">
        <v>61</v>
      </c>
      <c r="H370" s="5" t="s">
        <v>57</v>
      </c>
      <c r="I370" s="5">
        <v>7</v>
      </c>
      <c r="J370" s="5" t="str">
        <f>IFERROR(VLOOKUP(I370,[1]INFO_LOCALES!$B:$C,2,FALSE),"")</f>
        <v>VALLENAR I</v>
      </c>
      <c r="K370" s="5" t="str">
        <f>IFERROR(VLOOKUP(Tabla2[[#This Row],[TIENDA]],[1]INFO_LOCALES!$B:$D,3,FALSE),"")</f>
        <v>III - Atacama</v>
      </c>
      <c r="L370" s="5" t="str">
        <f>IFERROR(VLOOKUP(I370,[1]INFO_LOCALES!$B:$I,8,FALSE),"")</f>
        <v>Vallenar</v>
      </c>
      <c r="M370" s="5" t="str">
        <f>IFERROR(VLOOKUP(I370,[1]INFO_LOCALES!$B:$H,7,FALSE),"")</f>
        <v>Brasil 663</v>
      </c>
      <c r="N370" s="5">
        <f>IFERROR(VLOOKUP(I370,[1]INFO_LOCALES!$B:$E,4,FALSE),"")</f>
        <v>0</v>
      </c>
      <c r="O370" s="5" t="str">
        <f>VLOOKUP(Tabla2[[#This Row],[TIENDA]],[1]INFO_LOCALES!$B:$J,9,0)</f>
        <v>CONVENIO</v>
      </c>
      <c r="P370" s="5" t="str">
        <f>IFERROR(VLOOKUP(I370,[1]INFO_LOCALES!$B:$F,5,FALSE),"")</f>
        <v>NUEVA ATACAMA</v>
      </c>
      <c r="Q370" s="5" t="s">
        <v>66</v>
      </c>
      <c r="R370" s="5" t="s">
        <v>58</v>
      </c>
      <c r="S370" s="6">
        <v>45672</v>
      </c>
      <c r="T370" s="5" t="str">
        <f>UPPER(IF(Tabla2[[#This Row],[FECHA DE MUESTREO ]]=0,"",TEXT(Tabla2[[#This Row],[FECHA DE MUESTREO ]],("MMMM"))))</f>
        <v>NOVIEMBRE</v>
      </c>
      <c r="U370" s="6">
        <v>45607</v>
      </c>
      <c r="V370" s="5" t="s">
        <v>59</v>
      </c>
      <c r="W3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70" s="7">
        <f t="shared" si="11"/>
        <v>3</v>
      </c>
      <c r="Y370" s="5">
        <v>21.8</v>
      </c>
      <c r="AA370" s="5">
        <v>40.299999999999997</v>
      </c>
      <c r="AC370" s="5">
        <v>687</v>
      </c>
      <c r="AD370" s="5">
        <v>8.09</v>
      </c>
      <c r="AE370" s="5">
        <v>93.9</v>
      </c>
      <c r="AF370" s="5">
        <v>0.9</v>
      </c>
      <c r="AG370" s="5">
        <v>142.11000000000001</v>
      </c>
      <c r="AI370" s="5">
        <f t="shared" si="12"/>
        <v>0</v>
      </c>
      <c r="AY370" s="5">
        <v>0.1</v>
      </c>
    </row>
    <row r="371" spans="1:51" x14ac:dyDescent="0.25">
      <c r="A371" s="5" t="s">
        <v>52</v>
      </c>
      <c r="B371" s="5" t="s">
        <v>82</v>
      </c>
      <c r="C371" s="5" t="s">
        <v>77</v>
      </c>
      <c r="F371" s="5" t="s">
        <v>55</v>
      </c>
      <c r="G371" s="5" t="s">
        <v>65</v>
      </c>
      <c r="H371" s="5" t="s">
        <v>57</v>
      </c>
      <c r="I371" s="5">
        <v>32</v>
      </c>
      <c r="J371" s="5" t="str">
        <f>IFERROR(VLOOKUP(I371,[1]INFO_LOCALES!$B:$C,2,FALSE),"")</f>
        <v>CHAÑARCILLO</v>
      </c>
      <c r="K371" s="5" t="str">
        <f>IFERROR(VLOOKUP(Tabla2[[#This Row],[TIENDA]],[1]INFO_LOCALES!$B:$D,3,FALSE),"")</f>
        <v>III - Atacama</v>
      </c>
      <c r="L371" s="5" t="str">
        <f>IFERROR(VLOOKUP(I371,[1]INFO_LOCALES!$B:$I,8,FALSE),"")</f>
        <v>Copiapó</v>
      </c>
      <c r="M371" s="5" t="str">
        <f>IFERROR(VLOOKUP(I371,[1]INFO_LOCALES!$B:$H,7,FALSE),"")</f>
        <v>Chacabuco Nº 231</v>
      </c>
      <c r="N371" s="5">
        <f>IFERROR(VLOOKUP(I371,[1]INFO_LOCALES!$B:$E,4,FALSE),"")</f>
        <v>0</v>
      </c>
      <c r="O371" s="5" t="str">
        <f>VLOOKUP(Tabla2[[#This Row],[TIENDA]],[1]INFO_LOCALES!$B:$J,9,0)</f>
        <v>CONVENIO</v>
      </c>
      <c r="P371" s="5" t="str">
        <f>IFERROR(VLOOKUP(I371,[1]INFO_LOCALES!$B:$F,5,FALSE),"")</f>
        <v>NUEVA ATACAMA</v>
      </c>
      <c r="Q371" s="5" t="s">
        <v>85</v>
      </c>
      <c r="R371" s="5" t="s">
        <v>86</v>
      </c>
      <c r="S371" s="6">
        <v>45636</v>
      </c>
      <c r="T371" s="5" t="str">
        <f>UPPER(IF(Tabla2[[#This Row],[FECHA DE MUESTREO ]]=0,"",TEXT(Tabla2[[#This Row],[FECHA DE MUESTREO ]],("MMMM"))))</f>
        <v>NOVIEMBRE</v>
      </c>
      <c r="U371" s="6">
        <v>45608</v>
      </c>
      <c r="V371" s="5" t="s">
        <v>59</v>
      </c>
      <c r="W3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71" s="7">
        <f t="shared" si="11"/>
        <v>3</v>
      </c>
      <c r="Y371" s="5">
        <v>144.5</v>
      </c>
      <c r="Z371" s="5">
        <v>7.44</v>
      </c>
      <c r="AA371" s="5">
        <v>4</v>
      </c>
      <c r="AB371" s="5">
        <v>22.71</v>
      </c>
      <c r="AC371" s="5">
        <v>1422</v>
      </c>
      <c r="AD371" s="5">
        <v>16.8</v>
      </c>
      <c r="AE371" s="5">
        <v>53.5</v>
      </c>
      <c r="AF371" s="5">
        <v>9.5</v>
      </c>
      <c r="AG371" s="5">
        <v>275</v>
      </c>
      <c r="AH371" s="5">
        <v>2.4300000000000002</v>
      </c>
      <c r="AI371" s="5">
        <f t="shared" si="12"/>
        <v>72.900000000000006</v>
      </c>
    </row>
    <row r="372" spans="1:51" x14ac:dyDescent="0.25">
      <c r="A372" s="5" t="s">
        <v>52</v>
      </c>
      <c r="B372" s="5" t="s">
        <v>82</v>
      </c>
      <c r="C372" s="5" t="s">
        <v>77</v>
      </c>
      <c r="F372" s="5" t="s">
        <v>55</v>
      </c>
      <c r="G372" s="5" t="s">
        <v>61</v>
      </c>
      <c r="H372" s="5" t="s">
        <v>57</v>
      </c>
      <c r="I372" s="5">
        <v>25</v>
      </c>
      <c r="J372" s="5" t="str">
        <f>IFERROR(VLOOKUP(I372,[1]INFO_LOCALES!$B:$C,2,FALSE),"")</f>
        <v>EL PALOMAR</v>
      </c>
      <c r="K372" s="5" t="str">
        <f>IFERROR(VLOOKUP(Tabla2[[#This Row],[TIENDA]],[1]INFO_LOCALES!$B:$D,3,FALSE),"")</f>
        <v>III - Atacama</v>
      </c>
      <c r="L372" s="5" t="str">
        <f>IFERROR(VLOOKUP(I372,[1]INFO_LOCALES!$B:$I,8,FALSE),"")</f>
        <v>Copiapó</v>
      </c>
      <c r="M372" s="5" t="str">
        <f>IFERROR(VLOOKUP(I372,[1]INFO_LOCALES!$B:$H,7,FALSE),"")</f>
        <v>Av. Palomar 1525</v>
      </c>
      <c r="N372" s="5">
        <f>IFERROR(VLOOKUP(I372,[1]INFO_LOCALES!$B:$E,4,FALSE),"")</f>
        <v>3868</v>
      </c>
      <c r="O372" s="5" t="str">
        <f>VLOOKUP(Tabla2[[#This Row],[TIENDA]],[1]INFO_LOCALES!$B:$J,9,0)</f>
        <v>TERMINADO</v>
      </c>
      <c r="P372" s="5" t="str">
        <f>IFERROR(VLOOKUP(I372,[1]INFO_LOCALES!$B:$F,5,FALSE),"")</f>
        <v>NUEVA ATACAMA</v>
      </c>
      <c r="Q372" s="5" t="s">
        <v>85</v>
      </c>
      <c r="R372" s="5" t="s">
        <v>86</v>
      </c>
      <c r="S372" s="6">
        <v>45636</v>
      </c>
      <c r="T372" s="5" t="str">
        <f>UPPER(IF(Tabla2[[#This Row],[FECHA DE MUESTREO ]]=0,"",TEXT(Tabla2[[#This Row],[FECHA DE MUESTREO ]],("MMMM"))))</f>
        <v>NOVIEMBRE</v>
      </c>
      <c r="U372" s="6">
        <v>45608</v>
      </c>
      <c r="V372" s="5" t="s">
        <v>59</v>
      </c>
      <c r="W3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72" s="7">
        <f t="shared" si="11"/>
        <v>1</v>
      </c>
      <c r="Y372" s="5">
        <v>15.4</v>
      </c>
      <c r="Z372" s="5">
        <v>7.55</v>
      </c>
      <c r="AA372" s="5">
        <v>3</v>
      </c>
      <c r="AB372" s="5">
        <v>23.1</v>
      </c>
      <c r="AC372" s="5">
        <v>205</v>
      </c>
      <c r="AD372" s="5">
        <v>5.9</v>
      </c>
      <c r="AE372" s="5">
        <v>28.9</v>
      </c>
      <c r="AF372" s="5">
        <v>4</v>
      </c>
      <c r="AG372" s="5">
        <v>35</v>
      </c>
      <c r="AH372" s="5">
        <v>1.75</v>
      </c>
      <c r="AI372" s="5">
        <f t="shared" si="12"/>
        <v>52.5</v>
      </c>
    </row>
    <row r="373" spans="1:51" x14ac:dyDescent="0.25">
      <c r="A373" s="5" t="s">
        <v>52</v>
      </c>
      <c r="B373" s="5" t="s">
        <v>82</v>
      </c>
      <c r="C373" s="5" t="s">
        <v>77</v>
      </c>
      <c r="F373" s="5" t="s">
        <v>55</v>
      </c>
      <c r="G373" s="5" t="s">
        <v>65</v>
      </c>
      <c r="H373" s="5" t="s">
        <v>57</v>
      </c>
      <c r="I373" s="5">
        <v>24</v>
      </c>
      <c r="J373" s="5" t="str">
        <f>IFERROR(VLOOKUP(I373,[1]INFO_LOCALES!$B:$C,2,FALSE),"")</f>
        <v>CHACABUCO</v>
      </c>
      <c r="K373" s="5" t="str">
        <f>IFERROR(VLOOKUP(Tabla2[[#This Row],[TIENDA]],[1]INFO_LOCALES!$B:$D,3,FALSE),"")</f>
        <v>III - Atacama</v>
      </c>
      <c r="L373" s="5" t="str">
        <f>IFERROR(VLOOKUP(I373,[1]INFO_LOCALES!$B:$I,8,FALSE),"")</f>
        <v>Copiapó</v>
      </c>
      <c r="M373" s="5" t="str">
        <f>IFERROR(VLOOKUP(I373,[1]INFO_LOCALES!$B:$H,7,FALSE),"")</f>
        <v>Los Carreras  586</v>
      </c>
      <c r="N373" s="5">
        <f>IFERROR(VLOOKUP(I373,[1]INFO_LOCALES!$B:$E,4,FALSE),"")</f>
        <v>0</v>
      </c>
      <c r="O373" s="5" t="str">
        <f>VLOOKUP(Tabla2[[#This Row],[TIENDA]],[1]INFO_LOCALES!$B:$J,9,0)</f>
        <v>SIN CONVENIO</v>
      </c>
      <c r="P373" s="5" t="str">
        <f>IFERROR(VLOOKUP(I373,[1]INFO_LOCALES!$B:$F,5,FALSE),"")</f>
        <v>NUEVA ATACAMA</v>
      </c>
      <c r="Q373" s="5" t="s">
        <v>85</v>
      </c>
      <c r="R373" s="5" t="s">
        <v>86</v>
      </c>
      <c r="S373" s="6">
        <v>45638</v>
      </c>
      <c r="T373" s="5" t="str">
        <f>UPPER(IF(Tabla2[[#This Row],[FECHA DE MUESTREO ]]=0,"",TEXT(Tabla2[[#This Row],[FECHA DE MUESTREO ]],("MMMM"))))</f>
        <v>NOVIEMBRE</v>
      </c>
      <c r="U373" s="6">
        <v>45610</v>
      </c>
      <c r="V373" s="5" t="s">
        <v>59</v>
      </c>
      <c r="W3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73" s="7">
        <f t="shared" si="11"/>
        <v>3</v>
      </c>
      <c r="Y373" s="5">
        <v>5</v>
      </c>
      <c r="Z373" s="5">
        <v>7.36</v>
      </c>
      <c r="AA373" s="5">
        <v>35</v>
      </c>
      <c r="AB373" s="5">
        <v>20.84</v>
      </c>
      <c r="AC373" s="5">
        <v>116</v>
      </c>
      <c r="AD373" s="5">
        <v>1.2</v>
      </c>
      <c r="AE373" s="5">
        <v>5</v>
      </c>
      <c r="AF373" s="5">
        <v>0.9</v>
      </c>
      <c r="AG373" s="5">
        <v>58.3</v>
      </c>
      <c r="AH373" s="5">
        <v>0.96</v>
      </c>
      <c r="AI373" s="5">
        <f t="shared" si="12"/>
        <v>28.799999999999997</v>
      </c>
    </row>
    <row r="374" spans="1:51" x14ac:dyDescent="0.25">
      <c r="A374" s="5" t="s">
        <v>52</v>
      </c>
      <c r="B374" s="5" t="s">
        <v>82</v>
      </c>
      <c r="C374" s="5" t="s">
        <v>77</v>
      </c>
      <c r="F374" s="5" t="s">
        <v>55</v>
      </c>
      <c r="G374" s="5" t="s">
        <v>61</v>
      </c>
      <c r="H374" s="5" t="s">
        <v>57</v>
      </c>
      <c r="I374" s="5">
        <v>14</v>
      </c>
      <c r="J374" s="5" t="str">
        <f>IFERROR(VLOOKUP(I374,[1]INFO_LOCALES!$B:$C,2,FALSE),"")</f>
        <v>COPIAPO</v>
      </c>
      <c r="K374" s="5" t="str">
        <f>IFERROR(VLOOKUP(Tabla2[[#This Row],[TIENDA]],[1]INFO_LOCALES!$B:$D,3,FALSE),"")</f>
        <v>III - Atacama</v>
      </c>
      <c r="L374" s="5" t="str">
        <f>IFERROR(VLOOKUP(I374,[1]INFO_LOCALES!$B:$I,8,FALSE),"")</f>
        <v>Copiapó</v>
      </c>
      <c r="M374" s="5" t="str">
        <f>IFERROR(VLOOKUP(I374,[1]INFO_LOCALES!$B:$H,7,FALSE),"")</f>
        <v>Av. Henrriquez N° 523</v>
      </c>
      <c r="N374" s="5">
        <f>IFERROR(VLOOKUP(I374,[1]INFO_LOCALES!$B:$E,4,FALSE),"")</f>
        <v>0</v>
      </c>
      <c r="O374" s="5" t="str">
        <f>VLOOKUP(Tabla2[[#This Row],[TIENDA]],[1]INFO_LOCALES!$B:$J,9,0)</f>
        <v>CONVENIO</v>
      </c>
      <c r="P374" s="5" t="str">
        <f>IFERROR(VLOOKUP(I374,[1]INFO_LOCALES!$B:$F,5,FALSE),"")</f>
        <v>NUEVA ATACAMA</v>
      </c>
      <c r="Q374" s="5" t="s">
        <v>66</v>
      </c>
      <c r="R374" s="5" t="s">
        <v>58</v>
      </c>
      <c r="S374" s="6">
        <v>45672</v>
      </c>
      <c r="T374" s="5" t="str">
        <f>UPPER(IF(Tabla2[[#This Row],[FECHA DE MUESTREO ]]=0,"",TEXT(Tabla2[[#This Row],[FECHA DE MUESTREO ]],("MMMM"))))</f>
        <v>NOVIEMBRE</v>
      </c>
      <c r="U374" s="6">
        <v>45610</v>
      </c>
      <c r="V374" s="5" t="s">
        <v>59</v>
      </c>
      <c r="W3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74" s="7">
        <f t="shared" si="11"/>
        <v>3</v>
      </c>
      <c r="Y374" s="5">
        <v>6.38</v>
      </c>
      <c r="AA374" s="5">
        <v>15.3</v>
      </c>
      <c r="AC374" s="5">
        <v>360</v>
      </c>
      <c r="AD374" s="5">
        <v>10.87</v>
      </c>
      <c r="AE374" s="5">
        <v>30.6</v>
      </c>
      <c r="AF374" s="5">
        <v>0.9</v>
      </c>
      <c r="AG374" s="5">
        <v>65</v>
      </c>
      <c r="AI374" s="5">
        <f t="shared" si="12"/>
        <v>0</v>
      </c>
      <c r="AY374" s="5">
        <v>0.1</v>
      </c>
    </row>
    <row r="375" spans="1:51" x14ac:dyDescent="0.25">
      <c r="A375" s="5" t="s">
        <v>52</v>
      </c>
      <c r="B375" s="5" t="s">
        <v>82</v>
      </c>
      <c r="C375" s="5" t="s">
        <v>77</v>
      </c>
      <c r="F375" s="5" t="s">
        <v>55</v>
      </c>
      <c r="G375" s="5" t="s">
        <v>65</v>
      </c>
      <c r="H375" s="5" t="s">
        <v>57</v>
      </c>
      <c r="I375" s="5">
        <v>23</v>
      </c>
      <c r="J375" s="5" t="str">
        <f>IFERROR(VLOOKUP(I375,[1]INFO_LOCALES!$B:$C,2,FALSE),"")</f>
        <v>LOS CARRERAS</v>
      </c>
      <c r="K375" s="5" t="str">
        <f>IFERROR(VLOOKUP(Tabla2[[#This Row],[TIENDA]],[1]INFO_LOCALES!$B:$D,3,FALSE),"")</f>
        <v>III - Atacama</v>
      </c>
      <c r="L375" s="5" t="str">
        <f>IFERROR(VLOOKUP(I375,[1]INFO_LOCALES!$B:$I,8,FALSE),"")</f>
        <v>Copiapó</v>
      </c>
      <c r="M375" s="5" t="str">
        <f>IFERROR(VLOOKUP(I375,[1]INFO_LOCALES!$B:$H,7,FALSE),"")</f>
        <v>Los Carrera 479</v>
      </c>
      <c r="N375" s="5">
        <f>IFERROR(VLOOKUP(I375,[1]INFO_LOCALES!$B:$E,4,FALSE),"")</f>
        <v>0</v>
      </c>
      <c r="O375" s="5" t="str">
        <f>VLOOKUP(Tabla2[[#This Row],[TIENDA]],[1]INFO_LOCALES!$B:$J,9,0)</f>
        <v>SIN CONVENIO</v>
      </c>
      <c r="P375" s="5" t="str">
        <f>IFERROR(VLOOKUP(I375,[1]INFO_LOCALES!$B:$F,5,FALSE),"")</f>
        <v>NUEVA ATACAMA</v>
      </c>
      <c r="Q375" s="5" t="s">
        <v>85</v>
      </c>
      <c r="R375" s="5" t="s">
        <v>86</v>
      </c>
      <c r="S375" s="6">
        <v>45638</v>
      </c>
      <c r="T375" s="5" t="str">
        <f>UPPER(IF(Tabla2[[#This Row],[FECHA DE MUESTREO ]]=0,"",TEXT(Tabla2[[#This Row],[FECHA DE MUESTREO ]],("MMMM"))))</f>
        <v>NOVIEMBRE</v>
      </c>
      <c r="U375" s="6">
        <v>45611</v>
      </c>
      <c r="V375" s="5" t="s">
        <v>59</v>
      </c>
      <c r="W3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75" s="7">
        <f t="shared" si="11"/>
        <v>3</v>
      </c>
      <c r="Y375" s="5">
        <v>30.6</v>
      </c>
      <c r="Z375" s="5">
        <v>7.1</v>
      </c>
      <c r="AA375" s="5">
        <v>2</v>
      </c>
      <c r="AB375" s="5">
        <v>19.690000000000001</v>
      </c>
      <c r="AC375" s="5">
        <v>614</v>
      </c>
      <c r="AD375" s="5">
        <v>13.3</v>
      </c>
      <c r="AE375" s="5">
        <v>59.87</v>
      </c>
      <c r="AF375" s="5">
        <v>2</v>
      </c>
      <c r="AG375" s="5">
        <v>175</v>
      </c>
      <c r="AH375" s="5">
        <v>0.59</v>
      </c>
      <c r="AI375" s="5">
        <f t="shared" si="12"/>
        <v>17.7</v>
      </c>
    </row>
    <row r="376" spans="1:51" x14ac:dyDescent="0.25">
      <c r="A376" s="5" t="s">
        <v>52</v>
      </c>
      <c r="B376" s="5" t="s">
        <v>90</v>
      </c>
      <c r="C376" s="5" t="s">
        <v>81</v>
      </c>
      <c r="F376" s="5" t="s">
        <v>55</v>
      </c>
      <c r="G376" s="5" t="s">
        <v>65</v>
      </c>
      <c r="H376" s="5" t="s">
        <v>57</v>
      </c>
      <c r="I376" s="5">
        <v>544</v>
      </c>
      <c r="J376" s="5" t="str">
        <f>IFERROR(VLOOKUP(I376,[1]INFO_LOCALES!$B:$C,2,FALSE),"")</f>
        <v>PURRANQUE</v>
      </c>
      <c r="K376" s="5" t="str">
        <f>IFERROR(VLOOKUP(Tabla2[[#This Row],[TIENDA]],[1]INFO_LOCALES!$B:$D,3,FALSE),"")</f>
        <v>X - Los Lagos</v>
      </c>
      <c r="L376" s="5" t="str">
        <f>IFERROR(VLOOKUP(I376,[1]INFO_LOCALES!$B:$I,8,FALSE),"")</f>
        <v>Purranque</v>
      </c>
      <c r="M376" s="5" t="str">
        <f>IFERROR(VLOOKUP(I376,[1]INFO_LOCALES!$B:$H,7,FALSE),"")</f>
        <v>Eleuterio Ramirez 549</v>
      </c>
      <c r="N376" s="5">
        <f>IFERROR(VLOOKUP(I376,[1]INFO_LOCALES!$B:$E,4,FALSE),"")</f>
        <v>0</v>
      </c>
      <c r="O376" s="5" t="str">
        <f>VLOOKUP(Tabla2[[#This Row],[TIENDA]],[1]INFO_LOCALES!$B:$J,9,0)</f>
        <v>SIN CONVENIO</v>
      </c>
      <c r="P376" s="5" t="str">
        <f>IFERROR(VLOOKUP(I376,[1]INFO_LOCALES!$B:$F,5,FALSE),"")</f>
        <v>SURALIS</v>
      </c>
      <c r="Q376" s="5" t="s">
        <v>105</v>
      </c>
      <c r="R376" s="5" t="s">
        <v>58</v>
      </c>
      <c r="S376" s="6">
        <v>45657</v>
      </c>
      <c r="T376" s="5" t="str">
        <f>UPPER(IF(Tabla2[[#This Row],[FECHA DE MUESTREO ]]=0,"",TEXT(Tabla2[[#This Row],[FECHA DE MUESTREO ]],("MMMM"))))</f>
        <v>NOVIEMBRE</v>
      </c>
      <c r="U376" s="6">
        <v>45611</v>
      </c>
      <c r="V376" s="5" t="s">
        <v>59</v>
      </c>
      <c r="W3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76" s="7">
        <f t="shared" si="11"/>
        <v>1</v>
      </c>
      <c r="Y376" s="5">
        <v>22</v>
      </c>
      <c r="Z376" s="5">
        <v>7.3</v>
      </c>
      <c r="AA376" s="5">
        <v>2</v>
      </c>
      <c r="AB376" s="5">
        <v>14.1</v>
      </c>
      <c r="AC376" s="5">
        <v>192</v>
      </c>
      <c r="AD376" s="5">
        <v>4.7</v>
      </c>
      <c r="AE376" s="5">
        <v>11.8</v>
      </c>
      <c r="AF376" s="5">
        <v>0.6</v>
      </c>
      <c r="AG376" s="5">
        <v>110</v>
      </c>
      <c r="AH376" s="5">
        <v>13</v>
      </c>
      <c r="AI376" s="5">
        <f t="shared" si="12"/>
        <v>390</v>
      </c>
    </row>
    <row r="377" spans="1:51" x14ac:dyDescent="0.25">
      <c r="A377" s="5" t="s">
        <v>52</v>
      </c>
      <c r="B377" s="5" t="s">
        <v>82</v>
      </c>
      <c r="C377" s="5" t="s">
        <v>77</v>
      </c>
      <c r="F377" s="5" t="s">
        <v>55</v>
      </c>
      <c r="G377" s="5" t="s">
        <v>65</v>
      </c>
      <c r="H377" s="5" t="s">
        <v>57</v>
      </c>
      <c r="I377" s="5">
        <v>32</v>
      </c>
      <c r="J377" s="5" t="str">
        <f>IFERROR(VLOOKUP(I377,[1]INFO_LOCALES!$B:$C,2,FALSE),"")</f>
        <v>CHAÑARCILLO</v>
      </c>
      <c r="K377" s="5" t="str">
        <f>IFERROR(VLOOKUP(Tabla2[[#This Row],[TIENDA]],[1]INFO_LOCALES!$B:$D,3,FALSE),"")</f>
        <v>III - Atacama</v>
      </c>
      <c r="L377" s="5" t="str">
        <f>IFERROR(VLOOKUP(I377,[1]INFO_LOCALES!$B:$I,8,FALSE),"")</f>
        <v>Copiapó</v>
      </c>
      <c r="M377" s="5" t="str">
        <f>IFERROR(VLOOKUP(I377,[1]INFO_LOCALES!$B:$H,7,FALSE),"")</f>
        <v>Chacabuco Nº 231</v>
      </c>
      <c r="N377" s="5">
        <f>IFERROR(VLOOKUP(I377,[1]INFO_LOCALES!$B:$E,4,FALSE),"")</f>
        <v>0</v>
      </c>
      <c r="O377" s="5" t="str">
        <f>VLOOKUP(Tabla2[[#This Row],[TIENDA]],[1]INFO_LOCALES!$B:$J,9,0)</f>
        <v>CONVENIO</v>
      </c>
      <c r="P377" s="5" t="str">
        <f>IFERROR(VLOOKUP(I377,[1]INFO_LOCALES!$B:$F,5,FALSE),"")</f>
        <v>NUEVA ATACAMA</v>
      </c>
      <c r="Q377" s="5" t="s">
        <v>66</v>
      </c>
      <c r="R377" s="5" t="s">
        <v>58</v>
      </c>
      <c r="S377" s="6">
        <v>45672</v>
      </c>
      <c r="T377" s="5" t="str">
        <f>UPPER(IF(Tabla2[[#This Row],[FECHA DE MUESTREO ]]=0,"",TEXT(Tabla2[[#This Row],[FECHA DE MUESTREO ]],("MMMM"))))</f>
        <v>NOVIEMBRE</v>
      </c>
      <c r="U377" s="6">
        <v>45616</v>
      </c>
      <c r="V377" s="5" t="s">
        <v>59</v>
      </c>
      <c r="W3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77" s="7">
        <f t="shared" si="11"/>
        <v>2</v>
      </c>
      <c r="Y377" s="5">
        <v>25.51</v>
      </c>
      <c r="AC377" s="5">
        <v>475</v>
      </c>
      <c r="AE377" s="5">
        <v>56.3</v>
      </c>
      <c r="AG377" s="5">
        <v>138.27000000000001</v>
      </c>
      <c r="AI377" s="5">
        <f t="shared" si="12"/>
        <v>0</v>
      </c>
    </row>
    <row r="378" spans="1:51" x14ac:dyDescent="0.25">
      <c r="A378" s="5" t="s">
        <v>60</v>
      </c>
      <c r="B378" s="5" t="e">
        <v>#N/A</v>
      </c>
      <c r="C378" s="5" t="e">
        <v>#N/A</v>
      </c>
      <c r="F378" s="5" t="s">
        <v>55</v>
      </c>
      <c r="G378" s="5" t="s">
        <v>65</v>
      </c>
      <c r="H378" s="5" t="s">
        <v>57</v>
      </c>
      <c r="I378" s="5">
        <v>3503</v>
      </c>
      <c r="J378" s="5" t="str">
        <f>IFERROR(VLOOKUP(I378,[1]INFO_LOCALES!$B:$C,2,FALSE),"")</f>
        <v>S10 PORTALES</v>
      </c>
      <c r="K378" s="5" t="str">
        <f>IFERROR(VLOOKUP(Tabla2[[#This Row],[TIENDA]],[1]INFO_LOCALES!$B:$D,3,FALSE),"")</f>
        <v>RM - Santiago</v>
      </c>
      <c r="L378" s="5" t="str">
        <f>IFERROR(VLOOKUP(I378,[1]INFO_LOCALES!$B:$I,8,FALSE),"")</f>
        <v>San Bernardo</v>
      </c>
      <c r="M378" s="5" t="str">
        <f>IFERROR(VLOOKUP(I378,[1]INFO_LOCALES!$B:$H,7,FALSE),"")</f>
        <v>Av. Portales Oriente 1701</v>
      </c>
      <c r="N378" s="5">
        <f>IFERROR(VLOOKUP(I378,[1]INFO_LOCALES!$B:$E,4,FALSE),"")</f>
        <v>0</v>
      </c>
      <c r="O378" s="5" t="str">
        <f>VLOOKUP(Tabla2[[#This Row],[TIENDA]],[1]INFO_LOCALES!$B:$J,9,0)</f>
        <v>SIN CONVENIO</v>
      </c>
      <c r="P378" s="5" t="str">
        <f>IFERROR(VLOOKUP(I378,[1]INFO_LOCALES!$B:$F,5,FALSE),"")</f>
        <v>AGUAS ANDINAS S.A.</v>
      </c>
      <c r="Q378" s="5" t="s">
        <v>113</v>
      </c>
      <c r="R378" s="5" t="s">
        <v>58</v>
      </c>
      <c r="S378" s="6">
        <v>45665</v>
      </c>
      <c r="T378" s="5" t="str">
        <f>UPPER(IF(Tabla2[[#This Row],[FECHA DE MUESTREO ]]=0,"",TEXT(Tabla2[[#This Row],[FECHA DE MUESTREO ]],("MMMM"))))</f>
        <v>NOVIEMBRE</v>
      </c>
      <c r="U378" s="6">
        <v>45619</v>
      </c>
      <c r="V378" s="5" t="s">
        <v>59</v>
      </c>
      <c r="W3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78" s="7">
        <f t="shared" si="11"/>
        <v>2</v>
      </c>
      <c r="Y378" s="5">
        <v>61</v>
      </c>
      <c r="Z378" s="5">
        <v>7.76</v>
      </c>
      <c r="AA378" s="5">
        <v>0.8</v>
      </c>
      <c r="AB378" s="5">
        <v>19.5</v>
      </c>
      <c r="AC378" s="5">
        <v>173</v>
      </c>
      <c r="AD378" s="5">
        <v>10.06</v>
      </c>
      <c r="AE378" s="5">
        <v>84.75</v>
      </c>
      <c r="AF378" s="5">
        <v>2</v>
      </c>
      <c r="AG378" s="5">
        <v>340</v>
      </c>
      <c r="AH378" s="5">
        <v>14</v>
      </c>
      <c r="AI378" s="5">
        <f t="shared" si="12"/>
        <v>420</v>
      </c>
    </row>
    <row r="379" spans="1:51" x14ac:dyDescent="0.25">
      <c r="A379" s="5" t="s">
        <v>52</v>
      </c>
      <c r="B379" s="5" t="s">
        <v>82</v>
      </c>
      <c r="C379" s="5" t="s">
        <v>77</v>
      </c>
      <c r="F379" s="5" t="s">
        <v>55</v>
      </c>
      <c r="G379" s="5" t="s">
        <v>65</v>
      </c>
      <c r="H379" s="5" t="s">
        <v>57</v>
      </c>
      <c r="I379" s="5">
        <v>472</v>
      </c>
      <c r="J379" s="5" t="str">
        <f>IFERROR(VLOOKUP(I379,[1]INFO_LOCALES!$B:$C,2,FALSE),"")</f>
        <v>CALDERA I</v>
      </c>
      <c r="K379" s="5" t="str">
        <f>IFERROR(VLOOKUP(Tabla2[[#This Row],[TIENDA]],[1]INFO_LOCALES!$B:$D,3,FALSE),"")</f>
        <v>III - Atacama</v>
      </c>
      <c r="L379" s="5" t="str">
        <f>IFERROR(VLOOKUP(I379,[1]INFO_LOCALES!$B:$I,8,FALSE),"")</f>
        <v>Caldera</v>
      </c>
      <c r="M379" s="5" t="str">
        <f>IFERROR(VLOOKUP(I379,[1]INFO_LOCALES!$B:$H,7,FALSE),"")</f>
        <v>Batallon Atacama 319</v>
      </c>
      <c r="N379" s="5">
        <f>IFERROR(VLOOKUP(I379,[1]INFO_LOCALES!$B:$E,4,FALSE),"")</f>
        <v>0</v>
      </c>
      <c r="O379" s="5" t="str">
        <f>VLOOKUP(Tabla2[[#This Row],[TIENDA]],[1]INFO_LOCALES!$B:$J,9,0)</f>
        <v>CONVENIO</v>
      </c>
      <c r="P379" s="5" t="str">
        <f>IFERROR(VLOOKUP(I379,[1]INFO_LOCALES!$B:$F,5,FALSE),"")</f>
        <v>NUEVA ATACAMA</v>
      </c>
      <c r="Q379" s="5" t="s">
        <v>85</v>
      </c>
      <c r="R379" s="5" t="s">
        <v>86</v>
      </c>
      <c r="S379" s="6">
        <v>45646</v>
      </c>
      <c r="T379" s="5" t="s">
        <v>75</v>
      </c>
      <c r="U379" s="6">
        <v>45622</v>
      </c>
      <c r="V379" s="5" t="s">
        <v>59</v>
      </c>
      <c r="W3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79" s="7">
        <f t="shared" si="11"/>
        <v>2</v>
      </c>
      <c r="Y379" s="5">
        <v>14</v>
      </c>
      <c r="Z379" s="5">
        <v>7.53</v>
      </c>
      <c r="AA379" s="5">
        <v>2</v>
      </c>
      <c r="AB379" s="5">
        <v>25.6</v>
      </c>
      <c r="AC379" s="5">
        <v>331</v>
      </c>
      <c r="AD379" s="5">
        <v>16.600000000000001</v>
      </c>
      <c r="AE379" s="5">
        <v>30.61</v>
      </c>
      <c r="AF379" s="5">
        <v>5</v>
      </c>
      <c r="AG379" s="5">
        <v>202</v>
      </c>
      <c r="AI379" s="5">
        <f t="shared" si="12"/>
        <v>0</v>
      </c>
    </row>
    <row r="380" spans="1:51" x14ac:dyDescent="0.25">
      <c r="A380" s="5" t="s">
        <v>52</v>
      </c>
      <c r="B380" s="5" t="s">
        <v>82</v>
      </c>
      <c r="C380" s="5" t="s">
        <v>77</v>
      </c>
      <c r="F380" s="5" t="s">
        <v>55</v>
      </c>
      <c r="G380" s="5" t="s">
        <v>65</v>
      </c>
      <c r="H380" s="5" t="s">
        <v>57</v>
      </c>
      <c r="I380" s="5">
        <v>7</v>
      </c>
      <c r="J380" s="5" t="str">
        <f>IFERROR(VLOOKUP(I380,[1]INFO_LOCALES!$B:$C,2,FALSE),"")</f>
        <v>VALLENAR I</v>
      </c>
      <c r="K380" s="5" t="str">
        <f>IFERROR(VLOOKUP(Tabla2[[#This Row],[TIENDA]],[1]INFO_LOCALES!$B:$D,3,FALSE),"")</f>
        <v>III - Atacama</v>
      </c>
      <c r="L380" s="5" t="str">
        <f>IFERROR(VLOOKUP(I380,[1]INFO_LOCALES!$B:$I,8,FALSE),"")</f>
        <v>Vallenar</v>
      </c>
      <c r="M380" s="5" t="str">
        <f>IFERROR(VLOOKUP(I380,[1]INFO_LOCALES!$B:$H,7,FALSE),"")</f>
        <v>Brasil 663</v>
      </c>
      <c r="N380" s="5">
        <f>IFERROR(VLOOKUP(I380,[1]INFO_LOCALES!$B:$E,4,FALSE),"")</f>
        <v>0</v>
      </c>
      <c r="O380" s="5" t="str">
        <f>VLOOKUP(Tabla2[[#This Row],[TIENDA]],[1]INFO_LOCALES!$B:$J,9,0)</f>
        <v>CONVENIO</v>
      </c>
      <c r="P380" s="5" t="str">
        <f>IFERROR(VLOOKUP(I380,[1]INFO_LOCALES!$B:$F,5,FALSE),"")</f>
        <v>NUEVA ATACAMA</v>
      </c>
      <c r="Q380" s="5" t="s">
        <v>85</v>
      </c>
      <c r="R380" s="5" t="s">
        <v>86</v>
      </c>
      <c r="S380" s="6">
        <v>45671</v>
      </c>
      <c r="T380" s="5" t="str">
        <f>UPPER(IF(Tabla2[[#This Row],[FECHA DE MUESTREO ]]=0,"",TEXT(Tabla2[[#This Row],[FECHA DE MUESTREO ]],("MMMM"))))</f>
        <v>NOVIEMBRE</v>
      </c>
      <c r="U380" s="6">
        <v>45624</v>
      </c>
      <c r="V380" s="5" t="s">
        <v>59</v>
      </c>
      <c r="W3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80" s="7">
        <f t="shared" si="11"/>
        <v>1</v>
      </c>
      <c r="Y380" s="5">
        <v>21.2</v>
      </c>
      <c r="Z380" s="5">
        <v>7.94</v>
      </c>
      <c r="AA380" s="5">
        <v>5</v>
      </c>
      <c r="AB380" s="5">
        <v>23.03</v>
      </c>
      <c r="AC380" s="5">
        <v>164</v>
      </c>
      <c r="AD380" s="5">
        <v>12.4</v>
      </c>
      <c r="AE380" s="5">
        <v>63.12</v>
      </c>
      <c r="AF380" s="5">
        <v>1.2</v>
      </c>
      <c r="AG380" s="5">
        <v>198.3</v>
      </c>
      <c r="AH380" s="5">
        <v>1.25</v>
      </c>
      <c r="AI380" s="5">
        <f t="shared" si="12"/>
        <v>37.5</v>
      </c>
    </row>
    <row r="381" spans="1:51" x14ac:dyDescent="0.25">
      <c r="A381" s="5" t="s">
        <v>52</v>
      </c>
      <c r="B381" s="5" t="s">
        <v>149</v>
      </c>
      <c r="C381" s="5" t="s">
        <v>81</v>
      </c>
      <c r="F381" s="5" t="s">
        <v>55</v>
      </c>
      <c r="G381" s="5" t="s">
        <v>65</v>
      </c>
      <c r="H381" s="5" t="s">
        <v>57</v>
      </c>
      <c r="I381" s="5">
        <v>773</v>
      </c>
      <c r="J381" s="5" t="str">
        <f>IFERROR(VLOOKUP(I381,[1]INFO_LOCALES!$B:$C,2,FALSE),"")</f>
        <v>LLANQUIHUE</v>
      </c>
      <c r="K381" s="5" t="str">
        <f>IFERROR(VLOOKUP(Tabla2[[#This Row],[TIENDA]],[1]INFO_LOCALES!$B:$D,3,FALSE),"")</f>
        <v>X - Los Lagos</v>
      </c>
      <c r="L381" s="5" t="str">
        <f>IFERROR(VLOOKUP(I381,[1]INFO_LOCALES!$B:$I,8,FALSE),"")</f>
        <v>Llanquihue</v>
      </c>
      <c r="M381" s="5" t="str">
        <f>IFERROR(VLOOKUP(I381,[1]INFO_LOCALES!$B:$H,7,FALSE),"")</f>
        <v>Baquedano 612</v>
      </c>
      <c r="N381" s="5">
        <f>IFERROR(VLOOKUP(I381,[1]INFO_LOCALES!$B:$E,4,FALSE),"")</f>
        <v>0</v>
      </c>
      <c r="O381" s="5" t="str">
        <f>VLOOKUP(Tabla2[[#This Row],[TIENDA]],[1]INFO_LOCALES!$B:$J,9,0)</f>
        <v>SIN CONVENIO</v>
      </c>
      <c r="P381" s="5" t="str">
        <f>IFERROR(VLOOKUP(I381,[1]INFO_LOCALES!$B:$F,5,FALSE),"")</f>
        <v>SURALIS</v>
      </c>
      <c r="Q381" s="5" t="s">
        <v>105</v>
      </c>
      <c r="R381" s="5" t="s">
        <v>58</v>
      </c>
      <c r="S381" s="6">
        <v>45657</v>
      </c>
      <c r="T381" s="5" t="str">
        <f>UPPER(IF(Tabla2[[#This Row],[FECHA DE MUESTREO ]]=0,"",TEXT(Tabla2[[#This Row],[FECHA DE MUESTREO ]],("MMMM"))))</f>
        <v>NOVIEMBRE</v>
      </c>
      <c r="U381" s="6">
        <v>45625</v>
      </c>
      <c r="V381" s="5" t="s">
        <v>59</v>
      </c>
      <c r="W3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81" s="7">
        <f t="shared" si="11"/>
        <v>1</v>
      </c>
      <c r="Y381" s="5">
        <v>14</v>
      </c>
      <c r="Z381" s="5">
        <v>6.85</v>
      </c>
      <c r="AA381" s="5">
        <v>2</v>
      </c>
      <c r="AB381" s="5">
        <v>14</v>
      </c>
      <c r="AC381" s="5">
        <v>208</v>
      </c>
      <c r="AD381" s="5">
        <v>5.3</v>
      </c>
      <c r="AE381" s="5">
        <v>16.72</v>
      </c>
      <c r="AF381" s="5">
        <v>0.5</v>
      </c>
      <c r="AG381" s="5">
        <v>99</v>
      </c>
      <c r="AH381" s="5">
        <v>3</v>
      </c>
      <c r="AI381" s="5">
        <f t="shared" si="12"/>
        <v>90</v>
      </c>
    </row>
    <row r="382" spans="1:51" x14ac:dyDescent="0.25">
      <c r="A382" s="5" t="s">
        <v>60</v>
      </c>
      <c r="B382" s="5" t="e">
        <v>#N/A</v>
      </c>
      <c r="C382" s="5" t="e">
        <v>#N/A</v>
      </c>
      <c r="F382" s="5" t="s">
        <v>55</v>
      </c>
      <c r="G382" s="5" t="s">
        <v>61</v>
      </c>
      <c r="H382" s="5" t="s">
        <v>57</v>
      </c>
      <c r="I382" s="5">
        <v>3014</v>
      </c>
      <c r="J382" s="5" t="str">
        <f>IFERROR(VLOOKUP(I382,[1]INFO_LOCALES!$B:$C,2,FALSE),"")</f>
        <v>M10 SAN FERNANDO</v>
      </c>
      <c r="K382" s="5" t="str">
        <f>IFERROR(VLOOKUP(Tabla2[[#This Row],[TIENDA]],[1]INFO_LOCALES!$B:$D,3,FALSE),"")</f>
        <v>VI - O'Higgins</v>
      </c>
      <c r="L382" s="5" t="str">
        <f>IFERROR(VLOOKUP(I382,[1]INFO_LOCALES!$B:$I,8,FALSE),"")</f>
        <v>San Fernando</v>
      </c>
      <c r="M382" s="5" t="str">
        <f>IFERROR(VLOOKUP(I382,[1]INFO_LOCALES!$B:$H,7,FALSE),"")</f>
        <v>Chillan 745</v>
      </c>
      <c r="N382" s="5">
        <f>IFERROR(VLOOKUP(I382,[1]INFO_LOCALES!$B:$E,4,FALSE),"")</f>
        <v>1298</v>
      </c>
      <c r="O382" s="5" t="str">
        <f>VLOOKUP(Tabla2[[#This Row],[TIENDA]],[1]INFO_LOCALES!$B:$J,9,0)</f>
        <v>TERMINADO</v>
      </c>
      <c r="P382" s="5" t="str">
        <f>IFERROR(VLOOKUP(I382,[1]INFO_LOCALES!$B:$F,5,FALSE),"")</f>
        <v>ESSBIO S.A.</v>
      </c>
      <c r="Q382" s="5" t="s">
        <v>85</v>
      </c>
      <c r="R382" s="5" t="s">
        <v>86</v>
      </c>
      <c r="S382" s="6">
        <v>45664</v>
      </c>
      <c r="T382" s="5" t="s">
        <v>75</v>
      </c>
      <c r="U382" s="6">
        <v>45625</v>
      </c>
      <c r="V382" s="5" t="s">
        <v>118</v>
      </c>
      <c r="W3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82" s="7">
        <f t="shared" si="11"/>
        <v>1</v>
      </c>
      <c r="Y382" s="5">
        <v>23.5</v>
      </c>
      <c r="Z382" s="5">
        <v>7.01</v>
      </c>
      <c r="AA382" s="5">
        <v>3</v>
      </c>
      <c r="AB382" s="5">
        <v>22.03</v>
      </c>
      <c r="AC382" s="5">
        <v>146</v>
      </c>
      <c r="AD382" s="5">
        <v>8.1</v>
      </c>
      <c r="AE382" s="5">
        <v>10.07</v>
      </c>
      <c r="AF382" s="5">
        <v>1</v>
      </c>
      <c r="AG382" s="5">
        <v>73.3</v>
      </c>
      <c r="AH382" s="5">
        <v>7.7759999999999998</v>
      </c>
      <c r="AI382" s="5">
        <f t="shared" si="12"/>
        <v>233.28</v>
      </c>
      <c r="AJ382" s="5">
        <v>0.16</v>
      </c>
      <c r="AK382" s="5">
        <v>5.0000000000000001E-3</v>
      </c>
      <c r="AL382" s="5">
        <v>0.12570000000000001</v>
      </c>
      <c r="AM382" s="5">
        <v>0.01</v>
      </c>
      <c r="AN382" s="5">
        <v>0.1</v>
      </c>
      <c r="AO382" s="5">
        <v>0.61160000000000003</v>
      </c>
      <c r="AP382" s="5">
        <v>0.17760000000000001</v>
      </c>
      <c r="AQ382" s="5">
        <v>0.05</v>
      </c>
      <c r="AR382" s="5">
        <v>0.05</v>
      </c>
      <c r="AS382" s="5">
        <v>10</v>
      </c>
      <c r="AT382" s="5">
        <v>3.4099999999999998E-2</v>
      </c>
      <c r="AU382" s="5">
        <v>1E-3</v>
      </c>
      <c r="AV382" s="5">
        <v>0.05</v>
      </c>
      <c r="AW382" s="5">
        <v>0.05</v>
      </c>
      <c r="AX382" s="5">
        <v>82</v>
      </c>
      <c r="AY382" s="5">
        <v>0.5</v>
      </c>
    </row>
    <row r="383" spans="1:51" x14ac:dyDescent="0.25">
      <c r="A383" s="5" t="s">
        <v>52</v>
      </c>
      <c r="B383" s="5" t="s">
        <v>90</v>
      </c>
      <c r="C383" s="5" t="s">
        <v>81</v>
      </c>
      <c r="F383" s="5" t="s">
        <v>55</v>
      </c>
      <c r="G383" s="5" t="s">
        <v>56</v>
      </c>
      <c r="H383" s="5" t="s">
        <v>57</v>
      </c>
      <c r="I383" s="5">
        <v>780</v>
      </c>
      <c r="J383" s="5" t="str">
        <f>IFERROR(VLOOKUP(I383,[1]INFO_LOCALES!$B:$C,2,FALSE),"")</f>
        <v>VICTORIA</v>
      </c>
      <c r="K383" s="5" t="str">
        <f>IFERROR(VLOOKUP(Tabla2[[#This Row],[TIENDA]],[1]INFO_LOCALES!$B:$D,3,FALSE),"")</f>
        <v>X - Los Lagos</v>
      </c>
      <c r="L383" s="5" t="str">
        <f>IFERROR(VLOOKUP(I383,[1]INFO_LOCALES!$B:$I,8,FALSE),"")</f>
        <v>Osorno</v>
      </c>
      <c r="M383" s="5" t="str">
        <f>IFERROR(VLOOKUP(I383,[1]INFO_LOCALES!$B:$H,7,FALSE),"")</f>
        <v>Victoria 367 Rahue Bajo</v>
      </c>
      <c r="N383" s="5">
        <f>IFERROR(VLOOKUP(I383,[1]INFO_LOCALES!$B:$E,4,FALSE),"")</f>
        <v>1362</v>
      </c>
      <c r="O383" s="5" t="str">
        <f>VLOOKUP(Tabla2[[#This Row],[TIENDA]],[1]INFO_LOCALES!$B:$J,9,0)</f>
        <v>SIN CONVENIO</v>
      </c>
      <c r="P383" s="5" t="str">
        <f>IFERROR(VLOOKUP(I383,[1]INFO_LOCALES!$B:$F,5,FALSE),"")</f>
        <v>SURALIS</v>
      </c>
      <c r="Q383" s="5" t="s">
        <v>105</v>
      </c>
      <c r="R383" s="5" t="s">
        <v>58</v>
      </c>
      <c r="S383" s="6">
        <v>45657</v>
      </c>
      <c r="T383" s="5" t="str">
        <f>UPPER(IF(Tabla2[[#This Row],[FECHA DE MUESTREO ]]=0,"",TEXT(Tabla2[[#This Row],[FECHA DE MUESTREO ]],("MMMM"))))</f>
        <v>NOVIEMBRE</v>
      </c>
      <c r="U383" s="6">
        <v>45626</v>
      </c>
      <c r="V383" s="5" t="s">
        <v>59</v>
      </c>
      <c r="W3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83" s="7">
        <f t="shared" si="11"/>
        <v>3</v>
      </c>
      <c r="Y383" s="5">
        <v>43</v>
      </c>
      <c r="Z383" s="5">
        <v>7.7</v>
      </c>
      <c r="AA383" s="5">
        <v>4</v>
      </c>
      <c r="AB383" s="5">
        <v>17.5</v>
      </c>
      <c r="AC383" s="5">
        <v>377</v>
      </c>
      <c r="AD383" s="5">
        <v>37.6</v>
      </c>
      <c r="AE383" s="5">
        <v>76.900000000000006</v>
      </c>
      <c r="AF383" s="5">
        <v>0.7</v>
      </c>
      <c r="AG383" s="5">
        <v>114</v>
      </c>
      <c r="AH383" s="5">
        <v>2</v>
      </c>
      <c r="AI383" s="5">
        <f t="shared" si="12"/>
        <v>60</v>
      </c>
    </row>
    <row r="384" spans="1:51" x14ac:dyDescent="0.25">
      <c r="A384" s="5" t="s">
        <v>52</v>
      </c>
      <c r="B384" s="5" t="s">
        <v>82</v>
      </c>
      <c r="C384" s="5" t="s">
        <v>77</v>
      </c>
      <c r="F384" s="5" t="s">
        <v>55</v>
      </c>
      <c r="G384" s="5" t="s">
        <v>61</v>
      </c>
      <c r="H384" s="5" t="s">
        <v>57</v>
      </c>
      <c r="I384" s="5">
        <v>22</v>
      </c>
      <c r="J384" s="5" t="str">
        <f>IFERROR(VLOOKUP(I384,[1]INFO_LOCALES!$B:$C,2,FALSE),"")</f>
        <v>ATACAMA</v>
      </c>
      <c r="K384" s="5" t="str">
        <f>IFERROR(VLOOKUP(Tabla2[[#This Row],[TIENDA]],[1]INFO_LOCALES!$B:$D,3,FALSE),"")</f>
        <v>III - Atacama</v>
      </c>
      <c r="L384" s="5" t="str">
        <f>IFERROR(VLOOKUP(I384,[1]INFO_LOCALES!$B:$I,8,FALSE),"")</f>
        <v>Copiapó</v>
      </c>
      <c r="M384" s="5" t="str">
        <f>IFERROR(VLOOKUP(I384,[1]INFO_LOCALES!$B:$H,7,FALSE),"")</f>
        <v>Los Carreras 2242</v>
      </c>
      <c r="N384" s="5">
        <f>IFERROR(VLOOKUP(I384,[1]INFO_LOCALES!$B:$E,4,FALSE),"")</f>
        <v>2666</v>
      </c>
      <c r="O384" s="5" t="str">
        <f>VLOOKUP(Tabla2[[#This Row],[TIENDA]],[1]INFO_LOCALES!$B:$J,9,0)</f>
        <v>CONVENIO</v>
      </c>
      <c r="P384" s="5" t="str">
        <f>IFERROR(VLOOKUP(I384,[1]INFO_LOCALES!$B:$F,5,FALSE),"")</f>
        <v>NUEVA ATACAMA</v>
      </c>
      <c r="Q384" s="5" t="s">
        <v>85</v>
      </c>
      <c r="R384" s="5" t="s">
        <v>86</v>
      </c>
      <c r="S384" s="6">
        <v>45665</v>
      </c>
      <c r="T384" s="5" t="str">
        <f>UPPER(IF(Tabla2[[#This Row],[FECHA DE MUESTREO ]]=0,"",TEXT(Tabla2[[#This Row],[FECHA DE MUESTREO ]],("MMMM"))))</f>
        <v>DICIEMBRE</v>
      </c>
      <c r="U384" s="6">
        <v>45628</v>
      </c>
      <c r="V384" s="5" t="s">
        <v>59</v>
      </c>
      <c r="W3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84" s="7">
        <f t="shared" si="11"/>
        <v>1</v>
      </c>
      <c r="Y384" s="5">
        <v>38.4</v>
      </c>
      <c r="Z384" s="5">
        <v>7.84</v>
      </c>
      <c r="AA384" s="5">
        <v>2</v>
      </c>
      <c r="AB384" s="5">
        <v>23.59</v>
      </c>
      <c r="AC384" s="5">
        <v>127</v>
      </c>
      <c r="AD384" s="5">
        <v>7.3</v>
      </c>
      <c r="AE384" s="5">
        <v>27.55</v>
      </c>
      <c r="AF384" s="5">
        <v>0.5</v>
      </c>
      <c r="AG384" s="5">
        <v>120</v>
      </c>
      <c r="AH384" s="5">
        <v>1.55</v>
      </c>
      <c r="AI384" s="5">
        <f t="shared" si="12"/>
        <v>46.5</v>
      </c>
    </row>
    <row r="385" spans="1:51" x14ac:dyDescent="0.25">
      <c r="A385" s="5" t="s">
        <v>52</v>
      </c>
      <c r="B385" s="5" t="e">
        <v>#N/A</v>
      </c>
      <c r="C385" s="5" t="e">
        <v>#N/A</v>
      </c>
      <c r="F385" s="5" t="s">
        <v>55</v>
      </c>
      <c r="G385" s="5" t="s">
        <v>61</v>
      </c>
      <c r="H385" s="5" t="s">
        <v>57</v>
      </c>
      <c r="I385" s="5">
        <v>9139</v>
      </c>
      <c r="J385" s="5" t="str">
        <f>IFERROR(VLOOKUP(I385,[1]INFO_LOCALES!$B:$C,2,FALSE),"")</f>
        <v>CD LO AGUIRRE</v>
      </c>
      <c r="K385" s="5" t="str">
        <f>IFERROR(VLOOKUP(Tabla2[[#This Row],[TIENDA]],[1]INFO_LOCALES!$B:$D,3,FALSE),"")</f>
        <v>RM - Santiago</v>
      </c>
      <c r="L385" s="5" t="str">
        <f>IFERROR(VLOOKUP(I385,[1]INFO_LOCALES!$B:$I,8,FALSE),"")</f>
        <v>Pudahuel</v>
      </c>
      <c r="M385" s="5" t="str">
        <f>IFERROR(VLOOKUP(I385,[1]INFO_LOCALES!$B:$H,7,FALSE),"")</f>
        <v>CAMINO LO AGUIRRE SUR 537</v>
      </c>
      <c r="N385" s="5">
        <f>IFERROR(VLOOKUP(I385,[1]INFO_LOCALES!$B:$E,4,FALSE),"")</f>
        <v>3552</v>
      </c>
      <c r="O385" s="5" t="str">
        <f>VLOOKUP(Tabla2[[#This Row],[TIENDA]],[1]INFO_LOCALES!$B:$J,9,0)</f>
        <v>SIN CONVENIO</v>
      </c>
      <c r="P385" s="5" t="str">
        <f>IFERROR(VLOOKUP(I385,[1]INFO_LOCALES!$B:$F,5,FALSE),"")</f>
        <v>AGUAS IZARRA</v>
      </c>
      <c r="Q385" s="5" t="s">
        <v>85</v>
      </c>
      <c r="R385" s="5" t="s">
        <v>86</v>
      </c>
      <c r="S385" s="6">
        <v>45300</v>
      </c>
      <c r="T385" s="5" t="str">
        <f>UPPER(IF(Tabla2[[#This Row],[FECHA DE MUESTREO ]]=0,"",TEXT(Tabla2[[#This Row],[FECHA DE MUESTREO ]],("MMMM"))))</f>
        <v>DICIEMBRE</v>
      </c>
      <c r="U385" s="6">
        <v>45628</v>
      </c>
      <c r="V385" s="5" t="s">
        <v>59</v>
      </c>
      <c r="W3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85" s="7">
        <f t="shared" si="11"/>
        <v>1</v>
      </c>
      <c r="Y385" s="5">
        <v>15.2</v>
      </c>
      <c r="Z385" s="5">
        <v>7.69</v>
      </c>
      <c r="AA385" s="5">
        <v>6</v>
      </c>
      <c r="AB385" s="5">
        <v>22.05</v>
      </c>
      <c r="AC385" s="5">
        <v>123</v>
      </c>
      <c r="AD385" s="5">
        <v>7.1</v>
      </c>
      <c r="AE385" s="5">
        <v>60.51</v>
      </c>
      <c r="AF385" s="5">
        <v>1.9</v>
      </c>
      <c r="AG385" s="5">
        <v>160</v>
      </c>
      <c r="AH385" s="5">
        <f>4.77*8</f>
        <v>38.159999999999997</v>
      </c>
      <c r="AI385" s="5">
        <f t="shared" si="12"/>
        <v>1144.8</v>
      </c>
    </row>
    <row r="386" spans="1:51" x14ac:dyDescent="0.25">
      <c r="A386" s="5" t="s">
        <v>210</v>
      </c>
      <c r="B386" s="5" t="e">
        <v>#N/A</v>
      </c>
      <c r="C386" s="5" t="e">
        <v>#N/A</v>
      </c>
      <c r="F386" s="5" t="s">
        <v>55</v>
      </c>
      <c r="G386" s="5" t="s">
        <v>65</v>
      </c>
      <c r="H386" s="5" t="s">
        <v>57</v>
      </c>
      <c r="I386" s="5">
        <v>9043</v>
      </c>
      <c r="J386" s="5" t="str">
        <f>IFERROR(VLOOKUP(I386,[1]INFO_LOCALES!$B:$C,2,FALSE),"")</f>
        <v>CD COQUIMBO FYV</v>
      </c>
      <c r="K386" s="5" t="str">
        <f>IFERROR(VLOOKUP(Tabla2[[#This Row],[TIENDA]],[1]INFO_LOCALES!$B:$D,3,FALSE),"")</f>
        <v>IV - Coquimbo</v>
      </c>
      <c r="L386" s="5" t="str">
        <f>IFERROR(VLOOKUP(I386,[1]INFO_LOCALES!$B:$I,8,FALSE),"")</f>
        <v>Coquimbo</v>
      </c>
      <c r="M386" s="5" t="str">
        <f>IFERROR(VLOOKUP(I386,[1]INFO_LOCALES!$B:$H,7,FALSE),"")</f>
        <v>RUTA D-43, BARRIO INDUSTRIAL 701, TIERRAS BLANCAS</v>
      </c>
      <c r="N386" s="5">
        <f>IFERROR(VLOOKUP(I386,[1]INFO_LOCALES!$B:$E,4,FALSE),"")</f>
        <v>0</v>
      </c>
      <c r="O386" s="5" t="str">
        <f>VLOOKUP(Tabla2[[#This Row],[TIENDA]],[1]INFO_LOCALES!$B:$J,9,0)</f>
        <v>SIN CONVENIO</v>
      </c>
      <c r="P386" s="5" t="str">
        <f>IFERROR(VLOOKUP(I386,[1]INFO_LOCALES!$B:$F,5,FALSE),"")</f>
        <v>RENTAS ALTO PENUELAS S.A.</v>
      </c>
      <c r="Q386" s="5" t="s">
        <v>85</v>
      </c>
      <c r="R386" s="5" t="s">
        <v>86</v>
      </c>
      <c r="S386" s="6">
        <v>45665</v>
      </c>
      <c r="T386" s="5" t="str">
        <f>UPPER(IF(Tabla2[[#This Row],[FECHA DE MUESTREO ]]=0,"",TEXT(Tabla2[[#This Row],[FECHA DE MUESTREO ]],("MMMM"))))</f>
        <v>DICIEMBRE</v>
      </c>
      <c r="U386" s="6">
        <v>45628</v>
      </c>
      <c r="V386" s="5" t="s">
        <v>59</v>
      </c>
      <c r="W3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86" s="7">
        <f t="shared" ref="X386:X431" si="13">IF(W386="CUMPLE",1,IF(W386="CUMPLE CON TOLERANCIA",2,IF(W386="NO CUMPLE",3)))</f>
        <v>1</v>
      </c>
      <c r="Y386" s="5">
        <v>15.2</v>
      </c>
      <c r="Z386" s="5">
        <v>7.69</v>
      </c>
      <c r="AA386" s="5">
        <v>6</v>
      </c>
      <c r="AB386" s="5">
        <v>22.05</v>
      </c>
      <c r="AC386" s="5">
        <v>123</v>
      </c>
      <c r="AD386" s="5">
        <v>7.1</v>
      </c>
      <c r="AE386" s="5">
        <v>60.51</v>
      </c>
      <c r="AF386" s="5">
        <v>1.9</v>
      </c>
      <c r="AG386" s="5">
        <v>160</v>
      </c>
      <c r="AH386" s="5">
        <v>1.33</v>
      </c>
      <c r="AI386" s="5">
        <f t="shared" si="12"/>
        <v>39.900000000000006</v>
      </c>
      <c r="AS386" s="5">
        <v>10</v>
      </c>
    </row>
    <row r="387" spans="1:51" x14ac:dyDescent="0.25">
      <c r="A387" s="5" t="s">
        <v>52</v>
      </c>
      <c r="B387" s="5" t="s">
        <v>90</v>
      </c>
      <c r="C387" s="5" t="s">
        <v>81</v>
      </c>
      <c r="F387" s="5" t="s">
        <v>55</v>
      </c>
      <c r="G387" s="5" t="s">
        <v>61</v>
      </c>
      <c r="H387" s="5" t="s">
        <v>57</v>
      </c>
      <c r="I387" s="5">
        <v>375</v>
      </c>
      <c r="J387" s="5" t="str">
        <f>IFERROR(VLOOKUP(I387,[1]INFO_LOCALES!$B:$C,2,FALSE),"")</f>
        <v>ARAUCO</v>
      </c>
      <c r="K387" s="5" t="str">
        <f>IFERROR(VLOOKUP(Tabla2[[#This Row],[TIENDA]],[1]INFO_LOCALES!$B:$D,3,FALSE),"")</f>
        <v>XIV - Los Ríos</v>
      </c>
      <c r="L387" s="5" t="str">
        <f>IFERROR(VLOOKUP(I387,[1]INFO_LOCALES!$B:$I,8,FALSE),"")</f>
        <v>Valdivia</v>
      </c>
      <c r="M387" s="5" t="str">
        <f>IFERROR(VLOOKUP(I387,[1]INFO_LOCALES!$B:$H,7,FALSE),"")</f>
        <v>Arauco 697</v>
      </c>
      <c r="N387" s="5">
        <f>IFERROR(VLOOKUP(I387,[1]INFO_LOCALES!$B:$E,4,FALSE),"")</f>
        <v>3420</v>
      </c>
      <c r="O387" s="5" t="str">
        <f>VLOOKUP(Tabla2[[#This Row],[TIENDA]],[1]INFO_LOCALES!$B:$J,9,0)</f>
        <v>CONVENIO</v>
      </c>
      <c r="P387" s="5" t="str">
        <f>IFERROR(VLOOKUP(I387,[1]INFO_LOCALES!$B:$F,5,FALSE),"")</f>
        <v>AGUAS DECIMA S A</v>
      </c>
      <c r="Q387" s="5" t="s">
        <v>85</v>
      </c>
      <c r="R387" s="5" t="s">
        <v>86</v>
      </c>
      <c r="S387" s="6">
        <v>45672</v>
      </c>
      <c r="T387" s="5" t="str">
        <f>UPPER(IF(Tabla2[[#This Row],[FECHA DE MUESTREO ]]=0,"",TEXT(Tabla2[[#This Row],[FECHA DE MUESTREO ]],("MMMM"))))</f>
        <v>DICIEMBRE</v>
      </c>
      <c r="U387" s="6">
        <v>45629</v>
      </c>
      <c r="V387" s="5" t="s">
        <v>59</v>
      </c>
      <c r="W3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87" s="7">
        <f t="shared" si="13"/>
        <v>3</v>
      </c>
      <c r="Y387" s="5">
        <v>4.54</v>
      </c>
      <c r="Z387" s="5">
        <v>6.73</v>
      </c>
      <c r="AA387" s="5">
        <v>93</v>
      </c>
      <c r="AB387" s="5">
        <v>16.86</v>
      </c>
      <c r="AC387" s="5">
        <v>103</v>
      </c>
      <c r="AD387" s="5">
        <v>5.0199999999999996</v>
      </c>
      <c r="AE387" s="5">
        <v>11.9</v>
      </c>
      <c r="AF387" s="5">
        <v>0.5</v>
      </c>
      <c r="AG387" s="5">
        <v>33</v>
      </c>
      <c r="AI387" s="5">
        <f t="shared" si="12"/>
        <v>0</v>
      </c>
    </row>
    <row r="388" spans="1:51" x14ac:dyDescent="0.25">
      <c r="A388" s="5" t="s">
        <v>52</v>
      </c>
      <c r="B388" s="5" t="s">
        <v>82</v>
      </c>
      <c r="C388" s="5" t="s">
        <v>77</v>
      </c>
      <c r="F388" s="5" t="s">
        <v>55</v>
      </c>
      <c r="G388" s="5" t="s">
        <v>65</v>
      </c>
      <c r="H388" s="5" t="s">
        <v>57</v>
      </c>
      <c r="I388" s="5">
        <v>7</v>
      </c>
      <c r="J388" s="5" t="str">
        <f>IFERROR(VLOOKUP(I388,[1]INFO_LOCALES!$B:$C,2,FALSE),"")</f>
        <v>VALLENAR I</v>
      </c>
      <c r="K388" s="5" t="str">
        <f>IFERROR(VLOOKUP(Tabla2[[#This Row],[TIENDA]],[1]INFO_LOCALES!$B:$D,3,FALSE),"")</f>
        <v>III - Atacama</v>
      </c>
      <c r="L388" s="5" t="str">
        <f>IFERROR(VLOOKUP(I388,[1]INFO_LOCALES!$B:$I,8,FALSE),"")</f>
        <v>Vallenar</v>
      </c>
      <c r="M388" s="5" t="str">
        <f>IFERROR(VLOOKUP(I388,[1]INFO_LOCALES!$B:$H,7,FALSE),"")</f>
        <v>Brasil 663</v>
      </c>
      <c r="N388" s="5">
        <f>IFERROR(VLOOKUP(I388,[1]INFO_LOCALES!$B:$E,4,FALSE),"")</f>
        <v>0</v>
      </c>
      <c r="O388" s="5" t="str">
        <f>VLOOKUP(Tabla2[[#This Row],[TIENDA]],[1]INFO_LOCALES!$B:$J,9,0)</f>
        <v>CONVENIO</v>
      </c>
      <c r="P388" s="5" t="str">
        <f>IFERROR(VLOOKUP(I388,[1]INFO_LOCALES!$B:$F,5,FALSE),"")</f>
        <v>NUEVA ATACAMA</v>
      </c>
      <c r="Q388" s="5" t="s">
        <v>66</v>
      </c>
      <c r="R388" s="5" t="s">
        <v>58</v>
      </c>
      <c r="S388" s="6">
        <v>45687</v>
      </c>
      <c r="T388" s="5" t="str">
        <f>UPPER(IF(Tabla2[[#This Row],[FECHA DE MUESTREO ]]=0,"",TEXT(Tabla2[[#This Row],[FECHA DE MUESTREO ]],("MMMM"))))</f>
        <v>DICIEMBRE</v>
      </c>
      <c r="U388" s="6">
        <v>45629</v>
      </c>
      <c r="V388" s="5" t="s">
        <v>59</v>
      </c>
      <c r="W3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88" s="7">
        <f t="shared" si="13"/>
        <v>2</v>
      </c>
      <c r="Y388" s="5">
        <v>3.31</v>
      </c>
      <c r="AA388" s="5">
        <v>7</v>
      </c>
      <c r="AC388" s="5">
        <v>324</v>
      </c>
      <c r="AD388" s="5">
        <v>10.06</v>
      </c>
      <c r="AE388" s="5">
        <v>95.5</v>
      </c>
      <c r="AF388" s="5">
        <v>4</v>
      </c>
      <c r="AG388" s="5">
        <v>183.33</v>
      </c>
      <c r="AI388" s="5">
        <f t="shared" si="12"/>
        <v>0</v>
      </c>
      <c r="AY388" s="5">
        <v>0.1</v>
      </c>
    </row>
    <row r="389" spans="1:51" x14ac:dyDescent="0.25">
      <c r="A389" s="5" t="s">
        <v>52</v>
      </c>
      <c r="B389" s="5" t="s">
        <v>90</v>
      </c>
      <c r="C389" s="5" t="s">
        <v>81</v>
      </c>
      <c r="F389" s="5" t="s">
        <v>55</v>
      </c>
      <c r="G389" s="5" t="s">
        <v>61</v>
      </c>
      <c r="H389" s="5" t="s">
        <v>57</v>
      </c>
      <c r="I389" s="5">
        <v>778</v>
      </c>
      <c r="J389" s="5" t="str">
        <f>IFERROR(VLOOKUP(I389,[1]INFO_LOCALES!$B:$C,2,FALSE),"")</f>
        <v>ORIENTE</v>
      </c>
      <c r="K389" s="5" t="str">
        <f>IFERROR(VLOOKUP(Tabla2[[#This Row],[TIENDA]],[1]INFO_LOCALES!$B:$D,3,FALSE),"")</f>
        <v>X - Los Lagos</v>
      </c>
      <c r="L389" s="5" t="str">
        <f>IFERROR(VLOOKUP(I389,[1]INFO_LOCALES!$B:$I,8,FALSE),"")</f>
        <v>Osorno</v>
      </c>
      <c r="M389" s="5" t="str">
        <f>IFERROR(VLOOKUP(I389,[1]INFO_LOCALES!$B:$H,7,FALSE),"")</f>
        <v>Julio Buschman 2223</v>
      </c>
      <c r="N389" s="5">
        <f>IFERROR(VLOOKUP(I389,[1]INFO_LOCALES!$B:$E,4,FALSE),"")</f>
        <v>2867</v>
      </c>
      <c r="O389" s="5" t="str">
        <f>VLOOKUP(Tabla2[[#This Row],[TIENDA]],[1]INFO_LOCALES!$B:$J,9,0)</f>
        <v>CONVENIO</v>
      </c>
      <c r="P389" s="5" t="str">
        <f>IFERROR(VLOOKUP(I389,[1]INFO_LOCALES!$B:$F,5,FALSE),"")</f>
        <v>SURALIS</v>
      </c>
      <c r="Q389" s="5" t="s">
        <v>105</v>
      </c>
      <c r="R389" s="5" t="s">
        <v>58</v>
      </c>
      <c r="S389" s="6">
        <v>45692</v>
      </c>
      <c r="T389" s="5" t="str">
        <f>UPPER(IF(Tabla2[[#This Row],[FECHA DE MUESTREO ]]=0,"",TEXT(Tabla2[[#This Row],[FECHA DE MUESTREO ]],("MMMM"))))</f>
        <v>DICIEMBRE</v>
      </c>
      <c r="U389" s="6">
        <v>45629</v>
      </c>
      <c r="V389" s="5" t="s">
        <v>59</v>
      </c>
      <c r="W3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89" s="7">
        <f t="shared" si="13"/>
        <v>2</v>
      </c>
      <c r="Y389" s="5">
        <v>38</v>
      </c>
      <c r="Z389" s="5">
        <v>7.3</v>
      </c>
      <c r="AA389" s="5">
        <v>3</v>
      </c>
      <c r="AB389" s="5">
        <v>16.2</v>
      </c>
      <c r="AC389" s="5">
        <v>223</v>
      </c>
      <c r="AD389" s="5">
        <v>9.9</v>
      </c>
      <c r="AE389" s="5">
        <v>37.4</v>
      </c>
      <c r="AF389" s="5">
        <v>18</v>
      </c>
      <c r="AG389" s="5">
        <v>410</v>
      </c>
      <c r="AH389" s="5">
        <v>20</v>
      </c>
      <c r="AI389" s="5">
        <f t="shared" si="12"/>
        <v>600</v>
      </c>
    </row>
    <row r="390" spans="1:51" x14ac:dyDescent="0.25">
      <c r="A390" s="5" t="s">
        <v>52</v>
      </c>
      <c r="B390" s="5" t="s">
        <v>76</v>
      </c>
      <c r="C390" s="5" t="s">
        <v>77</v>
      </c>
      <c r="F390" s="5" t="s">
        <v>55</v>
      </c>
      <c r="G390" s="5" t="s">
        <v>56</v>
      </c>
      <c r="H390" s="5" t="s">
        <v>57</v>
      </c>
      <c r="I390" s="5">
        <v>106</v>
      </c>
      <c r="J390" s="5" t="str">
        <f>IFERROR(VLOOKUP(I390,[1]INFO_LOCALES!$B:$C,2,FALSE),"")</f>
        <v>LOS MOLLES</v>
      </c>
      <c r="K390" s="5" t="str">
        <f>IFERROR(VLOOKUP(Tabla2[[#This Row],[TIENDA]],[1]INFO_LOCALES!$B:$D,3,FALSE),"")</f>
        <v>I - Tarapacá</v>
      </c>
      <c r="L390" s="5" t="str">
        <f>IFERROR(VLOOKUP(I390,[1]INFO_LOCALES!$B:$I,8,FALSE),"")</f>
        <v>Iquique</v>
      </c>
      <c r="M390" s="5" t="str">
        <f>IFERROR(VLOOKUP(I390,[1]INFO_LOCALES!$B:$H,7,FALSE),"")</f>
        <v>Santiago Polanco 2251</v>
      </c>
      <c r="N390" s="5">
        <f>IFERROR(VLOOKUP(I390,[1]INFO_LOCALES!$B:$E,4,FALSE),"")</f>
        <v>4050</v>
      </c>
      <c r="O390" s="5" t="str">
        <f>VLOOKUP(Tabla2[[#This Row],[TIENDA]],[1]INFO_LOCALES!$B:$J,9,0)</f>
        <v>CONVENIO</v>
      </c>
      <c r="P390" s="5" t="str">
        <f>IFERROR(VLOOKUP(I390,[1]INFO_LOCALES!$B:$F,5,FALSE),"")</f>
        <v>AGUAS DEL ALTIPLANO S.A.</v>
      </c>
      <c r="Q390" s="5" t="s">
        <v>78</v>
      </c>
      <c r="R390" s="5" t="s">
        <v>58</v>
      </c>
      <c r="S390" s="6">
        <v>45716</v>
      </c>
      <c r="T390" s="5" t="str">
        <f>UPPER(IF(Tabla2[[#This Row],[FECHA DE MUESTREO ]]=0,"",TEXT(Tabla2[[#This Row],[FECHA DE MUESTREO ]],("MMMM"))))</f>
        <v>DICIEMBRE</v>
      </c>
      <c r="U390" s="6">
        <v>45629</v>
      </c>
      <c r="V390" s="5" t="s">
        <v>59</v>
      </c>
      <c r="W3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90" s="7">
        <f t="shared" si="13"/>
        <v>3</v>
      </c>
      <c r="Y390" s="5">
        <v>49</v>
      </c>
      <c r="Z390" s="5">
        <v>6.45</v>
      </c>
      <c r="AA390" s="5">
        <v>2</v>
      </c>
      <c r="AB390" s="5">
        <v>24.35</v>
      </c>
      <c r="AC390" s="5">
        <v>736</v>
      </c>
      <c r="AD390" s="5">
        <v>22.3</v>
      </c>
      <c r="AE390" s="5">
        <v>56.47</v>
      </c>
      <c r="AF390" s="5">
        <v>50</v>
      </c>
      <c r="AG390" s="5">
        <v>1045</v>
      </c>
      <c r="AH390" s="5">
        <f>0.18*24</f>
        <v>4.32</v>
      </c>
      <c r="AI390" s="5">
        <f t="shared" si="12"/>
        <v>129.60000000000002</v>
      </c>
    </row>
    <row r="391" spans="1:51" x14ac:dyDescent="0.25">
      <c r="A391" s="5" t="s">
        <v>52</v>
      </c>
      <c r="B391" s="5" t="s">
        <v>82</v>
      </c>
      <c r="C391" s="5" t="s">
        <v>77</v>
      </c>
      <c r="F391" s="5" t="s">
        <v>55</v>
      </c>
      <c r="G391" s="5" t="s">
        <v>61</v>
      </c>
      <c r="H391" s="5" t="s">
        <v>57</v>
      </c>
      <c r="I391" s="5">
        <v>472</v>
      </c>
      <c r="J391" s="5" t="str">
        <f>IFERROR(VLOOKUP(I391,[1]INFO_LOCALES!$B:$C,2,FALSE),"")</f>
        <v>CALDERA I</v>
      </c>
      <c r="K391" s="5" t="str">
        <f>IFERROR(VLOOKUP(Tabla2[[#This Row],[TIENDA]],[1]INFO_LOCALES!$B:$D,3,FALSE),"")</f>
        <v>III - Atacama</v>
      </c>
      <c r="L391" s="5" t="str">
        <f>IFERROR(VLOOKUP(I391,[1]INFO_LOCALES!$B:$I,8,FALSE),"")</f>
        <v>Caldera</v>
      </c>
      <c r="M391" s="5" t="str">
        <f>IFERROR(VLOOKUP(I391,[1]INFO_LOCALES!$B:$H,7,FALSE),"")</f>
        <v>Batallon Atacama 319</v>
      </c>
      <c r="N391" s="5">
        <f>IFERROR(VLOOKUP(I391,[1]INFO_LOCALES!$B:$E,4,FALSE),"")</f>
        <v>0</v>
      </c>
      <c r="O391" s="5" t="str">
        <f>VLOOKUP(Tabla2[[#This Row],[TIENDA]],[1]INFO_LOCALES!$B:$J,9,0)</f>
        <v>CONVENIO</v>
      </c>
      <c r="P391" s="5" t="str">
        <f>IFERROR(VLOOKUP(I391,[1]INFO_LOCALES!$B:$F,5,FALSE),"")</f>
        <v>NUEVA ATACAMA</v>
      </c>
      <c r="Q391" s="5" t="s">
        <v>66</v>
      </c>
      <c r="R391" s="5" t="s">
        <v>58</v>
      </c>
      <c r="S391" s="6">
        <v>45687</v>
      </c>
      <c r="T391" s="5" t="str">
        <f>UPPER(IF(Tabla2[[#This Row],[FECHA DE MUESTREO ]]=0,"",TEXT(Tabla2[[#This Row],[FECHA DE MUESTREO ]],("MMMM"))))</f>
        <v>DICIEMBRE</v>
      </c>
      <c r="U391" s="6">
        <v>45630</v>
      </c>
      <c r="V391" s="5" t="s">
        <v>59</v>
      </c>
      <c r="W3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91" s="7">
        <f t="shared" si="13"/>
        <v>3</v>
      </c>
      <c r="Y391" s="5">
        <v>7.76</v>
      </c>
      <c r="AA391" s="5">
        <v>15</v>
      </c>
      <c r="AC391" s="5">
        <v>164</v>
      </c>
      <c r="AD391" s="5">
        <v>5.99</v>
      </c>
      <c r="AE391" s="5">
        <v>14.35</v>
      </c>
      <c r="AF391" s="5">
        <v>1.5</v>
      </c>
      <c r="AG391" s="5">
        <v>105</v>
      </c>
      <c r="AI391" s="5">
        <f t="shared" si="12"/>
        <v>0</v>
      </c>
      <c r="AY391" s="5">
        <v>0.1</v>
      </c>
    </row>
    <row r="392" spans="1:51" x14ac:dyDescent="0.25">
      <c r="A392" s="5" t="s">
        <v>52</v>
      </c>
      <c r="B392" s="5" t="s">
        <v>82</v>
      </c>
      <c r="C392" s="5" t="s">
        <v>77</v>
      </c>
      <c r="F392" s="5" t="s">
        <v>55</v>
      </c>
      <c r="G392" s="5" t="s">
        <v>65</v>
      </c>
      <c r="H392" s="5" t="s">
        <v>57</v>
      </c>
      <c r="I392" s="5">
        <v>24</v>
      </c>
      <c r="J392" s="5" t="str">
        <f>IFERROR(VLOOKUP(I392,[1]INFO_LOCALES!$B:$C,2,FALSE),"")</f>
        <v>CHACABUCO</v>
      </c>
      <c r="K392" s="5" t="str">
        <f>IFERROR(VLOOKUP(Tabla2[[#This Row],[TIENDA]],[1]INFO_LOCALES!$B:$D,3,FALSE),"")</f>
        <v>III - Atacama</v>
      </c>
      <c r="L392" s="5" t="str">
        <f>IFERROR(VLOOKUP(I392,[1]INFO_LOCALES!$B:$I,8,FALSE),"")</f>
        <v>Copiapó</v>
      </c>
      <c r="M392" s="5" t="str">
        <f>IFERROR(VLOOKUP(I392,[1]INFO_LOCALES!$B:$H,7,FALSE),"")</f>
        <v>Los Carreras  586</v>
      </c>
      <c r="N392" s="5">
        <f>IFERROR(VLOOKUP(I392,[1]INFO_LOCALES!$B:$E,4,FALSE),"")</f>
        <v>0</v>
      </c>
      <c r="O392" s="5" t="str">
        <f>VLOOKUP(Tabla2[[#This Row],[TIENDA]],[1]INFO_LOCALES!$B:$J,9,0)</f>
        <v>SIN CONVENIO</v>
      </c>
      <c r="P392" s="5" t="str">
        <f>IFERROR(VLOOKUP(I392,[1]INFO_LOCALES!$B:$F,5,FALSE),"")</f>
        <v>NUEVA ATACAMA</v>
      </c>
      <c r="Q392" s="5" t="s">
        <v>85</v>
      </c>
      <c r="R392" s="5" t="s">
        <v>86</v>
      </c>
      <c r="S392" s="6">
        <v>45672</v>
      </c>
      <c r="T392" s="5" t="str">
        <f>UPPER(IF(Tabla2[[#This Row],[FECHA DE MUESTREO ]]=0,"",TEXT(Tabla2[[#This Row],[FECHA DE MUESTREO ]],("MMMM"))))</f>
        <v>DICIEMBRE</v>
      </c>
      <c r="U392" s="6">
        <v>45631</v>
      </c>
      <c r="V392" s="5" t="s">
        <v>59</v>
      </c>
      <c r="W3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92" s="7">
        <f t="shared" si="13"/>
        <v>3</v>
      </c>
      <c r="Y392" s="5">
        <v>29</v>
      </c>
      <c r="Z392" s="5">
        <v>7.48</v>
      </c>
      <c r="AA392" s="5">
        <v>3</v>
      </c>
      <c r="AB392" s="5">
        <v>20.79</v>
      </c>
      <c r="AC392" s="5">
        <v>1085</v>
      </c>
      <c r="AD392" s="5">
        <v>6</v>
      </c>
      <c r="AE392" s="5">
        <v>5.08</v>
      </c>
      <c r="AF392" s="5">
        <v>1</v>
      </c>
      <c r="AG392" s="5">
        <v>150</v>
      </c>
      <c r="AH392" s="5">
        <v>6912</v>
      </c>
      <c r="AI392" s="5">
        <v>207360</v>
      </c>
    </row>
    <row r="393" spans="1:51" x14ac:dyDescent="0.25">
      <c r="A393" s="5" t="s">
        <v>52</v>
      </c>
      <c r="B393" s="5" t="s">
        <v>82</v>
      </c>
      <c r="C393" s="5" t="s">
        <v>77</v>
      </c>
      <c r="F393" s="5" t="s">
        <v>55</v>
      </c>
      <c r="G393" s="5" t="s">
        <v>61</v>
      </c>
      <c r="H393" s="5" t="s">
        <v>57</v>
      </c>
      <c r="I393" s="5">
        <v>25</v>
      </c>
      <c r="J393" s="5" t="str">
        <f>IFERROR(VLOOKUP(I393,[1]INFO_LOCALES!$B:$C,2,FALSE),"")</f>
        <v>EL PALOMAR</v>
      </c>
      <c r="K393" s="5" t="str">
        <f>IFERROR(VLOOKUP(Tabla2[[#This Row],[TIENDA]],[1]INFO_LOCALES!$B:$D,3,FALSE),"")</f>
        <v>III - Atacama</v>
      </c>
      <c r="L393" s="5" t="str">
        <f>IFERROR(VLOOKUP(I393,[1]INFO_LOCALES!$B:$I,8,FALSE),"")</f>
        <v>Copiapó</v>
      </c>
      <c r="M393" s="5" t="str">
        <f>IFERROR(VLOOKUP(I393,[1]INFO_LOCALES!$B:$H,7,FALSE),"")</f>
        <v>Av. Palomar 1525</v>
      </c>
      <c r="N393" s="5">
        <f>IFERROR(VLOOKUP(I393,[1]INFO_LOCALES!$B:$E,4,FALSE),"")</f>
        <v>3868</v>
      </c>
      <c r="O393" s="5" t="str">
        <f>VLOOKUP(Tabla2[[#This Row],[TIENDA]],[1]INFO_LOCALES!$B:$J,9,0)</f>
        <v>TERMINADO</v>
      </c>
      <c r="P393" s="5" t="str">
        <f>IFERROR(VLOOKUP(I393,[1]INFO_LOCALES!$B:$F,5,FALSE),"")</f>
        <v>NUEVA ATACAMA</v>
      </c>
      <c r="Q393" s="5" t="s">
        <v>85</v>
      </c>
      <c r="R393" s="5" t="s">
        <v>86</v>
      </c>
      <c r="S393" s="6">
        <v>45672</v>
      </c>
      <c r="T393" s="5" t="str">
        <f>UPPER(IF(Tabla2[[#This Row],[FECHA DE MUESTREO ]]=0,"",TEXT(Tabla2[[#This Row],[FECHA DE MUESTREO ]],("MMMM"))))</f>
        <v>DICIEMBRE</v>
      </c>
      <c r="U393" s="6">
        <v>45631</v>
      </c>
      <c r="V393" s="5" t="s">
        <v>59</v>
      </c>
      <c r="W3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93" s="7">
        <f t="shared" si="13"/>
        <v>2</v>
      </c>
      <c r="Y393" s="5">
        <v>8.6</v>
      </c>
      <c r="Z393" s="5">
        <v>7.64</v>
      </c>
      <c r="AA393" s="5">
        <v>3</v>
      </c>
      <c r="AB393" s="5">
        <v>22.35</v>
      </c>
      <c r="AC393" s="5">
        <v>335</v>
      </c>
      <c r="AD393" s="5">
        <v>7.4</v>
      </c>
      <c r="AE393" s="5">
        <v>63.35</v>
      </c>
      <c r="AF393" s="5">
        <v>1</v>
      </c>
      <c r="AG393" s="5">
        <v>74</v>
      </c>
      <c r="AH393" s="5">
        <v>10022.4</v>
      </c>
      <c r="AI393" s="5">
        <v>300672</v>
      </c>
    </row>
    <row r="394" spans="1:51" x14ac:dyDescent="0.25">
      <c r="A394" s="5" t="s">
        <v>52</v>
      </c>
      <c r="B394" s="5" t="s">
        <v>82</v>
      </c>
      <c r="C394" s="5" t="s">
        <v>77</v>
      </c>
      <c r="F394" s="5" t="s">
        <v>55</v>
      </c>
      <c r="G394" s="5" t="s">
        <v>61</v>
      </c>
      <c r="H394" s="5" t="s">
        <v>57</v>
      </c>
      <c r="I394" s="5">
        <v>14</v>
      </c>
      <c r="J394" s="5" t="str">
        <f>IFERROR(VLOOKUP(I394,[1]INFO_LOCALES!$B:$C,2,FALSE),"")</f>
        <v>COPIAPO</v>
      </c>
      <c r="K394" s="5" t="str">
        <f>IFERROR(VLOOKUP(Tabla2[[#This Row],[TIENDA]],[1]INFO_LOCALES!$B:$D,3,FALSE),"")</f>
        <v>III - Atacama</v>
      </c>
      <c r="L394" s="5" t="str">
        <f>IFERROR(VLOOKUP(I394,[1]INFO_LOCALES!$B:$I,8,FALSE),"")</f>
        <v>Copiapó</v>
      </c>
      <c r="M394" s="5" t="str">
        <f>IFERROR(VLOOKUP(I394,[1]INFO_LOCALES!$B:$H,7,FALSE),"")</f>
        <v>Av. Henrriquez N° 523</v>
      </c>
      <c r="N394" s="5">
        <f>IFERROR(VLOOKUP(I394,[1]INFO_LOCALES!$B:$E,4,FALSE),"")</f>
        <v>0</v>
      </c>
      <c r="O394" s="5" t="str">
        <f>VLOOKUP(Tabla2[[#This Row],[TIENDA]],[1]INFO_LOCALES!$B:$J,9,0)</f>
        <v>CONVENIO</v>
      </c>
      <c r="P394" s="5" t="str">
        <f>IFERROR(VLOOKUP(I394,[1]INFO_LOCALES!$B:$F,5,FALSE),"")</f>
        <v>NUEVA ATACAMA</v>
      </c>
      <c r="Q394" s="5" t="s">
        <v>66</v>
      </c>
      <c r="R394" s="5" t="s">
        <v>58</v>
      </c>
      <c r="S394" s="6">
        <v>45687</v>
      </c>
      <c r="T394" s="5" t="str">
        <f>UPPER(IF(Tabla2[[#This Row],[FECHA DE MUESTREO ]]=0,"",TEXT(Tabla2[[#This Row],[FECHA DE MUESTREO ]],("MMMM"))))</f>
        <v>DICIEMBRE</v>
      </c>
      <c r="U394" s="6">
        <v>45631</v>
      </c>
      <c r="V394" s="5" t="s">
        <v>59</v>
      </c>
      <c r="W3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94" s="7">
        <f t="shared" si="13"/>
        <v>3</v>
      </c>
      <c r="Y394" s="5">
        <v>5.52</v>
      </c>
      <c r="AA394" s="5">
        <v>20</v>
      </c>
      <c r="AC394" s="5">
        <v>191</v>
      </c>
      <c r="AD394" s="5">
        <v>5.76</v>
      </c>
      <c r="AE394" s="5">
        <v>18.399999999999999</v>
      </c>
      <c r="AF394" s="5">
        <v>0.9</v>
      </c>
      <c r="AG394" s="5">
        <v>32</v>
      </c>
      <c r="AI394" s="5">
        <f t="shared" ref="AI394:AI399" si="14">AH394*30</f>
        <v>0</v>
      </c>
      <c r="AY394" s="5">
        <v>0.1</v>
      </c>
    </row>
    <row r="395" spans="1:51" x14ac:dyDescent="0.25">
      <c r="A395" s="5" t="s">
        <v>52</v>
      </c>
      <c r="B395" s="5" t="s">
        <v>90</v>
      </c>
      <c r="C395" s="5" t="s">
        <v>81</v>
      </c>
      <c r="F395" s="5" t="s">
        <v>55</v>
      </c>
      <c r="G395" s="5" t="s">
        <v>61</v>
      </c>
      <c r="H395" s="5" t="s">
        <v>57</v>
      </c>
      <c r="I395" s="5">
        <v>777</v>
      </c>
      <c r="J395" s="5" t="str">
        <f>IFERROR(VLOOKUP(I395,[1]INFO_LOCALES!$B:$C,2,FALSE),"")</f>
        <v>CENTRAL</v>
      </c>
      <c r="K395" s="5" t="str">
        <f>IFERROR(VLOOKUP(Tabla2[[#This Row],[TIENDA]],[1]INFO_LOCALES!$B:$D,3,FALSE),"")</f>
        <v>X - Los Lagos</v>
      </c>
      <c r="L395" s="5" t="str">
        <f>IFERROR(VLOOKUP(I395,[1]INFO_LOCALES!$B:$I,8,FALSE),"")</f>
        <v>Osorno</v>
      </c>
      <c r="M395" s="5" t="str">
        <f>IFERROR(VLOOKUP(I395,[1]INFO_LOCALES!$B:$H,7,FALSE),"")</f>
        <v>Patricio Lynch 1278</v>
      </c>
      <c r="N395" s="5">
        <f>IFERROR(VLOOKUP(I395,[1]INFO_LOCALES!$B:$E,4,FALSE),"")</f>
        <v>3684</v>
      </c>
      <c r="O395" s="5" t="str">
        <f>VLOOKUP(Tabla2[[#This Row],[TIENDA]],[1]INFO_LOCALES!$B:$J,9,0)</f>
        <v>CONVENIO</v>
      </c>
      <c r="P395" s="5" t="str">
        <f>IFERROR(VLOOKUP(I395,[1]INFO_LOCALES!$B:$F,5,FALSE),"")</f>
        <v>SURALIS</v>
      </c>
      <c r="Q395" s="5" t="s">
        <v>85</v>
      </c>
      <c r="R395" s="5" t="s">
        <v>86</v>
      </c>
      <c r="S395" s="6">
        <v>45678</v>
      </c>
      <c r="T395" s="5" t="str">
        <f>UPPER(IF(Tabla2[[#This Row],[FECHA DE MUESTREO ]]=0,"",TEXT(Tabla2[[#This Row],[FECHA DE MUESTREO ]],("MMMM"))))</f>
        <v>DICIEMBRE</v>
      </c>
      <c r="U395" s="6">
        <v>45632</v>
      </c>
      <c r="V395" s="5" t="s">
        <v>59</v>
      </c>
      <c r="W3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95" s="7">
        <f t="shared" si="13"/>
        <v>3</v>
      </c>
      <c r="Y395" s="5">
        <v>46.4</v>
      </c>
      <c r="Z395" s="5">
        <v>6.82</v>
      </c>
      <c r="AA395" s="5">
        <v>30</v>
      </c>
      <c r="AB395" s="5">
        <v>15.11</v>
      </c>
      <c r="AC395" s="5">
        <v>283</v>
      </c>
      <c r="AD395" s="5">
        <v>9.16</v>
      </c>
      <c r="AE395" s="5">
        <v>50.84</v>
      </c>
      <c r="AF395" s="5">
        <v>0.5</v>
      </c>
      <c r="AG395" s="5">
        <v>133</v>
      </c>
      <c r="AH395" s="5">
        <v>0.9</v>
      </c>
      <c r="AI395" s="5">
        <f t="shared" si="14"/>
        <v>27</v>
      </c>
    </row>
    <row r="396" spans="1:51" x14ac:dyDescent="0.25">
      <c r="A396" s="5" t="s">
        <v>52</v>
      </c>
      <c r="B396" s="5" t="s">
        <v>90</v>
      </c>
      <c r="C396" s="5" t="s">
        <v>81</v>
      </c>
      <c r="F396" s="5" t="s">
        <v>55</v>
      </c>
      <c r="G396" s="5" t="s">
        <v>61</v>
      </c>
      <c r="H396" s="5" t="s">
        <v>57</v>
      </c>
      <c r="I396" s="5">
        <v>778</v>
      </c>
      <c r="J396" s="5" t="str">
        <f>IFERROR(VLOOKUP(I396,[1]INFO_LOCALES!$B:$C,2,FALSE),"")</f>
        <v>ORIENTE</v>
      </c>
      <c r="K396" s="5" t="str">
        <f>IFERROR(VLOOKUP(Tabla2[[#This Row],[TIENDA]],[1]INFO_LOCALES!$B:$D,3,FALSE),"")</f>
        <v>X - Los Lagos</v>
      </c>
      <c r="L396" s="5" t="str">
        <f>IFERROR(VLOOKUP(I396,[1]INFO_LOCALES!$B:$I,8,FALSE),"")</f>
        <v>Osorno</v>
      </c>
      <c r="M396" s="5" t="str">
        <f>IFERROR(VLOOKUP(I396,[1]INFO_LOCALES!$B:$H,7,FALSE),"")</f>
        <v>Julio Buschman 2223</v>
      </c>
      <c r="N396" s="5">
        <f>IFERROR(VLOOKUP(I396,[1]INFO_LOCALES!$B:$E,4,FALSE),"")</f>
        <v>2867</v>
      </c>
      <c r="O396" s="5" t="str">
        <f>VLOOKUP(Tabla2[[#This Row],[TIENDA]],[1]INFO_LOCALES!$B:$J,9,0)</f>
        <v>CONVENIO</v>
      </c>
      <c r="P396" s="5" t="str">
        <f>IFERROR(VLOOKUP(I396,[1]INFO_LOCALES!$B:$F,5,FALSE),"")</f>
        <v>SURALIS</v>
      </c>
      <c r="Q396" s="5" t="s">
        <v>85</v>
      </c>
      <c r="R396" s="5" t="s">
        <v>86</v>
      </c>
      <c r="S396" s="6">
        <v>45672</v>
      </c>
      <c r="T396" s="5" t="str">
        <f>UPPER(IF(Tabla2[[#This Row],[FECHA DE MUESTREO ]]=0,"",TEXT(Tabla2[[#This Row],[FECHA DE MUESTREO ]],("MMMM"))))</f>
        <v>DICIEMBRE</v>
      </c>
      <c r="U396" s="6">
        <v>45632</v>
      </c>
      <c r="V396" s="5" t="s">
        <v>59</v>
      </c>
      <c r="W3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396" s="7">
        <f t="shared" si="13"/>
        <v>2</v>
      </c>
      <c r="Y396" s="5">
        <v>15.9</v>
      </c>
      <c r="Z396" s="5">
        <v>6.41</v>
      </c>
      <c r="AA396" s="5">
        <v>13</v>
      </c>
      <c r="AB396" s="5">
        <v>18.86</v>
      </c>
      <c r="AC396" s="5">
        <v>254</v>
      </c>
      <c r="AD396" s="5">
        <v>7.29</v>
      </c>
      <c r="AE396" s="5">
        <v>27.9</v>
      </c>
      <c r="AF396" s="5">
        <v>0.5</v>
      </c>
      <c r="AG396" s="5">
        <v>91</v>
      </c>
      <c r="AH396" s="5">
        <v>5.4</v>
      </c>
      <c r="AI396" s="5">
        <f t="shared" si="14"/>
        <v>162</v>
      </c>
    </row>
    <row r="397" spans="1:51" x14ac:dyDescent="0.25">
      <c r="A397" s="5" t="s">
        <v>52</v>
      </c>
      <c r="B397" s="5" t="s">
        <v>90</v>
      </c>
      <c r="C397" s="5" t="s">
        <v>81</v>
      </c>
      <c r="F397" s="5" t="s">
        <v>55</v>
      </c>
      <c r="G397" s="5" t="s">
        <v>61</v>
      </c>
      <c r="H397" s="5" t="s">
        <v>57</v>
      </c>
      <c r="I397" s="5">
        <v>777</v>
      </c>
      <c r="J397" s="5" t="str">
        <f>IFERROR(VLOOKUP(I397,[1]INFO_LOCALES!$B:$C,2,FALSE),"")</f>
        <v>CENTRAL</v>
      </c>
      <c r="K397" s="5" t="str">
        <f>IFERROR(VLOOKUP(Tabla2[[#This Row],[TIENDA]],[1]INFO_LOCALES!$B:$D,3,FALSE),"")</f>
        <v>X - Los Lagos</v>
      </c>
      <c r="L397" s="5" t="str">
        <f>IFERROR(VLOOKUP(I397,[1]INFO_LOCALES!$B:$I,8,FALSE),"")</f>
        <v>Osorno</v>
      </c>
      <c r="M397" s="5" t="str">
        <f>IFERROR(VLOOKUP(I397,[1]INFO_LOCALES!$B:$H,7,FALSE),"")</f>
        <v>Patricio Lynch 1278</v>
      </c>
      <c r="N397" s="5">
        <f>IFERROR(VLOOKUP(I397,[1]INFO_LOCALES!$B:$E,4,FALSE),"")</f>
        <v>3684</v>
      </c>
      <c r="O397" s="5" t="str">
        <f>VLOOKUP(Tabla2[[#This Row],[TIENDA]],[1]INFO_LOCALES!$B:$J,9,0)</f>
        <v>CONVENIO</v>
      </c>
      <c r="P397" s="5" t="str">
        <f>IFERROR(VLOOKUP(I397,[1]INFO_LOCALES!$B:$F,5,FALSE),"")</f>
        <v>SURALIS</v>
      </c>
      <c r="Q397" s="5" t="s">
        <v>105</v>
      </c>
      <c r="R397" s="5" t="s">
        <v>58</v>
      </c>
      <c r="S397" s="6">
        <v>45692</v>
      </c>
      <c r="T397" s="5" t="str">
        <f>UPPER(IF(Tabla2[[#This Row],[FECHA DE MUESTREO ]]=0,"",TEXT(Tabla2[[#This Row],[FECHA DE MUESTREO ]],("MMMM"))))</f>
        <v>DICIEMBRE</v>
      </c>
      <c r="U397" s="6">
        <v>45632</v>
      </c>
      <c r="V397" s="5" t="s">
        <v>59</v>
      </c>
      <c r="W3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97" s="7">
        <f t="shared" si="13"/>
        <v>1</v>
      </c>
      <c r="Y397" s="5">
        <v>14</v>
      </c>
      <c r="Z397" s="5">
        <v>7.8</v>
      </c>
      <c r="AA397" s="5">
        <v>2</v>
      </c>
      <c r="AB397" s="5">
        <v>19.399999999999999</v>
      </c>
      <c r="AC397" s="5">
        <v>78</v>
      </c>
      <c r="AD397" s="5">
        <v>2</v>
      </c>
      <c r="AE397" s="5">
        <v>2.4</v>
      </c>
      <c r="AF397" s="5">
        <v>0.6</v>
      </c>
      <c r="AG397" s="5">
        <v>48</v>
      </c>
      <c r="AH397" s="5">
        <v>1</v>
      </c>
      <c r="AI397" s="5">
        <f t="shared" si="14"/>
        <v>30</v>
      </c>
    </row>
    <row r="398" spans="1:51" x14ac:dyDescent="0.25">
      <c r="A398" s="5" t="s">
        <v>60</v>
      </c>
      <c r="B398" s="5" t="e">
        <v>#N/A</v>
      </c>
      <c r="C398" s="5" t="e">
        <v>#N/A</v>
      </c>
      <c r="F398" s="5" t="s">
        <v>55</v>
      </c>
      <c r="I398" s="5">
        <v>3557</v>
      </c>
      <c r="J398" s="5" t="str">
        <f>IFERROR(VLOOKUP(I398,[1]INFO_LOCALES!$B:$C,2,FALSE),"")</f>
        <v/>
      </c>
      <c r="K398" s="5" t="str">
        <f>IFERROR(VLOOKUP(Tabla2[[#This Row],[TIENDA]],[1]INFO_LOCALES!$B:$D,3,FALSE),"")</f>
        <v/>
      </c>
      <c r="L398" s="5" t="str">
        <f>IFERROR(VLOOKUP(I398,[1]INFO_LOCALES!$B:$I,8,FALSE),"")</f>
        <v/>
      </c>
      <c r="M398" s="5" t="str">
        <f>IFERROR(VLOOKUP(I398,[1]INFO_LOCALES!$B:$H,7,FALSE),"")</f>
        <v/>
      </c>
      <c r="N398" s="5" t="str">
        <f>IFERROR(VLOOKUP(I398,[1]INFO_LOCALES!$B:$E,4,FALSE),"")</f>
        <v/>
      </c>
      <c r="O398" s="5" t="e">
        <f>VLOOKUP(Tabla2[[#This Row],[TIENDA]],[1]INFO_LOCALES!$B:$J,9,0)</f>
        <v>#N/A</v>
      </c>
      <c r="P398" s="5" t="str">
        <f>IFERROR(VLOOKUP(I398,[1]INFO_LOCALES!$B:$F,5,FALSE),"")</f>
        <v/>
      </c>
      <c r="Q398" s="5" t="s">
        <v>85</v>
      </c>
      <c r="R398" s="5" t="s">
        <v>86</v>
      </c>
      <c r="S398" s="6">
        <v>45672</v>
      </c>
      <c r="T398" s="5" t="str">
        <f>UPPER(IF(Tabla2[[#This Row],[FECHA DE MUESTREO ]]=0,"",TEXT(Tabla2[[#This Row],[FECHA DE MUESTREO ]],("MMMM"))))</f>
        <v>DICIEMBRE</v>
      </c>
      <c r="U398" s="6">
        <v>45635</v>
      </c>
      <c r="V398" s="5" t="s">
        <v>118</v>
      </c>
      <c r="W3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398" s="7">
        <f t="shared" si="13"/>
        <v>3</v>
      </c>
      <c r="Y398" s="5">
        <v>21.1</v>
      </c>
      <c r="Z398" s="5">
        <v>6.77</v>
      </c>
      <c r="AA398" s="5">
        <v>23</v>
      </c>
      <c r="AB398" s="5">
        <v>16.14</v>
      </c>
      <c r="AC398" s="5">
        <v>227</v>
      </c>
      <c r="AD398" s="5">
        <v>9.26</v>
      </c>
      <c r="AE398" s="5">
        <v>18.940000000000001</v>
      </c>
      <c r="AF398" s="5">
        <v>0.5</v>
      </c>
      <c r="AG398" s="5">
        <v>70</v>
      </c>
      <c r="AI398" s="5">
        <f t="shared" si="14"/>
        <v>0</v>
      </c>
      <c r="AJ398" s="5">
        <v>0.63129999999999997</v>
      </c>
      <c r="AK398" s="5">
        <v>2E-3</v>
      </c>
      <c r="AL398" s="5">
        <v>0.1</v>
      </c>
      <c r="AM398" s="5">
        <v>0.01</v>
      </c>
      <c r="AN398" s="5">
        <v>0.1</v>
      </c>
      <c r="AO398" s="5">
        <v>0.21</v>
      </c>
      <c r="AP398" s="5">
        <v>0.05</v>
      </c>
      <c r="AQ398" s="5">
        <v>0.05</v>
      </c>
      <c r="AR398" s="5">
        <v>0.05</v>
      </c>
      <c r="AS398" s="5">
        <v>10</v>
      </c>
      <c r="AT398" s="5">
        <v>0.01</v>
      </c>
      <c r="AU398" s="5">
        <v>1E-3</v>
      </c>
      <c r="AV398" s="5">
        <v>0.05</v>
      </c>
      <c r="AW398" s="5">
        <v>0.05</v>
      </c>
      <c r="AX398" s="5">
        <v>10</v>
      </c>
      <c r="AY398" s="5">
        <v>0.5</v>
      </c>
    </row>
    <row r="399" spans="1:51" x14ac:dyDescent="0.25">
      <c r="A399" s="5" t="s">
        <v>52</v>
      </c>
      <c r="B399" s="5" t="s">
        <v>73</v>
      </c>
      <c r="C399" s="5" t="s">
        <v>74</v>
      </c>
      <c r="F399" s="5" t="s">
        <v>55</v>
      </c>
      <c r="G399" s="5" t="s">
        <v>61</v>
      </c>
      <c r="H399" s="5" t="s">
        <v>57</v>
      </c>
      <c r="I399" s="5">
        <v>442</v>
      </c>
      <c r="J399" s="5" t="str">
        <f>IFERROR(VLOOKUP(I399,[1]INFO_LOCALES!$B:$C,2,FALSE),"")</f>
        <v>COYHAIQUE</v>
      </c>
      <c r="K399" s="5" t="str">
        <f>IFERROR(VLOOKUP(Tabla2[[#This Row],[TIENDA]],[1]INFO_LOCALES!$B:$D,3,FALSE),"")</f>
        <v>XI - Aysén</v>
      </c>
      <c r="L399" s="5" t="str">
        <f>IFERROR(VLOOKUP(I399,[1]INFO_LOCALES!$B:$I,8,FALSE),"")</f>
        <v>Coyhaique</v>
      </c>
      <c r="M399" s="5" t="str">
        <f>IFERROR(VLOOKUP(I399,[1]INFO_LOCALES!$B:$H,7,FALSE),"")</f>
        <v>Lautaro 331</v>
      </c>
      <c r="N399" s="5">
        <f>IFERROR(VLOOKUP(I399,[1]INFO_LOCALES!$B:$E,4,FALSE),"")</f>
        <v>1320</v>
      </c>
      <c r="O399" s="5" t="str">
        <f>VLOOKUP(Tabla2[[#This Row],[TIENDA]],[1]INFO_LOCALES!$B:$J,9,0)</f>
        <v>SIN CONVENIO</v>
      </c>
      <c r="P399" s="5" t="str">
        <f>IFERROR(VLOOKUP(I399,[1]INFO_LOCALES!$B:$F,5,FALSE),"")</f>
        <v>AGUAS PATAGONIA</v>
      </c>
      <c r="Q399" s="5" t="s">
        <v>144</v>
      </c>
      <c r="R399" s="5" t="s">
        <v>86</v>
      </c>
      <c r="S399" s="6">
        <v>45694</v>
      </c>
      <c r="T399" s="5" t="str">
        <f>UPPER(IF(Tabla2[[#This Row],[FECHA DE MUESTREO ]]=0,"",TEXT(Tabla2[[#This Row],[FECHA DE MUESTREO ]],("MMMM"))))</f>
        <v>DICIEMBRE</v>
      </c>
      <c r="U399" s="6">
        <v>45636</v>
      </c>
      <c r="V399" s="5" t="s">
        <v>59</v>
      </c>
      <c r="W3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399" s="7">
        <f t="shared" si="13"/>
        <v>1</v>
      </c>
      <c r="Y399" s="5">
        <v>14</v>
      </c>
      <c r="Z399" s="5">
        <v>9.2200000000000006</v>
      </c>
      <c r="AA399" s="5">
        <v>2</v>
      </c>
      <c r="AB399" s="5">
        <v>10.7</v>
      </c>
      <c r="AC399" s="5">
        <v>252</v>
      </c>
      <c r="AD399" s="5">
        <v>14.6</v>
      </c>
      <c r="AE399" s="5">
        <v>24</v>
      </c>
      <c r="AF399" s="5">
        <v>11</v>
      </c>
      <c r="AG399" s="5">
        <v>103</v>
      </c>
      <c r="AH399" s="5">
        <v>0.28999999999999998</v>
      </c>
      <c r="AI399" s="5">
        <f t="shared" si="14"/>
        <v>8.6999999999999993</v>
      </c>
    </row>
    <row r="400" spans="1:51" x14ac:dyDescent="0.25">
      <c r="A400" s="5" t="s">
        <v>52</v>
      </c>
      <c r="B400" s="5" t="s">
        <v>82</v>
      </c>
      <c r="C400" s="5" t="s">
        <v>77</v>
      </c>
      <c r="F400" s="5" t="s">
        <v>55</v>
      </c>
      <c r="G400" s="5" t="s">
        <v>65</v>
      </c>
      <c r="H400" s="5" t="s">
        <v>57</v>
      </c>
      <c r="I400" s="5">
        <v>7</v>
      </c>
      <c r="J400" s="5" t="str">
        <f>IFERROR(VLOOKUP(I400,[1]INFO_LOCALES!$B:$C,2,FALSE),"")</f>
        <v>VALLENAR I</v>
      </c>
      <c r="K400" s="5" t="str">
        <f>IFERROR(VLOOKUP(Tabla2[[#This Row],[TIENDA]],[1]INFO_LOCALES!$B:$D,3,FALSE),"")</f>
        <v>III - Atacama</v>
      </c>
      <c r="L400" s="5" t="str">
        <f>IFERROR(VLOOKUP(I400,[1]INFO_LOCALES!$B:$I,8,FALSE),"")</f>
        <v>Vallenar</v>
      </c>
      <c r="M400" s="5" t="str">
        <f>IFERROR(VLOOKUP(I400,[1]INFO_LOCALES!$B:$H,7,FALSE),"")</f>
        <v>Brasil 663</v>
      </c>
      <c r="N400" s="5">
        <f>IFERROR(VLOOKUP(I400,[1]INFO_LOCALES!$B:$E,4,FALSE),"")</f>
        <v>0</v>
      </c>
      <c r="O400" s="5" t="str">
        <f>VLOOKUP(Tabla2[[#This Row],[TIENDA]],[1]INFO_LOCALES!$B:$J,9,0)</f>
        <v>CONVENIO</v>
      </c>
      <c r="P400" s="5" t="str">
        <f>IFERROR(VLOOKUP(I400,[1]INFO_LOCALES!$B:$F,5,FALSE),"")</f>
        <v>NUEVA ATACAMA</v>
      </c>
      <c r="Q400" s="5" t="s">
        <v>66</v>
      </c>
      <c r="R400" s="5" t="s">
        <v>58</v>
      </c>
      <c r="S400" s="6">
        <v>45672</v>
      </c>
      <c r="T400" s="5" t="str">
        <f>UPPER(IF(Tabla2[[#This Row],[FECHA DE MUESTREO ]]=0,"",TEXT(Tabla2[[#This Row],[FECHA DE MUESTREO ]],("MMMM"))))</f>
        <v>DICIEMBRE</v>
      </c>
      <c r="U400" s="6">
        <v>45637</v>
      </c>
      <c r="V400" s="5" t="s">
        <v>59</v>
      </c>
      <c r="W4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00" s="7">
        <f t="shared" si="13"/>
        <v>2</v>
      </c>
      <c r="Y400" s="5">
        <v>10.9</v>
      </c>
      <c r="Z400" s="5">
        <v>7.2</v>
      </c>
      <c r="AA400" s="5">
        <v>5</v>
      </c>
      <c r="AB400" s="5">
        <v>20.76</v>
      </c>
      <c r="AC400" s="5">
        <v>411</v>
      </c>
      <c r="AD400" s="5">
        <v>13.5</v>
      </c>
      <c r="AE400" s="5">
        <v>5</v>
      </c>
      <c r="AF400" s="5">
        <v>0.5</v>
      </c>
      <c r="AG400" s="5">
        <v>102</v>
      </c>
      <c r="AH400" s="5">
        <v>5616</v>
      </c>
      <c r="AI400" s="5">
        <v>168480</v>
      </c>
    </row>
    <row r="401" spans="1:51" x14ac:dyDescent="0.25">
      <c r="A401" s="5" t="s">
        <v>52</v>
      </c>
      <c r="B401" s="5" t="s">
        <v>93</v>
      </c>
      <c r="C401" s="5" t="s">
        <v>81</v>
      </c>
      <c r="F401" s="5" t="s">
        <v>55</v>
      </c>
      <c r="G401" s="5" t="s">
        <v>61</v>
      </c>
      <c r="H401" s="5" t="s">
        <v>57</v>
      </c>
      <c r="I401" s="5">
        <v>576</v>
      </c>
      <c r="J401" s="5" t="str">
        <f>IFERROR(VLOOKUP(I401,[1]INFO_LOCALES!$B:$C,2,FALSE),"")</f>
        <v>CASTRO I</v>
      </c>
      <c r="K401" s="5" t="str">
        <f>IFERROR(VLOOKUP(Tabla2[[#This Row],[TIENDA]],[1]INFO_LOCALES!$B:$D,3,FALSE),"")</f>
        <v>X - Los Lagos</v>
      </c>
      <c r="L401" s="5" t="str">
        <f>IFERROR(VLOOKUP(I401,[1]INFO_LOCALES!$B:$I,8,FALSE),"")</f>
        <v>Castro</v>
      </c>
      <c r="M401" s="5" t="str">
        <f>IFERROR(VLOOKUP(I401,[1]INFO_LOCALES!$B:$H,7,FALSE),"")</f>
        <v>O'Higgins 711</v>
      </c>
      <c r="N401" s="5">
        <f>IFERROR(VLOOKUP(I401,[1]INFO_LOCALES!$B:$E,4,FALSE),"")</f>
        <v>3875</v>
      </c>
      <c r="O401" s="5" t="str">
        <f>VLOOKUP(Tabla2[[#This Row],[TIENDA]],[1]INFO_LOCALES!$B:$J,9,0)</f>
        <v>SIN CONVENIO</v>
      </c>
      <c r="P401" s="5" t="str">
        <f>IFERROR(VLOOKUP(I401,[1]INFO_LOCALES!$B:$F,5,FALSE),"")</f>
        <v>SURALIS</v>
      </c>
      <c r="Q401" s="5" t="s">
        <v>85</v>
      </c>
      <c r="R401" s="5" t="s">
        <v>86</v>
      </c>
      <c r="S401" s="6">
        <v>45677</v>
      </c>
      <c r="T401" s="5" t="str">
        <f>UPPER(IF(Tabla2[[#This Row],[FECHA DE MUESTREO ]]=0,"",TEXT(Tabla2[[#This Row],[FECHA DE MUESTREO ]],("MMMM"))))</f>
        <v>DICIEMBRE</v>
      </c>
      <c r="U401" s="6">
        <v>45637</v>
      </c>
      <c r="V401" s="5" t="s">
        <v>118</v>
      </c>
      <c r="W4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01" s="7">
        <f t="shared" si="13"/>
        <v>2</v>
      </c>
      <c r="Y401" s="5">
        <v>14.6</v>
      </c>
      <c r="Z401" s="5">
        <v>7.39</v>
      </c>
      <c r="AA401" s="5">
        <v>7</v>
      </c>
      <c r="AB401" s="5">
        <v>10.61</v>
      </c>
      <c r="AC401" s="5">
        <v>525</v>
      </c>
      <c r="AD401" s="5">
        <v>16.8</v>
      </c>
      <c r="AE401" s="5">
        <v>50</v>
      </c>
      <c r="AF401" s="5">
        <v>0.6</v>
      </c>
      <c r="AG401" s="5">
        <v>69</v>
      </c>
      <c r="AH401" s="5">
        <v>1.1000000000000001</v>
      </c>
      <c r="AI401" s="5">
        <f>AH401*30</f>
        <v>33</v>
      </c>
      <c r="AJ401" s="5">
        <v>0.47360000000000002</v>
      </c>
      <c r="AK401" s="5">
        <v>2E-3</v>
      </c>
      <c r="AL401" s="5">
        <v>0.1</v>
      </c>
      <c r="AM401" s="5">
        <v>0.01</v>
      </c>
      <c r="AN401" s="5">
        <v>0.1</v>
      </c>
      <c r="AO401" s="5">
        <v>0.05</v>
      </c>
      <c r="AP401" s="5">
        <v>0.05</v>
      </c>
      <c r="AQ401" s="5">
        <v>0.05</v>
      </c>
      <c r="AR401" s="5">
        <v>0.05</v>
      </c>
      <c r="AS401" s="5">
        <v>10</v>
      </c>
      <c r="AT401" s="5">
        <v>0.108</v>
      </c>
      <c r="AU401" s="5">
        <v>1E-3</v>
      </c>
      <c r="AV401" s="5">
        <v>0.05</v>
      </c>
      <c r="AW401" s="5">
        <v>0.05</v>
      </c>
      <c r="AX401" s="5">
        <v>10</v>
      </c>
      <c r="AY401" s="5">
        <v>0.5</v>
      </c>
    </row>
    <row r="402" spans="1:51" x14ac:dyDescent="0.25">
      <c r="A402" s="5" t="s">
        <v>52</v>
      </c>
      <c r="B402" s="5" t="s">
        <v>82</v>
      </c>
      <c r="C402" s="5" t="s">
        <v>77</v>
      </c>
      <c r="F402" s="5" t="s">
        <v>55</v>
      </c>
      <c r="G402" s="5" t="s">
        <v>65</v>
      </c>
      <c r="H402" s="5" t="s">
        <v>57</v>
      </c>
      <c r="I402" s="5">
        <v>16</v>
      </c>
      <c r="J402" s="5" t="str">
        <f>IFERROR(VLOOKUP(I402,[1]INFO_LOCALES!$B:$C,2,FALSE),"")</f>
        <v>VALLENAR II</v>
      </c>
      <c r="K402" s="5" t="str">
        <f>IFERROR(VLOOKUP(Tabla2[[#This Row],[TIENDA]],[1]INFO_LOCALES!$B:$D,3,FALSE),"")</f>
        <v>III - Atacama</v>
      </c>
      <c r="L402" s="5" t="str">
        <f>IFERROR(VLOOKUP(I402,[1]INFO_LOCALES!$B:$I,8,FALSE),"")</f>
        <v>Vallenar</v>
      </c>
      <c r="M402" s="5" t="str">
        <f>IFERROR(VLOOKUP(I402,[1]INFO_LOCALES!$B:$H,7,FALSE),"")</f>
        <v>Arturo Prat 2350</v>
      </c>
      <c r="N402" s="5">
        <f>IFERROR(VLOOKUP(I402,[1]INFO_LOCALES!$B:$E,4,FALSE),"")</f>
        <v>0</v>
      </c>
      <c r="O402" s="5" t="str">
        <f>VLOOKUP(Tabla2[[#This Row],[TIENDA]],[1]INFO_LOCALES!$B:$J,9,0)</f>
        <v>TERMINADO</v>
      </c>
      <c r="P402" s="5" t="str">
        <f>IFERROR(VLOOKUP(I402,[1]INFO_LOCALES!$B:$F,5,FALSE),"")</f>
        <v>NUEVA ATACAMA</v>
      </c>
      <c r="Q402" s="5" t="s">
        <v>85</v>
      </c>
      <c r="R402" s="5" t="s">
        <v>86</v>
      </c>
      <c r="S402" s="6">
        <v>45671</v>
      </c>
      <c r="T402" s="5" t="str">
        <f>UPPER(IF(Tabla2[[#This Row],[FECHA DE MUESTREO ]]=0,"",TEXT(Tabla2[[#This Row],[FECHA DE MUESTREO ]],("MMMM"))))</f>
        <v>DICIEMBRE</v>
      </c>
      <c r="U402" s="6">
        <v>45637</v>
      </c>
      <c r="V402" s="5" t="s">
        <v>59</v>
      </c>
      <c r="W4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02" s="7">
        <f t="shared" si="13"/>
        <v>1</v>
      </c>
      <c r="Y402" s="5">
        <v>6.9</v>
      </c>
      <c r="Z402" s="5">
        <v>7.55</v>
      </c>
      <c r="AA402" s="5">
        <v>2</v>
      </c>
      <c r="AB402" s="5">
        <v>21.79</v>
      </c>
      <c r="AC402" s="5">
        <v>95</v>
      </c>
      <c r="AD402" s="5">
        <v>3.1</v>
      </c>
      <c r="AE402" s="5">
        <v>5</v>
      </c>
      <c r="AF402" s="5">
        <v>1.2</v>
      </c>
      <c r="AG402" s="5">
        <v>70.8</v>
      </c>
      <c r="AH402" s="5">
        <v>0.35</v>
      </c>
      <c r="AI402" s="5">
        <f>AH402*30</f>
        <v>10.5</v>
      </c>
    </row>
    <row r="403" spans="1:51" x14ac:dyDescent="0.25">
      <c r="A403" s="5" t="s">
        <v>52</v>
      </c>
      <c r="B403" s="5" t="s">
        <v>82</v>
      </c>
      <c r="C403" s="5" t="s">
        <v>77</v>
      </c>
      <c r="F403" s="5" t="s">
        <v>55</v>
      </c>
      <c r="G403" s="5" t="s">
        <v>61</v>
      </c>
      <c r="H403" s="5" t="s">
        <v>57</v>
      </c>
      <c r="I403" s="5">
        <v>32</v>
      </c>
      <c r="J403" s="5" t="str">
        <f>IFERROR(VLOOKUP(I403,[1]INFO_LOCALES!$B:$C,2,FALSE),"")</f>
        <v>CHAÑARCILLO</v>
      </c>
      <c r="K403" s="5" t="str">
        <f>IFERROR(VLOOKUP(Tabla2[[#This Row],[TIENDA]],[1]INFO_LOCALES!$B:$D,3,FALSE),"")</f>
        <v>III - Atacama</v>
      </c>
      <c r="L403" s="5" t="str">
        <f>IFERROR(VLOOKUP(I403,[1]INFO_LOCALES!$B:$I,8,FALSE),"")</f>
        <v>Copiapó</v>
      </c>
      <c r="M403" s="5" t="str">
        <f>IFERROR(VLOOKUP(I403,[1]INFO_LOCALES!$B:$H,7,FALSE),"")</f>
        <v>Chacabuco Nº 231</v>
      </c>
      <c r="N403" s="5">
        <f>IFERROR(VLOOKUP(I403,[1]INFO_LOCALES!$B:$E,4,FALSE),"")</f>
        <v>0</v>
      </c>
      <c r="O403" s="5" t="str">
        <f>VLOOKUP(Tabla2[[#This Row],[TIENDA]],[1]INFO_LOCALES!$B:$J,9,0)</f>
        <v>CONVENIO</v>
      </c>
      <c r="P403" s="5" t="str">
        <f>IFERROR(VLOOKUP(I403,[1]INFO_LOCALES!$B:$F,5,FALSE),"")</f>
        <v>NUEVA ATACAMA</v>
      </c>
      <c r="Q403" s="5" t="s">
        <v>66</v>
      </c>
      <c r="R403" s="5" t="s">
        <v>58</v>
      </c>
      <c r="S403" s="6">
        <v>45687</v>
      </c>
      <c r="T403" s="5" t="str">
        <f>UPPER(IF(Tabla2[[#This Row],[FECHA DE MUESTREO ]]=0,"",TEXT(Tabla2[[#This Row],[FECHA DE MUESTREO ]],("MMMM"))))</f>
        <v>DICIEMBRE</v>
      </c>
      <c r="U403" s="6">
        <v>45637</v>
      </c>
      <c r="V403" s="5" t="s">
        <v>59</v>
      </c>
      <c r="W4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03" s="7">
        <f t="shared" si="13"/>
        <v>3</v>
      </c>
      <c r="Y403" s="5">
        <v>5.78</v>
      </c>
      <c r="AA403" s="5">
        <v>18.7</v>
      </c>
      <c r="AC403" s="5">
        <v>286</v>
      </c>
      <c r="AD403" s="5">
        <v>3.43</v>
      </c>
      <c r="AE403" s="5">
        <v>18</v>
      </c>
      <c r="AF403" s="5">
        <v>0.9</v>
      </c>
      <c r="AG403" s="5">
        <v>75</v>
      </c>
      <c r="AI403" s="5">
        <f>AH403*30</f>
        <v>0</v>
      </c>
      <c r="AY403" s="5">
        <v>0.1</v>
      </c>
    </row>
    <row r="404" spans="1:51" x14ac:dyDescent="0.25">
      <c r="A404" s="5" t="s">
        <v>52</v>
      </c>
      <c r="B404" s="5" t="s">
        <v>82</v>
      </c>
      <c r="C404" s="5" t="s">
        <v>77</v>
      </c>
      <c r="F404" s="5" t="s">
        <v>55</v>
      </c>
      <c r="G404" s="5" t="s">
        <v>56</v>
      </c>
      <c r="H404" s="5" t="s">
        <v>57</v>
      </c>
      <c r="I404" s="5">
        <v>22</v>
      </c>
      <c r="J404" s="5" t="str">
        <f>IFERROR(VLOOKUP(I404,[1]INFO_LOCALES!$B:$C,2,FALSE),"")</f>
        <v>ATACAMA</v>
      </c>
      <c r="K404" s="5" t="str">
        <f>IFERROR(VLOOKUP(Tabla2[[#This Row],[TIENDA]],[1]INFO_LOCALES!$B:$D,3,FALSE),"")</f>
        <v>III - Atacama</v>
      </c>
      <c r="L404" s="5" t="str">
        <f>IFERROR(VLOOKUP(I404,[1]INFO_LOCALES!$B:$I,8,FALSE),"")</f>
        <v>Copiapó</v>
      </c>
      <c r="M404" s="5" t="str">
        <f>IFERROR(VLOOKUP(I404,[1]INFO_LOCALES!$B:$H,7,FALSE),"")</f>
        <v>Los Carreras 2242</v>
      </c>
      <c r="N404" s="5">
        <f>IFERROR(VLOOKUP(I404,[1]INFO_LOCALES!$B:$E,4,FALSE),"")</f>
        <v>2666</v>
      </c>
      <c r="O404" s="5" t="str">
        <f>VLOOKUP(Tabla2[[#This Row],[TIENDA]],[1]INFO_LOCALES!$B:$J,9,0)</f>
        <v>CONVENIO</v>
      </c>
      <c r="P404" s="5" t="str">
        <f>IFERROR(VLOOKUP(I404,[1]INFO_LOCALES!$B:$F,5,FALSE),"")</f>
        <v>NUEVA ATACAMA</v>
      </c>
      <c r="Q404" s="5" t="s">
        <v>66</v>
      </c>
      <c r="R404" s="5" t="s">
        <v>58</v>
      </c>
      <c r="S404" s="6">
        <v>45687</v>
      </c>
      <c r="T404" s="5" t="str">
        <f>UPPER(IF(Tabla2[[#This Row],[FECHA DE MUESTREO ]]=0,"",TEXT(Tabla2[[#This Row],[FECHA DE MUESTREO ]],("MMMM"))))</f>
        <v>DICIEMBRE</v>
      </c>
      <c r="U404" s="6">
        <v>45637</v>
      </c>
      <c r="V404" s="5" t="s">
        <v>59</v>
      </c>
      <c r="W4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04" s="7">
        <f t="shared" si="13"/>
        <v>3</v>
      </c>
      <c r="Y404" s="5">
        <v>25.15</v>
      </c>
      <c r="AA404" s="5">
        <v>23</v>
      </c>
      <c r="AC404" s="5">
        <v>465</v>
      </c>
      <c r="AD404" s="5">
        <v>4.09</v>
      </c>
      <c r="AE404" s="5">
        <v>38.15</v>
      </c>
      <c r="AF404" s="5">
        <v>3.5</v>
      </c>
      <c r="AG404" s="5">
        <v>250</v>
      </c>
      <c r="AI404" s="5">
        <f>AH404*30</f>
        <v>0</v>
      </c>
      <c r="AY404" s="5">
        <v>0.1</v>
      </c>
    </row>
    <row r="405" spans="1:51" x14ac:dyDescent="0.25">
      <c r="A405" s="5" t="s">
        <v>52</v>
      </c>
      <c r="B405" s="5" t="s">
        <v>128</v>
      </c>
      <c r="C405" s="5" t="s">
        <v>77</v>
      </c>
      <c r="F405" s="5" t="s">
        <v>55</v>
      </c>
      <c r="G405" s="5" t="s">
        <v>61</v>
      </c>
      <c r="H405" s="5" t="s">
        <v>57</v>
      </c>
      <c r="I405" s="5">
        <v>17</v>
      </c>
      <c r="J405" s="5" t="str">
        <f>IFERROR(VLOOKUP(I405,[1]INFO_LOCALES!$B:$C,2,FALSE),"")</f>
        <v>LOS ALAMOS</v>
      </c>
      <c r="K405" s="5" t="str">
        <f>IFERROR(VLOOKUP(Tabla2[[#This Row],[TIENDA]],[1]INFO_LOCALES!$B:$D,3,FALSE),"")</f>
        <v>IV - Coquimbo</v>
      </c>
      <c r="L405" s="5" t="str">
        <f>IFERROR(VLOOKUP(I405,[1]INFO_LOCALES!$B:$I,8,FALSE),"")</f>
        <v>Coquimbo</v>
      </c>
      <c r="M405" s="5" t="str">
        <f>IFERROR(VLOOKUP(I405,[1]INFO_LOCALES!$B:$H,7,FALSE),"")</f>
        <v>Los Alamos 580</v>
      </c>
      <c r="N405" s="5">
        <f>IFERROR(VLOOKUP(I405,[1]INFO_LOCALES!$B:$E,4,FALSE),"")</f>
        <v>2643</v>
      </c>
      <c r="O405" s="5" t="str">
        <f>VLOOKUP(Tabla2[[#This Row],[TIENDA]],[1]INFO_LOCALES!$B:$J,9,0)</f>
        <v>TERMINADO</v>
      </c>
      <c r="P405" s="5" t="str">
        <f>IFERROR(VLOOKUP(I405,[1]INFO_LOCALES!$B:$F,5,FALSE),"")</f>
        <v>AGUAS DEL VALLE S A</v>
      </c>
      <c r="Q405" s="5" t="s">
        <v>85</v>
      </c>
      <c r="R405" s="5" t="s">
        <v>86</v>
      </c>
      <c r="S405" s="6">
        <v>45667</v>
      </c>
      <c r="T405" s="5" t="str">
        <f>UPPER(IF(Tabla2[[#This Row],[FECHA DE MUESTREO ]]=0,"",TEXT(Tabla2[[#This Row],[FECHA DE MUESTREO ]],("MMMM"))))</f>
        <v>DICIEMBRE</v>
      </c>
      <c r="U405" s="6">
        <v>45638</v>
      </c>
      <c r="V405" s="5" t="s">
        <v>118</v>
      </c>
      <c r="W4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05" s="7">
        <f t="shared" si="13"/>
        <v>3</v>
      </c>
      <c r="Y405" s="5">
        <v>12</v>
      </c>
      <c r="Z405" s="5">
        <v>8.0500000000000007</v>
      </c>
      <c r="AA405" s="5">
        <v>20</v>
      </c>
      <c r="AB405" s="5">
        <v>19.850000000000001</v>
      </c>
      <c r="AC405" s="5">
        <v>168</v>
      </c>
      <c r="AD405" s="5">
        <v>2.1</v>
      </c>
      <c r="AE405" s="5">
        <v>5</v>
      </c>
      <c r="AF405" s="5">
        <v>0.5</v>
      </c>
      <c r="AG405" s="5">
        <v>35.799999999999997</v>
      </c>
      <c r="AH405" s="5">
        <v>1</v>
      </c>
      <c r="AI405" s="5">
        <f>AH405*30</f>
        <v>30</v>
      </c>
      <c r="AJ405" s="5">
        <v>0.1</v>
      </c>
      <c r="AK405" s="5">
        <v>5.0000000000000001E-3</v>
      </c>
      <c r="AL405" s="5">
        <v>0.65549999999999997</v>
      </c>
      <c r="AM405" s="5">
        <v>0.01</v>
      </c>
      <c r="AN405" s="5">
        <v>0.1</v>
      </c>
      <c r="AO405" s="5">
        <v>0.1013</v>
      </c>
      <c r="AP405" s="5">
        <v>8.3000000000000004E-2</v>
      </c>
      <c r="AQ405" s="5">
        <v>0.05</v>
      </c>
      <c r="AR405" s="5">
        <v>0.05</v>
      </c>
      <c r="AS405" s="5">
        <v>10</v>
      </c>
      <c r="AT405" s="5">
        <v>4.2200000000000001E-2</v>
      </c>
      <c r="AU405" s="5">
        <v>1E-3</v>
      </c>
      <c r="AV405" s="5">
        <v>0.05</v>
      </c>
      <c r="AW405" s="5">
        <v>0.05</v>
      </c>
      <c r="AX405" s="5">
        <v>172</v>
      </c>
      <c r="AY405" s="5">
        <v>0.5</v>
      </c>
    </row>
    <row r="406" spans="1:51" x14ac:dyDescent="0.25">
      <c r="A406" s="5" t="s">
        <v>52</v>
      </c>
      <c r="B406" s="5" t="s">
        <v>103</v>
      </c>
      <c r="C406" s="5" t="s">
        <v>77</v>
      </c>
      <c r="F406" s="5" t="s">
        <v>55</v>
      </c>
      <c r="G406" s="5" t="s">
        <v>61</v>
      </c>
      <c r="H406" s="5" t="s">
        <v>57</v>
      </c>
      <c r="I406" s="5">
        <v>46</v>
      </c>
      <c r="J406" s="5" t="str">
        <f>IFERROR(VLOOKUP(I406,[1]INFO_LOCALES!$B:$C,2,FALSE),"")</f>
        <v>CALAMA I</v>
      </c>
      <c r="K406" s="5" t="str">
        <f>IFERROR(VLOOKUP(Tabla2[[#This Row],[TIENDA]],[1]INFO_LOCALES!$B:$D,3,FALSE),"")</f>
        <v>II - Antofagasta</v>
      </c>
      <c r="L406" s="5" t="str">
        <f>IFERROR(VLOOKUP(I406,[1]INFO_LOCALES!$B:$I,8,FALSE),"")</f>
        <v>Calama</v>
      </c>
      <c r="M406" s="5" t="str">
        <f>IFERROR(VLOOKUP(I406,[1]INFO_LOCALES!$B:$H,7,FALSE),"")</f>
        <v>Granaderos 3180</v>
      </c>
      <c r="N406" s="5">
        <f>IFERROR(VLOOKUP(I406,[1]INFO_LOCALES!$B:$E,4,FALSE),"")</f>
        <v>3035</v>
      </c>
      <c r="O406" s="5" t="str">
        <f>VLOOKUP(Tabla2[[#This Row],[TIENDA]],[1]INFO_LOCALES!$B:$J,9,0)</f>
        <v>SIN CONVENIO</v>
      </c>
      <c r="P406" s="5" t="str">
        <f>IFERROR(VLOOKUP(I406,[1]INFO_LOCALES!$B:$F,5,FALSE),"")</f>
        <v>AGUAS DE ANTOFAGASTA S A</v>
      </c>
      <c r="Q406" s="5" t="s">
        <v>85</v>
      </c>
      <c r="R406" s="5" t="s">
        <v>86</v>
      </c>
      <c r="S406" s="6">
        <v>45672</v>
      </c>
      <c r="T406" s="5" t="str">
        <f>UPPER(IF(Tabla2[[#This Row],[FECHA DE MUESTREO ]]=0,"",TEXT(Tabla2[[#This Row],[FECHA DE MUESTREO ]],("MMMM"))))</f>
        <v>DICIEMBRE</v>
      </c>
      <c r="U406" s="6">
        <v>45639</v>
      </c>
      <c r="V406" s="5" t="s">
        <v>59</v>
      </c>
      <c r="W4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06" s="7">
        <f t="shared" si="13"/>
        <v>2</v>
      </c>
      <c r="Y406" s="5">
        <v>20.5</v>
      </c>
      <c r="Z406" s="5">
        <v>7.7</v>
      </c>
      <c r="AA406" s="5">
        <v>2</v>
      </c>
      <c r="AB406" s="5">
        <v>22.03</v>
      </c>
      <c r="AC406" s="5">
        <v>355</v>
      </c>
      <c r="AD406" s="5">
        <v>12.2</v>
      </c>
      <c r="AE406" s="5">
        <v>24.95</v>
      </c>
      <c r="AF406" s="5">
        <v>1</v>
      </c>
      <c r="AG406" s="5">
        <v>27.2</v>
      </c>
      <c r="AI406" s="5">
        <v>0</v>
      </c>
      <c r="AJ406" s="5">
        <v>0.1</v>
      </c>
      <c r="AK406" s="5">
        <v>7.0000000000000001E-3</v>
      </c>
      <c r="AL406" s="5">
        <v>4.5007000000000001</v>
      </c>
      <c r="AM406" s="5">
        <v>0.01</v>
      </c>
      <c r="AN406" s="5">
        <v>0.1</v>
      </c>
      <c r="AO406" s="5">
        <v>0.2787</v>
      </c>
      <c r="AP406" s="5">
        <v>6.7000000000000004E-2</v>
      </c>
      <c r="AQ406" s="5">
        <v>0.05</v>
      </c>
      <c r="AR406" s="5">
        <v>0.05</v>
      </c>
      <c r="AS406" s="5">
        <v>10</v>
      </c>
      <c r="AT406" s="5">
        <v>4.6300000000000001E-2</v>
      </c>
      <c r="AU406" s="5">
        <v>1E-3</v>
      </c>
      <c r="AV406" s="5">
        <v>0.05</v>
      </c>
      <c r="AW406" s="5">
        <v>0.05</v>
      </c>
      <c r="AX406" s="5">
        <v>85</v>
      </c>
      <c r="AY406" s="5">
        <v>4.63</v>
      </c>
    </row>
    <row r="407" spans="1:51" x14ac:dyDescent="0.25">
      <c r="A407" s="5" t="s">
        <v>52</v>
      </c>
      <c r="B407" s="5" t="s">
        <v>103</v>
      </c>
      <c r="C407" s="5" t="s">
        <v>77</v>
      </c>
      <c r="F407" s="5" t="s">
        <v>55</v>
      </c>
      <c r="G407" s="5" t="s">
        <v>61</v>
      </c>
      <c r="H407" s="5" t="s">
        <v>57</v>
      </c>
      <c r="I407" s="5">
        <v>111</v>
      </c>
      <c r="J407" s="5" t="str">
        <f>IFERROR(VLOOKUP(I407,[1]INFO_LOCALES!$B:$C,2,FALSE),"")</f>
        <v>CALAMA II</v>
      </c>
      <c r="K407" s="5" t="str">
        <f>IFERROR(VLOOKUP(Tabla2[[#This Row],[TIENDA]],[1]INFO_LOCALES!$B:$D,3,FALSE),"")</f>
        <v>II - Antofagasta</v>
      </c>
      <c r="L407" s="5" t="str">
        <f>IFERROR(VLOOKUP(I407,[1]INFO_LOCALES!$B:$I,8,FALSE),"")</f>
        <v>Calama</v>
      </c>
      <c r="M407" s="5" t="str">
        <f>IFERROR(VLOOKUP(I407,[1]INFO_LOCALES!$B:$H,7,FALSE),"")</f>
        <v>Aconcagua 2588</v>
      </c>
      <c r="N407" s="5">
        <f>IFERROR(VLOOKUP(I407,[1]INFO_LOCALES!$B:$E,4,FALSE),"")</f>
        <v>2966</v>
      </c>
      <c r="O407" s="5" t="str">
        <f>VLOOKUP(Tabla2[[#This Row],[TIENDA]],[1]INFO_LOCALES!$B:$J,9,0)</f>
        <v>SIN CONVENIO</v>
      </c>
      <c r="P407" s="5" t="str">
        <f>IFERROR(VLOOKUP(I407,[1]INFO_LOCALES!$B:$F,5,FALSE),"")</f>
        <v>AGUAS DE ANTOFAGASTA S A</v>
      </c>
      <c r="Q407" s="5" t="s">
        <v>85</v>
      </c>
      <c r="R407" s="5" t="s">
        <v>86</v>
      </c>
      <c r="S407" s="6">
        <v>45319</v>
      </c>
      <c r="T407" s="5" t="str">
        <f>UPPER(IF(Tabla2[[#This Row],[FECHA DE MUESTREO ]]=0,"",TEXT(Tabla2[[#This Row],[FECHA DE MUESTREO ]],("MMMM"))))</f>
        <v>DICIEMBRE</v>
      </c>
      <c r="U407" s="6">
        <v>45639</v>
      </c>
      <c r="V407" s="5" t="s">
        <v>59</v>
      </c>
      <c r="W4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07" s="7">
        <f t="shared" si="13"/>
        <v>1</v>
      </c>
      <c r="Y407" s="5">
        <v>9.6999999999999993</v>
      </c>
      <c r="Z407" s="5">
        <v>7.66</v>
      </c>
      <c r="AA407" s="5">
        <v>2</v>
      </c>
      <c r="AB407" s="5">
        <v>23.36</v>
      </c>
      <c r="AC407" s="5">
        <v>133</v>
      </c>
      <c r="AD407" s="5">
        <v>4.3</v>
      </c>
      <c r="AE407" s="5">
        <v>33.6</v>
      </c>
      <c r="AF407" s="5">
        <v>0.6</v>
      </c>
      <c r="AG407" s="5">
        <v>146</v>
      </c>
      <c r="AH407" s="5">
        <v>0.98</v>
      </c>
      <c r="AI407" s="5">
        <f>AH407*30</f>
        <v>29.4</v>
      </c>
    </row>
    <row r="408" spans="1:51" x14ac:dyDescent="0.25">
      <c r="A408" s="5" t="s">
        <v>52</v>
      </c>
      <c r="B408" s="5" t="s">
        <v>74</v>
      </c>
      <c r="C408" s="5" t="s">
        <v>74</v>
      </c>
      <c r="F408" s="5" t="s">
        <v>55</v>
      </c>
      <c r="G408" s="5" t="s">
        <v>61</v>
      </c>
      <c r="H408" s="5" t="s">
        <v>57</v>
      </c>
      <c r="I408" s="5">
        <v>459</v>
      </c>
      <c r="J408" s="5" t="str">
        <f>IFERROR(VLOOKUP(I408,[1]INFO_LOCALES!$B:$C,2,FALSE),"")</f>
        <v>ALLENDE AUSTRAL</v>
      </c>
      <c r="K408" s="5" t="str">
        <f>IFERROR(VLOOKUP(Tabla2[[#This Row],[TIENDA]],[1]INFO_LOCALES!$B:$D,3,FALSE),"")</f>
        <v>XII - Magallanes</v>
      </c>
      <c r="L408" s="5" t="str">
        <f>IFERROR(VLOOKUP(I408,[1]INFO_LOCALES!$B:$I,8,FALSE),"")</f>
        <v>Punta Arenas</v>
      </c>
      <c r="M408" s="5" t="str">
        <f>IFERROR(VLOOKUP(I408,[1]INFO_LOCALES!$B:$H,7,FALSE),"")</f>
        <v>Salvador Allende 0399</v>
      </c>
      <c r="N408" s="5">
        <f>IFERROR(VLOOKUP(I408,[1]INFO_LOCALES!$B:$E,4,FALSE),"")</f>
        <v>3735</v>
      </c>
      <c r="O408" s="5" t="str">
        <f>VLOOKUP(Tabla2[[#This Row],[TIENDA]],[1]INFO_LOCALES!$B:$J,9,0)</f>
        <v>SIN CONVENIO</v>
      </c>
      <c r="P408" s="5" t="str">
        <f>IFERROR(VLOOKUP(I408,[1]INFO_LOCALES!$B:$F,5,FALSE),"")</f>
        <v>AGUAS MAGALLANES S.A.</v>
      </c>
      <c r="Q408" s="5" t="s">
        <v>163</v>
      </c>
      <c r="R408" s="5" t="s">
        <v>86</v>
      </c>
      <c r="S408" s="6">
        <v>45674</v>
      </c>
      <c r="T408" s="5" t="str">
        <f>UPPER(IF(Tabla2[[#This Row],[FECHA DE MUESTREO ]]=0,"",TEXT(Tabla2[[#This Row],[FECHA DE MUESTREO ]],("MMMM"))))</f>
        <v>DICIEMBRE</v>
      </c>
      <c r="U408" s="6">
        <v>45639</v>
      </c>
      <c r="V408" s="5" t="s">
        <v>118</v>
      </c>
      <c r="W4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08" s="7">
        <f t="shared" si="13"/>
        <v>1</v>
      </c>
      <c r="Y408" s="5">
        <v>1.34</v>
      </c>
      <c r="Z408" s="5">
        <v>6.83</v>
      </c>
      <c r="AA408" s="5">
        <v>2</v>
      </c>
      <c r="AB408" s="5">
        <v>7.3</v>
      </c>
      <c r="AC408" s="5">
        <v>6.02</v>
      </c>
      <c r="AD408" s="5">
        <v>0.23</v>
      </c>
      <c r="AE408" s="5">
        <v>0.49</v>
      </c>
      <c r="AF408" s="5">
        <v>0.1</v>
      </c>
      <c r="AG408" s="5">
        <v>5</v>
      </c>
      <c r="AH408" s="5">
        <v>0.95</v>
      </c>
      <c r="AI408" s="5">
        <f>AH408*30</f>
        <v>28.5</v>
      </c>
      <c r="AJ408" s="5">
        <v>0.55400000000000005</v>
      </c>
      <c r="AK408" s="5">
        <v>1E-3</v>
      </c>
      <c r="AL408" s="5">
        <v>3.5000000000000003E-2</v>
      </c>
      <c r="AM408" s="5">
        <v>2E-3</v>
      </c>
      <c r="AN408" s="5">
        <v>0.02</v>
      </c>
      <c r="AO408" s="5">
        <v>6.4000000000000001E-2</v>
      </c>
      <c r="AP408" s="5">
        <v>1.2E-2</v>
      </c>
      <c r="AQ408" s="5">
        <v>5.0000000000000001E-3</v>
      </c>
      <c r="AR408" s="5">
        <v>0.02</v>
      </c>
      <c r="AS408" s="5">
        <v>1.1299999999999999</v>
      </c>
      <c r="AT408" s="5">
        <v>3.3000000000000002E-2</v>
      </c>
      <c r="AU408" s="5">
        <v>1E-3</v>
      </c>
      <c r="AV408" s="5">
        <v>0.01</v>
      </c>
      <c r="AW408" s="5">
        <v>0.02</v>
      </c>
      <c r="AX408" s="5">
        <v>67.7</v>
      </c>
      <c r="AY408" s="5">
        <v>0.1</v>
      </c>
    </row>
    <row r="409" spans="1:51" x14ac:dyDescent="0.25">
      <c r="A409" s="5" t="s">
        <v>52</v>
      </c>
      <c r="B409" s="5" t="s">
        <v>74</v>
      </c>
      <c r="C409" s="5" t="s">
        <v>74</v>
      </c>
      <c r="F409" s="5" t="s">
        <v>55</v>
      </c>
      <c r="G409" s="5" t="s">
        <v>61</v>
      </c>
      <c r="H409" s="5" t="s">
        <v>57</v>
      </c>
      <c r="I409" s="5">
        <v>461</v>
      </c>
      <c r="J409" s="5" t="str">
        <f>IFERROR(VLOOKUP(I409,[1]INFO_LOCALES!$B:$C,2,FALSE),"")</f>
        <v>ZENTENO AUSTRAL</v>
      </c>
      <c r="K409" s="5" t="str">
        <f>IFERROR(VLOOKUP(Tabla2[[#This Row],[TIENDA]],[1]INFO_LOCALES!$B:$D,3,FALSE),"")</f>
        <v>XII - Magallanes</v>
      </c>
      <c r="L409" s="5" t="str">
        <f>IFERROR(VLOOKUP(I409,[1]INFO_LOCALES!$B:$I,8,FALSE),"")</f>
        <v>Punta Arenas</v>
      </c>
      <c r="M409" s="5" t="str">
        <f>IFERROR(VLOOKUP(I409,[1]INFO_LOCALES!$B:$H,7,FALSE),"")</f>
        <v>Capitan Guillermo 05</v>
      </c>
      <c r="N409" s="5">
        <f>IFERROR(VLOOKUP(I409,[1]INFO_LOCALES!$B:$E,4,FALSE),"")</f>
        <v>3736</v>
      </c>
      <c r="O409" s="5" t="str">
        <f>VLOOKUP(Tabla2[[#This Row],[TIENDA]],[1]INFO_LOCALES!$B:$J,9,0)</f>
        <v>SIN CONVENIO</v>
      </c>
      <c r="P409" s="5" t="str">
        <f>IFERROR(VLOOKUP(I409,[1]INFO_LOCALES!$B:$F,5,FALSE),"")</f>
        <v>AGUAS MAGALLANES S.A.</v>
      </c>
      <c r="Q409" s="5" t="s">
        <v>163</v>
      </c>
      <c r="R409" s="5" t="s">
        <v>86</v>
      </c>
      <c r="S409" s="6">
        <v>45674</v>
      </c>
      <c r="T409" s="5" t="str">
        <f>UPPER(IF(Tabla2[[#This Row],[FECHA DE MUESTREO ]]=0,"",TEXT(Tabla2[[#This Row],[FECHA DE MUESTREO ]],("MMMM"))))</f>
        <v>DICIEMBRE</v>
      </c>
      <c r="U409" s="6">
        <v>45639</v>
      </c>
      <c r="V409" s="5" t="s">
        <v>118</v>
      </c>
      <c r="W4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09" s="7">
        <f t="shared" si="13"/>
        <v>1</v>
      </c>
      <c r="Y409" s="5">
        <v>1.18</v>
      </c>
      <c r="Z409" s="5">
        <v>6.91</v>
      </c>
      <c r="AA409" s="5">
        <v>2</v>
      </c>
      <c r="AB409" s="5">
        <v>7.1</v>
      </c>
      <c r="AC409" s="5">
        <v>8.74</v>
      </c>
      <c r="AD409" s="5">
        <v>0.71</v>
      </c>
      <c r="AE409" s="5">
        <v>0.38</v>
      </c>
      <c r="AF409" s="5">
        <v>0.1</v>
      </c>
      <c r="AG409" s="5">
        <v>5</v>
      </c>
      <c r="AH409" s="5">
        <v>1</v>
      </c>
      <c r="AI409" s="5">
        <f>AH409*30</f>
        <v>30</v>
      </c>
      <c r="AJ409" s="5">
        <v>0.41</v>
      </c>
      <c r="AK409" s="5">
        <v>1E-3</v>
      </c>
      <c r="AL409" s="5">
        <v>0.04</v>
      </c>
      <c r="AM409" s="5">
        <v>2E-3</v>
      </c>
      <c r="AN409" s="5">
        <v>0.02</v>
      </c>
      <c r="AO409" s="5">
        <v>9.7000000000000003E-2</v>
      </c>
      <c r="AP409" s="5">
        <v>5.0000000000000001E-3</v>
      </c>
      <c r="AQ409" s="5">
        <v>5.0000000000000001E-3</v>
      </c>
      <c r="AR409" s="5">
        <v>0.02</v>
      </c>
      <c r="AS409" s="5">
        <v>0.97</v>
      </c>
      <c r="AT409" s="5">
        <v>3.5999999999999997E-2</v>
      </c>
      <c r="AU409" s="5">
        <v>1E-3</v>
      </c>
      <c r="AV409" s="5">
        <v>0.01</v>
      </c>
      <c r="AW409" s="5">
        <v>0.02</v>
      </c>
      <c r="AX409" s="5">
        <v>58.7</v>
      </c>
      <c r="AY409" s="5">
        <v>0.1</v>
      </c>
    </row>
    <row r="410" spans="1:51" x14ac:dyDescent="0.25">
      <c r="A410" s="5" t="s">
        <v>52</v>
      </c>
      <c r="B410" s="5" t="e">
        <v>#N/A</v>
      </c>
      <c r="C410" s="5" t="e">
        <v>#N/A</v>
      </c>
      <c r="F410" s="5" t="s">
        <v>55</v>
      </c>
      <c r="G410" s="5" t="s">
        <v>65</v>
      </c>
      <c r="H410" s="5" t="s">
        <v>57</v>
      </c>
      <c r="I410" s="5">
        <v>790</v>
      </c>
      <c r="J410" s="5" t="str">
        <f>IFERROR(VLOOKUP(I410,[1]INFO_LOCALES!$B:$C,2,FALSE),"")</f>
        <v>VALDIVIA III</v>
      </c>
      <c r="K410" s="5" t="str">
        <f>IFERROR(VLOOKUP(Tabla2[[#This Row],[TIENDA]],[1]INFO_LOCALES!$B:$D,3,FALSE),"")</f>
        <v>XIV - Los Ríos</v>
      </c>
      <c r="L410" s="5" t="str">
        <f>IFERROR(VLOOKUP(I410,[1]INFO_LOCALES!$B:$I,8,FALSE),"")</f>
        <v>Valdivia</v>
      </c>
      <c r="M410" s="5" t="str">
        <f>IFERROR(VLOOKUP(I410,[1]INFO_LOCALES!$B:$H,7,FALSE),"")</f>
        <v>Rene Schneider 3722</v>
      </c>
      <c r="N410" s="5">
        <f>IFERROR(VLOOKUP(I410,[1]INFO_LOCALES!$B:$E,4,FALSE),"")</f>
        <v>0</v>
      </c>
      <c r="O410" s="5" t="str">
        <f>VLOOKUP(Tabla2[[#This Row],[TIENDA]],[1]INFO_LOCALES!$B:$J,9,0)</f>
        <v>SIN CONVENIO</v>
      </c>
      <c r="P410" s="5" t="str">
        <f>IFERROR(VLOOKUP(I410,[1]INFO_LOCALES!$B:$F,5,FALSE),"")</f>
        <v>AGUAS DECIMA S A</v>
      </c>
      <c r="Q410" s="5" t="s">
        <v>85</v>
      </c>
      <c r="R410" s="5" t="s">
        <v>86</v>
      </c>
      <c r="S410" s="6">
        <v>45672</v>
      </c>
      <c r="T410" s="5" t="str">
        <f>UPPER(IF(Tabla2[[#This Row],[FECHA DE MUESTREO ]]=0,"",TEXT(Tabla2[[#This Row],[FECHA DE MUESTREO ]],("MMMM"))))</f>
        <v>DICIEMBRE</v>
      </c>
      <c r="U410" s="6">
        <v>45641</v>
      </c>
      <c r="V410" s="5" t="s">
        <v>59</v>
      </c>
      <c r="W4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10" s="7">
        <f t="shared" si="13"/>
        <v>3</v>
      </c>
      <c r="Y410" s="5">
        <v>10.5</v>
      </c>
      <c r="Z410" s="5">
        <v>6.94</v>
      </c>
      <c r="AA410" s="5">
        <v>38</v>
      </c>
      <c r="AB410" s="5">
        <v>18.11</v>
      </c>
      <c r="AC410" s="5">
        <v>140</v>
      </c>
      <c r="AD410" s="5">
        <v>8.19</v>
      </c>
      <c r="AE410" s="5">
        <v>5</v>
      </c>
      <c r="AF410" s="5">
        <v>0.5</v>
      </c>
      <c r="AG410" s="5">
        <v>76</v>
      </c>
      <c r="AH410" s="5">
        <v>1.4</v>
      </c>
      <c r="AI410" s="5">
        <f>AH410*30</f>
        <v>42</v>
      </c>
    </row>
    <row r="411" spans="1:51" x14ac:dyDescent="0.25">
      <c r="A411" s="5" t="s">
        <v>52</v>
      </c>
      <c r="B411" s="5" t="s">
        <v>82</v>
      </c>
      <c r="C411" s="5" t="s">
        <v>77</v>
      </c>
      <c r="F411" s="5" t="s">
        <v>55</v>
      </c>
      <c r="G411" s="5" t="s">
        <v>65</v>
      </c>
      <c r="H411" s="5" t="s">
        <v>57</v>
      </c>
      <c r="I411" s="5">
        <v>14</v>
      </c>
      <c r="J411" s="5" t="str">
        <f>IFERROR(VLOOKUP(I411,[1]INFO_LOCALES!$B:$C,2,FALSE),"")</f>
        <v>COPIAPO</v>
      </c>
      <c r="K411" s="5" t="str">
        <f>IFERROR(VLOOKUP(Tabla2[[#This Row],[TIENDA]],[1]INFO_LOCALES!$B:$D,3,FALSE),"")</f>
        <v>III - Atacama</v>
      </c>
      <c r="L411" s="5" t="str">
        <f>IFERROR(VLOOKUP(I411,[1]INFO_LOCALES!$B:$I,8,FALSE),"")</f>
        <v>Copiapó</v>
      </c>
      <c r="M411" s="5" t="str">
        <f>IFERROR(VLOOKUP(I411,[1]INFO_LOCALES!$B:$H,7,FALSE),"")</f>
        <v>Av. Henrriquez N° 523</v>
      </c>
      <c r="N411" s="5">
        <f>IFERROR(VLOOKUP(I411,[1]INFO_LOCALES!$B:$E,4,FALSE),"")</f>
        <v>0</v>
      </c>
      <c r="O411" s="5" t="str">
        <f>VLOOKUP(Tabla2[[#This Row],[TIENDA]],[1]INFO_LOCALES!$B:$J,9,0)</f>
        <v>CONVENIO</v>
      </c>
      <c r="P411" s="5" t="str">
        <f>IFERROR(VLOOKUP(I411,[1]INFO_LOCALES!$B:$F,5,FALSE),"")</f>
        <v>NUEVA ATACAMA</v>
      </c>
      <c r="Q411" s="5" t="s">
        <v>66</v>
      </c>
      <c r="R411" s="5" t="s">
        <v>58</v>
      </c>
      <c r="S411" s="6">
        <v>45674</v>
      </c>
      <c r="T411" s="5" t="str">
        <f>UPPER(IF(Tabla2[[#This Row],[FECHA DE MUESTREO ]]=0,"",TEXT(Tabla2[[#This Row],[FECHA DE MUESTREO ]],("MMMM"))))</f>
        <v>DICIEMBRE</v>
      </c>
      <c r="U411" s="6">
        <v>45642</v>
      </c>
      <c r="V411" s="5" t="s">
        <v>59</v>
      </c>
      <c r="W4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11" s="7">
        <f t="shared" si="13"/>
        <v>1</v>
      </c>
      <c r="Y411" s="5">
        <v>25.8</v>
      </c>
      <c r="Z411" s="5">
        <v>7.08</v>
      </c>
      <c r="AA411" s="5">
        <v>5</v>
      </c>
      <c r="AB411" s="5">
        <v>22.24</v>
      </c>
      <c r="AC411" s="5">
        <v>257</v>
      </c>
      <c r="AD411" s="5">
        <v>7.9</v>
      </c>
      <c r="AE411" s="5">
        <v>27.76</v>
      </c>
      <c r="AF411" s="5">
        <v>0.5</v>
      </c>
      <c r="AG411" s="5">
        <v>52.7</v>
      </c>
      <c r="AH411" s="5">
        <v>7430.4</v>
      </c>
      <c r="AI411" s="5">
        <v>222912</v>
      </c>
    </row>
    <row r="412" spans="1:51" x14ac:dyDescent="0.25">
      <c r="A412" s="5" t="s">
        <v>52</v>
      </c>
      <c r="B412" s="5" t="s">
        <v>76</v>
      </c>
      <c r="C412" s="5" t="s">
        <v>77</v>
      </c>
      <c r="F412" s="5" t="s">
        <v>55</v>
      </c>
      <c r="G412" s="5" t="s">
        <v>61</v>
      </c>
      <c r="H412" s="5" t="s">
        <v>57</v>
      </c>
      <c r="I412" s="5">
        <v>106</v>
      </c>
      <c r="J412" s="5" t="str">
        <f>IFERROR(VLOOKUP(I412,[1]INFO_LOCALES!$B:$C,2,FALSE),"")</f>
        <v>LOS MOLLES</v>
      </c>
      <c r="K412" s="5" t="str">
        <f>IFERROR(VLOOKUP(Tabla2[[#This Row],[TIENDA]],[1]INFO_LOCALES!$B:$D,3,FALSE),"")</f>
        <v>I - Tarapacá</v>
      </c>
      <c r="L412" s="5" t="str">
        <f>IFERROR(VLOOKUP(I412,[1]INFO_LOCALES!$B:$I,8,FALSE),"")</f>
        <v>Iquique</v>
      </c>
      <c r="M412" s="5" t="str">
        <f>IFERROR(VLOOKUP(I412,[1]INFO_LOCALES!$B:$H,7,FALSE),"")</f>
        <v>Santiago Polanco 2251</v>
      </c>
      <c r="N412" s="5">
        <f>IFERROR(VLOOKUP(I412,[1]INFO_LOCALES!$B:$E,4,FALSE),"")</f>
        <v>4050</v>
      </c>
      <c r="O412" s="5" t="str">
        <f>VLOOKUP(Tabla2[[#This Row],[TIENDA]],[1]INFO_LOCALES!$B:$J,9,0)</f>
        <v>CONVENIO</v>
      </c>
      <c r="P412" s="5" t="str">
        <f>IFERROR(VLOOKUP(I412,[1]INFO_LOCALES!$B:$F,5,FALSE),"")</f>
        <v>AGUAS DEL ALTIPLANO S.A.</v>
      </c>
      <c r="Q412" s="5" t="s">
        <v>85</v>
      </c>
      <c r="R412" s="5" t="s">
        <v>86</v>
      </c>
      <c r="S412" s="6">
        <v>45667</v>
      </c>
      <c r="T412" s="5" t="str">
        <f>UPPER(IF(Tabla2[[#This Row],[FECHA DE MUESTREO ]]=0,"",TEXT(Tabla2[[#This Row],[FECHA DE MUESTREO ]],("MMMM"))))</f>
        <v>DICIEMBRE</v>
      </c>
      <c r="U412" s="6">
        <v>45642</v>
      </c>
      <c r="V412" s="5" t="s">
        <v>118</v>
      </c>
      <c r="W4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12" s="7">
        <f t="shared" si="13"/>
        <v>2</v>
      </c>
      <c r="Y412" s="5">
        <v>33.9</v>
      </c>
      <c r="Z412" s="5">
        <v>6.92</v>
      </c>
      <c r="AA412" s="5">
        <v>2</v>
      </c>
      <c r="AB412" s="5">
        <v>23.66</v>
      </c>
      <c r="AC412" s="5">
        <v>368</v>
      </c>
      <c r="AD412" s="5">
        <v>7.7</v>
      </c>
      <c r="AE412" s="5">
        <v>30.14</v>
      </c>
      <c r="AF412" s="5">
        <v>7.5</v>
      </c>
      <c r="AG412" s="5">
        <v>470</v>
      </c>
      <c r="AH412" s="5">
        <v>0.46</v>
      </c>
      <c r="AI412" s="5">
        <f>AH412*30</f>
        <v>13.8</v>
      </c>
      <c r="AJ412" s="5">
        <v>5.6551999999999998</v>
      </c>
      <c r="AK412" s="5">
        <v>1.4E-2</v>
      </c>
      <c r="AL412" s="5">
        <v>2.9895</v>
      </c>
      <c r="AM412" s="5">
        <v>0.01</v>
      </c>
      <c r="AN412" s="5">
        <v>0.1</v>
      </c>
      <c r="AO412" s="5">
        <v>1.5934999999999999</v>
      </c>
      <c r="AP412" s="5">
        <v>0.1802</v>
      </c>
      <c r="AQ412" s="5">
        <v>0.05</v>
      </c>
      <c r="AR412" s="5">
        <v>0.05</v>
      </c>
      <c r="AS412" s="5">
        <v>10</v>
      </c>
      <c r="AT412" s="5">
        <v>9.9299999999999999E-2</v>
      </c>
      <c r="AU412" s="5">
        <v>1E-3</v>
      </c>
      <c r="AV412" s="5">
        <v>0.05</v>
      </c>
      <c r="AW412" s="5">
        <v>0.05</v>
      </c>
      <c r="AX412" s="5">
        <v>10</v>
      </c>
      <c r="AY412" s="5">
        <v>0.5</v>
      </c>
    </row>
    <row r="413" spans="1:51" x14ac:dyDescent="0.25">
      <c r="A413" s="5" t="s">
        <v>52</v>
      </c>
      <c r="B413" s="5" t="s">
        <v>76</v>
      </c>
      <c r="C413" s="5" t="s">
        <v>77</v>
      </c>
      <c r="F413" s="5" t="s">
        <v>55</v>
      </c>
      <c r="G413" s="5" t="s">
        <v>61</v>
      </c>
      <c r="H413" s="5" t="s">
        <v>57</v>
      </c>
      <c r="I413" s="5">
        <v>106</v>
      </c>
      <c r="J413" s="5" t="str">
        <f>IFERROR(VLOOKUP(I413,[1]INFO_LOCALES!$B:$C,2,FALSE),"")</f>
        <v>LOS MOLLES</v>
      </c>
      <c r="K413" s="5" t="str">
        <f>IFERROR(VLOOKUP(Tabla2[[#This Row],[TIENDA]],[1]INFO_LOCALES!$B:$D,3,FALSE),"")</f>
        <v>I - Tarapacá</v>
      </c>
      <c r="L413" s="5" t="str">
        <f>IFERROR(VLOOKUP(I413,[1]INFO_LOCALES!$B:$I,8,FALSE),"")</f>
        <v>Iquique</v>
      </c>
      <c r="M413" s="5" t="str">
        <f>IFERROR(VLOOKUP(I413,[1]INFO_LOCALES!$B:$H,7,FALSE),"")</f>
        <v>Santiago Polanco 2251</v>
      </c>
      <c r="N413" s="5">
        <f>IFERROR(VLOOKUP(I413,[1]INFO_LOCALES!$B:$E,4,FALSE),"")</f>
        <v>4050</v>
      </c>
      <c r="O413" s="5" t="str">
        <f>VLOOKUP(Tabla2[[#This Row],[TIENDA]],[1]INFO_LOCALES!$B:$J,9,0)</f>
        <v>CONVENIO</v>
      </c>
      <c r="P413" s="5" t="str">
        <f>IFERROR(VLOOKUP(I413,[1]INFO_LOCALES!$B:$F,5,FALSE),"")</f>
        <v>AGUAS DEL ALTIPLANO S.A.</v>
      </c>
      <c r="Q413" s="5" t="s">
        <v>85</v>
      </c>
      <c r="R413" s="5" t="s">
        <v>86</v>
      </c>
      <c r="S413" s="6">
        <v>45667</v>
      </c>
      <c r="T413" s="5" t="str">
        <f>UPPER(IF(Tabla2[[#This Row],[FECHA DE MUESTREO ]]=0,"",TEXT(Tabla2[[#This Row],[FECHA DE MUESTREO ]],("MMMM"))))</f>
        <v>DICIEMBRE</v>
      </c>
      <c r="U413" s="6">
        <v>45642</v>
      </c>
      <c r="V413" s="5" t="s">
        <v>118</v>
      </c>
      <c r="W4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13" s="7">
        <f t="shared" si="13"/>
        <v>2</v>
      </c>
      <c r="Y413" s="5">
        <v>33.9</v>
      </c>
      <c r="Z413" s="5">
        <v>6.92</v>
      </c>
      <c r="AA413" s="5">
        <v>2</v>
      </c>
      <c r="AB413" s="5">
        <v>23.66</v>
      </c>
      <c r="AC413" s="5">
        <v>368</v>
      </c>
      <c r="AD413" s="5">
        <v>7.7</v>
      </c>
      <c r="AE413" s="5">
        <v>30.14</v>
      </c>
      <c r="AF413" s="5">
        <v>7.5</v>
      </c>
      <c r="AG413" s="5">
        <v>470</v>
      </c>
      <c r="AH413" s="5">
        <v>0.46</v>
      </c>
      <c r="AI413" s="5">
        <v>13.8</v>
      </c>
      <c r="AJ413" s="5">
        <v>5.6551999999999998</v>
      </c>
      <c r="AK413" s="5">
        <v>1.4E-2</v>
      </c>
      <c r="AL413" s="5">
        <v>2.9895</v>
      </c>
      <c r="AM413" s="5">
        <v>0.01</v>
      </c>
      <c r="AN413" s="5">
        <v>0.1</v>
      </c>
      <c r="AO413" s="5">
        <v>1.5934999999999999</v>
      </c>
      <c r="AP413" s="5">
        <v>0.1802</v>
      </c>
      <c r="AQ413" s="5">
        <v>0.05</v>
      </c>
      <c r="AR413" s="5">
        <v>0.05</v>
      </c>
      <c r="AS413" s="5">
        <v>10</v>
      </c>
      <c r="AT413" s="5">
        <v>9.9299999999999999E-2</v>
      </c>
      <c r="AU413" s="5">
        <v>1E-3</v>
      </c>
      <c r="AV413" s="5">
        <v>0.05</v>
      </c>
      <c r="AW413" s="5">
        <v>0.05</v>
      </c>
      <c r="AX413" s="5">
        <v>10</v>
      </c>
      <c r="AY413" s="5">
        <v>0.5</v>
      </c>
    </row>
    <row r="414" spans="1:51" x14ac:dyDescent="0.25">
      <c r="A414" s="5" t="s">
        <v>52</v>
      </c>
      <c r="B414" s="5" t="s">
        <v>128</v>
      </c>
      <c r="C414" s="5" t="s">
        <v>77</v>
      </c>
      <c r="F414" s="5" t="s">
        <v>55</v>
      </c>
      <c r="G414" s="5" t="s">
        <v>61</v>
      </c>
      <c r="H414" s="5" t="s">
        <v>57</v>
      </c>
      <c r="I414" s="5">
        <v>5</v>
      </c>
      <c r="J414" s="5" t="str">
        <f>IFERROR(VLOOKUP(I414,[1]INFO_LOCALES!$B:$C,2,FALSE),"")</f>
        <v>LAS COMPAÑIAS</v>
      </c>
      <c r="K414" s="5" t="str">
        <f>IFERROR(VLOOKUP(Tabla2[[#This Row],[TIENDA]],[1]INFO_LOCALES!$B:$D,3,FALSE),"")</f>
        <v>IV - Coquimbo</v>
      </c>
      <c r="L414" s="5" t="str">
        <f>IFERROR(VLOOKUP(I414,[1]INFO_LOCALES!$B:$I,8,FALSE),"")</f>
        <v>La Serena</v>
      </c>
      <c r="M414" s="5" t="str">
        <f>IFERROR(VLOOKUP(I414,[1]INFO_LOCALES!$B:$H,7,FALSE),"")</f>
        <v>Nicaragua 1571</v>
      </c>
      <c r="N414" s="5">
        <f>IFERROR(VLOOKUP(I414,[1]INFO_LOCALES!$B:$E,4,FALSE),"")</f>
        <v>2644</v>
      </c>
      <c r="O414" s="5" t="str">
        <f>VLOOKUP(Tabla2[[#This Row],[TIENDA]],[1]INFO_LOCALES!$B:$J,9,0)</f>
        <v>SIN CONVENIO</v>
      </c>
      <c r="P414" s="5" t="str">
        <f>IFERROR(VLOOKUP(I414,[1]INFO_LOCALES!$B:$F,5,FALSE),"")</f>
        <v>AGUAS DEL VALLE S A</v>
      </c>
      <c r="Q414" s="5" t="s">
        <v>85</v>
      </c>
      <c r="R414" s="5" t="s">
        <v>86</v>
      </c>
      <c r="S414" s="6">
        <v>45319</v>
      </c>
      <c r="T414" s="5" t="s">
        <v>88</v>
      </c>
      <c r="U414" s="6">
        <v>45642</v>
      </c>
      <c r="V414" s="5" t="s">
        <v>118</v>
      </c>
      <c r="W4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14" s="7">
        <f t="shared" si="13"/>
        <v>1</v>
      </c>
      <c r="Y414" s="5">
        <v>35.200000000000003</v>
      </c>
      <c r="Z414" s="5">
        <v>8.01</v>
      </c>
      <c r="AA414" s="5">
        <v>7</v>
      </c>
      <c r="AB414" s="5">
        <v>19.11</v>
      </c>
      <c r="AC414" s="5">
        <v>172</v>
      </c>
      <c r="AD414" s="5">
        <v>9.8000000000000007</v>
      </c>
      <c r="AE414" s="5">
        <v>46.65</v>
      </c>
      <c r="AF414" s="5">
        <v>0.6</v>
      </c>
      <c r="AG414" s="5">
        <v>188.6</v>
      </c>
      <c r="AH414" s="5">
        <v>1.2</v>
      </c>
      <c r="AI414" s="5">
        <v>36</v>
      </c>
      <c r="AJ414" s="5">
        <v>0.1</v>
      </c>
      <c r="AK414" s="5">
        <v>4.0000000000000001E-3</v>
      </c>
      <c r="AL414" s="5">
        <v>0.49969999999999998</v>
      </c>
      <c r="AM414" s="5">
        <v>0.01</v>
      </c>
      <c r="AN414" s="5">
        <v>0.1</v>
      </c>
      <c r="AO414" s="5">
        <v>0.14799999999999999</v>
      </c>
      <c r="AP414" s="5">
        <v>0.05</v>
      </c>
      <c r="AQ414" s="5">
        <v>0.05</v>
      </c>
      <c r="AR414" s="5">
        <v>0.05</v>
      </c>
      <c r="AS414" s="5">
        <v>10</v>
      </c>
      <c r="AT414" s="5">
        <v>2.2499999999999999E-2</v>
      </c>
      <c r="AU414" s="5">
        <v>1E-3</v>
      </c>
      <c r="AV414" s="5">
        <v>0.05</v>
      </c>
      <c r="AW414" s="5">
        <v>0.05</v>
      </c>
      <c r="AX414" s="5">
        <v>321</v>
      </c>
      <c r="AY414" s="5">
        <v>0.5</v>
      </c>
    </row>
    <row r="415" spans="1:51" x14ac:dyDescent="0.25">
      <c r="A415" s="5" t="s">
        <v>52</v>
      </c>
      <c r="B415" s="5" t="s">
        <v>149</v>
      </c>
      <c r="C415" s="5" t="s">
        <v>81</v>
      </c>
      <c r="F415" s="5" t="s">
        <v>55</v>
      </c>
      <c r="G415" s="5" t="s">
        <v>61</v>
      </c>
      <c r="H415" s="5" t="s">
        <v>57</v>
      </c>
      <c r="I415" s="5">
        <v>771</v>
      </c>
      <c r="J415" s="5" t="str">
        <f>IFERROR(VLOOKUP(I415,[1]INFO_LOCALES!$B:$C,2,FALSE),"")</f>
        <v>MIRASOL</v>
      </c>
      <c r="K415" s="5" t="str">
        <f>IFERROR(VLOOKUP(Tabla2[[#This Row],[TIENDA]],[1]INFO_LOCALES!$B:$D,3,FALSE),"")</f>
        <v>X - Los Lagos</v>
      </c>
      <c r="L415" s="5" t="str">
        <f>IFERROR(VLOOKUP(I415,[1]INFO_LOCALES!$B:$I,8,FALSE),"")</f>
        <v>Puerto Montt</v>
      </c>
      <c r="M415" s="5" t="str">
        <f>IFERROR(VLOOKUP(I415,[1]INFO_LOCALES!$B:$H,7,FALSE),"")</f>
        <v>Av. La Cruz 2006</v>
      </c>
      <c r="N415" s="5">
        <f>IFERROR(VLOOKUP(I415,[1]INFO_LOCALES!$B:$E,4,FALSE),"")</f>
        <v>3723</v>
      </c>
      <c r="O415" s="5" t="str">
        <f>VLOOKUP(Tabla2[[#This Row],[TIENDA]],[1]INFO_LOCALES!$B:$J,9,0)</f>
        <v>SIN CONVENIO</v>
      </c>
      <c r="P415" s="5" t="str">
        <f>IFERROR(VLOOKUP(I415,[1]INFO_LOCALES!$B:$F,5,FALSE),"")</f>
        <v>SURALIS</v>
      </c>
      <c r="Q415" s="5" t="s">
        <v>85</v>
      </c>
      <c r="R415" s="5" t="s">
        <v>86</v>
      </c>
      <c r="S415" s="6">
        <v>45678</v>
      </c>
      <c r="T415" s="5" t="str">
        <f>UPPER(IF(Tabla2[[#This Row],[FECHA DE MUESTREO ]]=0,"",TEXT(Tabla2[[#This Row],[FECHA DE MUESTREO ]],("MMMM"))))</f>
        <v>DICIEMBRE</v>
      </c>
      <c r="U415" s="6">
        <v>45642</v>
      </c>
      <c r="V415" s="5" t="s">
        <v>118</v>
      </c>
      <c r="W4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15" s="7">
        <f t="shared" si="13"/>
        <v>2</v>
      </c>
      <c r="Y415" s="5">
        <v>2</v>
      </c>
      <c r="Z415" s="5">
        <v>7.36</v>
      </c>
      <c r="AA415" s="5">
        <v>10</v>
      </c>
      <c r="AB415" s="5">
        <v>14.76</v>
      </c>
      <c r="AC415" s="5">
        <v>72</v>
      </c>
      <c r="AD415" s="5">
        <v>8.11</v>
      </c>
      <c r="AE415" s="5">
        <v>86.9</v>
      </c>
      <c r="AF415" s="5">
        <v>0.5</v>
      </c>
      <c r="AG415" s="5">
        <v>41</v>
      </c>
      <c r="AH415" s="5">
        <v>3</v>
      </c>
      <c r="AI415" s="5">
        <f>AH415*30</f>
        <v>90</v>
      </c>
      <c r="AJ415" s="5">
        <v>0.23469999999999999</v>
      </c>
      <c r="AK415" s="5">
        <v>2E-3</v>
      </c>
      <c r="AL415" s="5">
        <v>0.1</v>
      </c>
      <c r="AM415" s="5">
        <v>0.01</v>
      </c>
      <c r="AN415" s="5">
        <v>0.1</v>
      </c>
      <c r="AO415" s="5">
        <v>0.08</v>
      </c>
      <c r="AP415" s="5">
        <v>5.8999999999999997E-2</v>
      </c>
      <c r="AQ415" s="5">
        <v>0.05</v>
      </c>
      <c r="AR415" s="5">
        <v>0.05</v>
      </c>
      <c r="AS415" s="5">
        <v>10</v>
      </c>
      <c r="AT415" s="5">
        <v>0.01</v>
      </c>
      <c r="AU415" s="5">
        <v>1E-3</v>
      </c>
      <c r="AV415" s="5">
        <v>0.05</v>
      </c>
      <c r="AW415" s="5">
        <v>0.05</v>
      </c>
      <c r="AX415" s="5">
        <v>16.5</v>
      </c>
      <c r="AY415" s="5">
        <v>0.5</v>
      </c>
    </row>
    <row r="416" spans="1:51" x14ac:dyDescent="0.25">
      <c r="A416" s="5" t="s">
        <v>52</v>
      </c>
      <c r="B416" s="5" t="s">
        <v>82</v>
      </c>
      <c r="C416" s="5" t="s">
        <v>77</v>
      </c>
      <c r="F416" s="5" t="s">
        <v>55</v>
      </c>
      <c r="G416" s="5" t="s">
        <v>65</v>
      </c>
      <c r="H416" s="5" t="s">
        <v>57</v>
      </c>
      <c r="I416" s="5">
        <v>472</v>
      </c>
      <c r="J416" s="5" t="str">
        <f>IFERROR(VLOOKUP(I416,[1]INFO_LOCALES!$B:$C,2,FALSE),"")</f>
        <v>CALDERA I</v>
      </c>
      <c r="K416" s="5" t="str">
        <f>IFERROR(VLOOKUP(Tabla2[[#This Row],[TIENDA]],[1]INFO_LOCALES!$B:$D,3,FALSE),"")</f>
        <v>III - Atacama</v>
      </c>
      <c r="L416" s="5" t="str">
        <f>IFERROR(VLOOKUP(I416,[1]INFO_LOCALES!$B:$I,8,FALSE),"")</f>
        <v>Caldera</v>
      </c>
      <c r="M416" s="5" t="str">
        <f>IFERROR(VLOOKUP(I416,[1]INFO_LOCALES!$B:$H,7,FALSE),"")</f>
        <v>Batallon Atacama 319</v>
      </c>
      <c r="N416" s="5">
        <f>IFERROR(VLOOKUP(I416,[1]INFO_LOCALES!$B:$E,4,FALSE),"")</f>
        <v>0</v>
      </c>
      <c r="O416" s="5" t="str">
        <f>VLOOKUP(Tabla2[[#This Row],[TIENDA]],[1]INFO_LOCALES!$B:$J,9,0)</f>
        <v>CONVENIO</v>
      </c>
      <c r="P416" s="5" t="str">
        <f>IFERROR(VLOOKUP(I416,[1]INFO_LOCALES!$B:$F,5,FALSE),"")</f>
        <v>NUEVA ATACAMA</v>
      </c>
      <c r="Q416" s="5" t="s">
        <v>85</v>
      </c>
      <c r="R416" s="5" t="s">
        <v>86</v>
      </c>
      <c r="S416" s="6">
        <v>45671</v>
      </c>
      <c r="T416" s="5" t="str">
        <f>UPPER(IF(Tabla2[[#This Row],[FECHA DE MUESTREO ]]=0,"",TEXT(Tabla2[[#This Row],[FECHA DE MUESTREO ]],("MMMM"))))</f>
        <v>DICIEMBRE</v>
      </c>
      <c r="U416" s="6">
        <v>45642</v>
      </c>
      <c r="V416" s="5" t="s">
        <v>59</v>
      </c>
      <c r="W4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16" s="7">
        <f t="shared" si="13"/>
        <v>3</v>
      </c>
      <c r="Y416" s="5">
        <v>10</v>
      </c>
      <c r="Z416" s="5">
        <v>7.05</v>
      </c>
      <c r="AA416" s="5">
        <v>15</v>
      </c>
      <c r="AB416" s="5">
        <v>22.05</v>
      </c>
      <c r="AC416" s="5">
        <v>207</v>
      </c>
      <c r="AD416" s="5">
        <v>18.3</v>
      </c>
      <c r="AE416" s="5">
        <v>56.67</v>
      </c>
      <c r="AF416" s="5">
        <v>0.5</v>
      </c>
      <c r="AG416" s="5">
        <v>127.5</v>
      </c>
      <c r="AH416" s="5">
        <v>0.98</v>
      </c>
      <c r="AI416" s="5">
        <f>AH416*30</f>
        <v>29.4</v>
      </c>
    </row>
    <row r="417" spans="1:51" x14ac:dyDescent="0.25">
      <c r="A417" s="5" t="s">
        <v>52</v>
      </c>
      <c r="B417" s="5" t="s">
        <v>82</v>
      </c>
      <c r="C417" s="5" t="s">
        <v>77</v>
      </c>
      <c r="F417" s="5" t="s">
        <v>55</v>
      </c>
      <c r="G417" s="5" t="s">
        <v>65</v>
      </c>
      <c r="H417" s="5" t="s">
        <v>57</v>
      </c>
      <c r="I417" s="5">
        <v>32</v>
      </c>
      <c r="J417" s="5" t="str">
        <f>IFERROR(VLOOKUP(I417,[1]INFO_LOCALES!$B:$C,2,FALSE),"")</f>
        <v>CHAÑARCILLO</v>
      </c>
      <c r="K417" s="5" t="str">
        <f>IFERROR(VLOOKUP(Tabla2[[#This Row],[TIENDA]],[1]INFO_LOCALES!$B:$D,3,FALSE),"")</f>
        <v>III - Atacama</v>
      </c>
      <c r="L417" s="5" t="str">
        <f>IFERROR(VLOOKUP(I417,[1]INFO_LOCALES!$B:$I,8,FALSE),"")</f>
        <v>Copiapó</v>
      </c>
      <c r="M417" s="5" t="str">
        <f>IFERROR(VLOOKUP(I417,[1]INFO_LOCALES!$B:$H,7,FALSE),"")</f>
        <v>Chacabuco Nº 231</v>
      </c>
      <c r="N417" s="5">
        <f>IFERROR(VLOOKUP(I417,[1]INFO_LOCALES!$B:$E,4,FALSE),"")</f>
        <v>0</v>
      </c>
      <c r="O417" s="5" t="str">
        <f>VLOOKUP(Tabla2[[#This Row],[TIENDA]],[1]INFO_LOCALES!$B:$J,9,0)</f>
        <v>CONVENIO</v>
      </c>
      <c r="P417" s="5" t="str">
        <f>IFERROR(VLOOKUP(I417,[1]INFO_LOCALES!$B:$F,5,FALSE),"")</f>
        <v>NUEVA ATACAMA</v>
      </c>
      <c r="Q417" s="5" t="s">
        <v>85</v>
      </c>
      <c r="R417" s="5" t="s">
        <v>86</v>
      </c>
      <c r="S417" s="6">
        <v>45670</v>
      </c>
      <c r="T417" s="5" t="str">
        <f>UPPER(IF(Tabla2[[#This Row],[FECHA DE MUESTREO ]]=0,"",TEXT(Tabla2[[#This Row],[FECHA DE MUESTREO ]],("MMMM"))))</f>
        <v>DICIEMBRE</v>
      </c>
      <c r="U417" s="6">
        <v>45644</v>
      </c>
      <c r="V417" s="5" t="s">
        <v>118</v>
      </c>
      <c r="W4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17" s="7">
        <f t="shared" si="13"/>
        <v>1</v>
      </c>
      <c r="Y417" s="5">
        <v>5.2</v>
      </c>
      <c r="AI417" s="5">
        <f>AH417*30</f>
        <v>0</v>
      </c>
    </row>
    <row r="418" spans="1:51" x14ac:dyDescent="0.25">
      <c r="A418" s="5" t="s">
        <v>52</v>
      </c>
      <c r="B418" s="5" t="s">
        <v>76</v>
      </c>
      <c r="C418" s="5" t="s">
        <v>77</v>
      </c>
      <c r="F418" s="5" t="s">
        <v>55</v>
      </c>
      <c r="G418" s="5" t="s">
        <v>61</v>
      </c>
      <c r="H418" s="5" t="s">
        <v>57</v>
      </c>
      <c r="I418" s="5">
        <v>86</v>
      </c>
      <c r="J418" s="5" t="str">
        <f>IFERROR(VLOOKUP(I418,[1]INFO_LOCALES!$B:$C,2,FALSE),"")</f>
        <v>BILBAO</v>
      </c>
      <c r="K418" s="5" t="str">
        <f>IFERROR(VLOOKUP(Tabla2[[#This Row],[TIENDA]],[1]INFO_LOCALES!$B:$D,3,FALSE),"")</f>
        <v>I - Tarapacá</v>
      </c>
      <c r="L418" s="5" t="str">
        <f>IFERROR(VLOOKUP(I418,[1]INFO_LOCALES!$B:$I,8,FALSE),"")</f>
        <v>Iquique</v>
      </c>
      <c r="M418" s="5" t="str">
        <f>IFERROR(VLOOKUP(I418,[1]INFO_LOCALES!$B:$H,7,FALSE),"")</f>
        <v>Fco.Bilbao 3545</v>
      </c>
      <c r="N418" s="5">
        <f>IFERROR(VLOOKUP(I418,[1]INFO_LOCALES!$B:$E,4,FALSE),"")</f>
        <v>4049</v>
      </c>
      <c r="O418" s="5" t="str">
        <f>VLOOKUP(Tabla2[[#This Row],[TIENDA]],[1]INFO_LOCALES!$B:$J,9,0)</f>
        <v>CONVENIO</v>
      </c>
      <c r="P418" s="5" t="str">
        <f>IFERROR(VLOOKUP(I418,[1]INFO_LOCALES!$B:$F,5,FALSE),"")</f>
        <v>AGUAS DEL ALTIPLANO S.A.</v>
      </c>
      <c r="Q418" s="5" t="s">
        <v>85</v>
      </c>
      <c r="R418" s="5" t="s">
        <v>86</v>
      </c>
      <c r="S418" s="6">
        <v>45668</v>
      </c>
      <c r="T418" s="5" t="str">
        <f>UPPER(IF(Tabla2[[#This Row],[FECHA DE MUESTREO ]]=0,"",TEXT(Tabla2[[#This Row],[FECHA DE MUESTREO ]],("MMMM"))))</f>
        <v>DICIEMBRE</v>
      </c>
      <c r="U418" s="6">
        <v>45644</v>
      </c>
      <c r="V418" s="5" t="s">
        <v>118</v>
      </c>
      <c r="W4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18" s="7">
        <f t="shared" si="13"/>
        <v>1</v>
      </c>
      <c r="Y418" s="5">
        <v>5.2</v>
      </c>
      <c r="Z418" s="5">
        <v>6.91</v>
      </c>
      <c r="AA418" s="5">
        <v>4</v>
      </c>
      <c r="AB418" s="5">
        <v>23.54</v>
      </c>
      <c r="AC418" s="5">
        <v>82</v>
      </c>
      <c r="AD418" s="5">
        <v>2.5</v>
      </c>
      <c r="AE418" s="5">
        <v>5</v>
      </c>
      <c r="AF418" s="5">
        <v>1</v>
      </c>
      <c r="AG418" s="5">
        <v>29.2</v>
      </c>
      <c r="AH418" s="5">
        <v>0.39</v>
      </c>
      <c r="AI418" s="5">
        <f>AH418*30</f>
        <v>11.700000000000001</v>
      </c>
      <c r="AJ418" s="5">
        <v>0.34660000000000002</v>
      </c>
      <c r="AK418" s="5">
        <v>7.0000000000000001E-3</v>
      </c>
      <c r="AL418" s="5">
        <v>2.1694</v>
      </c>
      <c r="AM418" s="5">
        <v>0.01</v>
      </c>
      <c r="AN418" s="5">
        <v>0.1</v>
      </c>
      <c r="AO418" s="5">
        <v>0.25469999999999998</v>
      </c>
      <c r="AP418" s="5">
        <v>5.3600000000000002E-2</v>
      </c>
      <c r="AQ418" s="5">
        <v>0.05</v>
      </c>
      <c r="AR418" s="5">
        <v>0.05</v>
      </c>
      <c r="AS418" s="5">
        <v>10</v>
      </c>
      <c r="AT418" s="5">
        <v>2.9600000000000001E-2</v>
      </c>
      <c r="AU418" s="5">
        <v>1E-3</v>
      </c>
      <c r="AV418" s="5">
        <v>0.05</v>
      </c>
      <c r="AW418" s="5">
        <v>0.05</v>
      </c>
      <c r="AX418" s="5">
        <v>247</v>
      </c>
      <c r="AY418" s="5">
        <v>0.5</v>
      </c>
    </row>
    <row r="419" spans="1:51" x14ac:dyDescent="0.25">
      <c r="A419" s="5" t="s">
        <v>52</v>
      </c>
      <c r="B419" s="5" t="s">
        <v>76</v>
      </c>
      <c r="C419" s="5" t="s">
        <v>77</v>
      </c>
      <c r="F419" s="5" t="s">
        <v>55</v>
      </c>
      <c r="G419" s="5" t="s">
        <v>61</v>
      </c>
      <c r="H419" s="5" t="s">
        <v>57</v>
      </c>
      <c r="I419" s="5">
        <v>105</v>
      </c>
      <c r="J419" s="5" t="str">
        <f>IFERROR(VLOOKUP(I419,[1]INFO_LOCALES!$B:$C,2,FALSE),"")</f>
        <v>IQUIQUE CENTRO</v>
      </c>
      <c r="K419" s="5" t="str">
        <f>IFERROR(VLOOKUP(Tabla2[[#This Row],[TIENDA]],[1]INFO_LOCALES!$B:$D,3,FALSE),"")</f>
        <v>I - Tarapacá</v>
      </c>
      <c r="L419" s="5" t="str">
        <f>IFERROR(VLOOKUP(I419,[1]INFO_LOCALES!$B:$I,8,FALSE),"")</f>
        <v>Iquique</v>
      </c>
      <c r="M419" s="5" t="str">
        <f>IFERROR(VLOOKUP(I419,[1]INFO_LOCALES!$B:$H,7,FALSE),"")</f>
        <v>Tarapaca 579</v>
      </c>
      <c r="N419" s="5">
        <f>IFERROR(VLOOKUP(I419,[1]INFO_LOCALES!$B:$E,4,FALSE),"")</f>
        <v>4051</v>
      </c>
      <c r="O419" s="5" t="str">
        <f>VLOOKUP(Tabla2[[#This Row],[TIENDA]],[1]INFO_LOCALES!$B:$J,9,0)</f>
        <v>TERMINADO</v>
      </c>
      <c r="P419" s="5" t="str">
        <f>IFERROR(VLOOKUP(I419,[1]INFO_LOCALES!$B:$F,5,FALSE),"")</f>
        <v>AGUAS DEL ALTIPLANO S.A.</v>
      </c>
      <c r="Q419" s="5" t="s">
        <v>85</v>
      </c>
      <c r="R419" s="5" t="s">
        <v>86</v>
      </c>
      <c r="S419" s="6">
        <v>45667</v>
      </c>
      <c r="T419" s="5" t="str">
        <f>UPPER(IF(Tabla2[[#This Row],[FECHA DE MUESTREO ]]=0,"",TEXT(Tabla2[[#This Row],[FECHA DE MUESTREO ]],("MMMM"))))</f>
        <v>DICIEMBRE</v>
      </c>
      <c r="U419" s="6">
        <v>45644</v>
      </c>
      <c r="V419" s="5" t="s">
        <v>118</v>
      </c>
      <c r="W4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19" s="7">
        <f t="shared" si="13"/>
        <v>2</v>
      </c>
      <c r="Y419" s="5">
        <v>226</v>
      </c>
      <c r="Z419" s="5">
        <v>6.77</v>
      </c>
      <c r="AA419" s="5">
        <v>2</v>
      </c>
      <c r="AB419" s="5">
        <v>22.55</v>
      </c>
      <c r="AC419" s="5">
        <v>230</v>
      </c>
      <c r="AD419" s="5">
        <v>8</v>
      </c>
      <c r="AE419" s="5">
        <v>25.98</v>
      </c>
      <c r="AF419" s="5">
        <v>5</v>
      </c>
      <c r="AG419" s="5">
        <v>158</v>
      </c>
      <c r="AH419" s="5">
        <v>0.44</v>
      </c>
      <c r="AI419" s="5">
        <f>AH419*30</f>
        <v>13.2</v>
      </c>
      <c r="AJ419" s="5">
        <v>6.0331000000000001</v>
      </c>
      <c r="AK419" s="5">
        <v>1.4999999999999999E-2</v>
      </c>
      <c r="AL419" s="5">
        <v>2.5249000000000001</v>
      </c>
      <c r="AM419" s="5">
        <v>0.01</v>
      </c>
      <c r="AN419" s="5">
        <v>0.1</v>
      </c>
      <c r="AO419" s="5">
        <v>1.8383</v>
      </c>
      <c r="AP419" s="5">
        <v>0.23780000000000001</v>
      </c>
      <c r="AQ419" s="5">
        <v>0.05</v>
      </c>
      <c r="AR419" s="5">
        <v>0.05</v>
      </c>
      <c r="AS419" s="5">
        <v>10</v>
      </c>
      <c r="AT419" s="5">
        <v>0.1946</v>
      </c>
      <c r="AU419" s="5">
        <v>1E-3</v>
      </c>
      <c r="AV419" s="5">
        <v>0.05</v>
      </c>
      <c r="AW419" s="5">
        <v>0.05</v>
      </c>
      <c r="AX419" s="5">
        <v>10</v>
      </c>
      <c r="AY419" s="5">
        <v>3.04</v>
      </c>
    </row>
    <row r="420" spans="1:51" x14ac:dyDescent="0.25">
      <c r="A420" s="5" t="s">
        <v>52</v>
      </c>
      <c r="B420" s="5" t="s">
        <v>82</v>
      </c>
      <c r="C420" s="5" t="s">
        <v>77</v>
      </c>
      <c r="F420" s="5" t="s">
        <v>55</v>
      </c>
      <c r="G420" s="5" t="s">
        <v>65</v>
      </c>
      <c r="H420" s="5" t="s">
        <v>57</v>
      </c>
      <c r="I420" s="5">
        <v>32</v>
      </c>
      <c r="J420" s="5" t="str">
        <f>IFERROR(VLOOKUP(I420,[1]INFO_LOCALES!$B:$C,2,FALSE),"")</f>
        <v>CHAÑARCILLO</v>
      </c>
      <c r="K420" s="5" t="str">
        <f>IFERROR(VLOOKUP(Tabla2[[#This Row],[TIENDA]],[1]INFO_LOCALES!$B:$D,3,FALSE),"")</f>
        <v>III - Atacama</v>
      </c>
      <c r="L420" s="5" t="str">
        <f>IFERROR(VLOOKUP(I420,[1]INFO_LOCALES!$B:$I,8,FALSE),"")</f>
        <v>Copiapó</v>
      </c>
      <c r="M420" s="5" t="str">
        <f>IFERROR(VLOOKUP(I420,[1]INFO_LOCALES!$B:$H,7,FALSE),"")</f>
        <v>Chacabuco Nº 231</v>
      </c>
      <c r="N420" s="5">
        <f>IFERROR(VLOOKUP(I420,[1]INFO_LOCALES!$B:$E,4,FALSE),"")</f>
        <v>0</v>
      </c>
      <c r="O420" s="5" t="str">
        <f>VLOOKUP(Tabla2[[#This Row],[TIENDA]],[1]INFO_LOCALES!$B:$J,9,0)</f>
        <v>CONVENIO</v>
      </c>
      <c r="P420" s="5" t="str">
        <f>IFERROR(VLOOKUP(I420,[1]INFO_LOCALES!$B:$F,5,FALSE),"")</f>
        <v>NUEVA ATACAMA</v>
      </c>
      <c r="Q420" s="5" t="s">
        <v>85</v>
      </c>
      <c r="R420" s="5" t="s">
        <v>86</v>
      </c>
      <c r="S420" s="6">
        <v>45670</v>
      </c>
      <c r="T420" s="5" t="str">
        <f>UPPER(IF(Tabla2[[#This Row],[FECHA DE MUESTREO ]]=0,"",TEXT(Tabla2[[#This Row],[FECHA DE MUESTREO ]],("MMMM"))))</f>
        <v>DICIEMBRE</v>
      </c>
      <c r="U420" s="6">
        <v>45644</v>
      </c>
      <c r="V420" s="5" t="s">
        <v>118</v>
      </c>
      <c r="W4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20" s="7">
        <f t="shared" si="13"/>
        <v>1</v>
      </c>
      <c r="Y420" s="5">
        <v>8.1</v>
      </c>
      <c r="Z420" s="5">
        <v>7.1</v>
      </c>
      <c r="AA420" s="5">
        <v>3</v>
      </c>
      <c r="AB420" s="5">
        <v>21.8</v>
      </c>
      <c r="AC420" s="5">
        <v>219</v>
      </c>
      <c r="AD420" s="5">
        <v>7</v>
      </c>
      <c r="AE420" s="5">
        <v>42.14</v>
      </c>
      <c r="AF420" s="5">
        <v>1.5</v>
      </c>
      <c r="AG420" s="5">
        <v>105</v>
      </c>
      <c r="AI420" s="5">
        <v>0</v>
      </c>
    </row>
    <row r="421" spans="1:51" x14ac:dyDescent="0.25">
      <c r="A421" s="5" t="s">
        <v>60</v>
      </c>
      <c r="B421" s="5" t="e">
        <v>#N/A</v>
      </c>
      <c r="C421" s="5" t="e">
        <v>#N/A</v>
      </c>
      <c r="F421" s="5" t="s">
        <v>55</v>
      </c>
      <c r="G421" s="5" t="s">
        <v>61</v>
      </c>
      <c r="H421" s="5" t="s">
        <v>57</v>
      </c>
      <c r="I421" s="5">
        <v>3022</v>
      </c>
      <c r="J421" s="5" t="str">
        <f>IFERROR(VLOOKUP(I421,[1]INFO_LOCALES!$B:$C,2,FALSE),"")</f>
        <v>M10 TEMUCO II</v>
      </c>
      <c r="K421" s="5" t="str">
        <f>IFERROR(VLOOKUP(Tabla2[[#This Row],[TIENDA]],[1]INFO_LOCALES!$B:$D,3,FALSE),"")</f>
        <v>IX - Araucanía</v>
      </c>
      <c r="L421" s="5" t="str">
        <f>IFERROR(VLOOKUP(I421,[1]INFO_LOCALES!$B:$I,8,FALSE),"")</f>
        <v>Temuco</v>
      </c>
      <c r="M421" s="5" t="str">
        <f>IFERROR(VLOOKUP(I421,[1]INFO_LOCALES!$B:$H,7,FALSE),"")</f>
        <v>Pedro De Valdivia 2285</v>
      </c>
      <c r="N421" s="5">
        <f>IFERROR(VLOOKUP(I421,[1]INFO_LOCALES!$B:$E,4,FALSE),"")</f>
        <v>3721</v>
      </c>
      <c r="O421" s="5" t="str">
        <f>VLOOKUP(Tabla2[[#This Row],[TIENDA]],[1]INFO_LOCALES!$B:$J,9,0)</f>
        <v>CONVENIO</v>
      </c>
      <c r="P421" s="5" t="str">
        <f>IFERROR(VLOOKUP(I421,[1]INFO_LOCALES!$B:$F,5,FALSE),"")</f>
        <v>AGUAS ARAUCANIA S A</v>
      </c>
      <c r="Q421" s="5" t="s">
        <v>85</v>
      </c>
      <c r="R421" s="5" t="s">
        <v>86</v>
      </c>
      <c r="S421" s="6">
        <v>45677</v>
      </c>
      <c r="T421" s="5" t="str">
        <f>UPPER(IF(Tabla2[[#This Row],[FECHA DE MUESTREO ]]=0,"",TEXT(Tabla2[[#This Row],[FECHA DE MUESTREO ]],("MMMM"))))</f>
        <v>DICIEMBRE</v>
      </c>
      <c r="U421" s="6">
        <v>45645</v>
      </c>
      <c r="V421" s="5" t="s">
        <v>118</v>
      </c>
      <c r="W4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21" s="7">
        <f t="shared" si="13"/>
        <v>3</v>
      </c>
      <c r="Y421" s="5">
        <v>155.6</v>
      </c>
      <c r="Z421" s="5">
        <v>7.52</v>
      </c>
      <c r="AA421" s="5">
        <v>5</v>
      </c>
      <c r="AB421" s="5">
        <v>17.5</v>
      </c>
      <c r="AC421" s="5">
        <v>112</v>
      </c>
      <c r="AD421" s="5">
        <v>6.64</v>
      </c>
      <c r="AE421" s="5">
        <v>33.200000000000003</v>
      </c>
      <c r="AF421" s="5">
        <v>4</v>
      </c>
      <c r="AG421" s="5">
        <v>645</v>
      </c>
      <c r="AI421" s="5">
        <f>AH421*30</f>
        <v>0</v>
      </c>
      <c r="AJ421" s="5">
        <v>2.4234</v>
      </c>
      <c r="AK421" s="5">
        <v>2E-3</v>
      </c>
      <c r="AL421" s="5">
        <v>0.1</v>
      </c>
      <c r="AM421" s="5">
        <v>0.01</v>
      </c>
      <c r="AN421" s="5">
        <v>0.1</v>
      </c>
      <c r="AO421" s="5">
        <v>1.79</v>
      </c>
      <c r="AP421" s="5">
        <v>0.18</v>
      </c>
      <c r="AQ421" s="5">
        <v>0.05</v>
      </c>
      <c r="AR421" s="5">
        <v>0.05</v>
      </c>
      <c r="AS421" s="5">
        <v>10</v>
      </c>
      <c r="AT421" s="5">
        <v>7.9000000000000001E-2</v>
      </c>
      <c r="AU421" s="5">
        <v>1E-3</v>
      </c>
      <c r="AV421" s="5">
        <v>0.05</v>
      </c>
      <c r="AW421" s="5">
        <v>0.05</v>
      </c>
      <c r="AX421" s="5">
        <v>10</v>
      </c>
      <c r="AY421" s="5">
        <v>0.5</v>
      </c>
    </row>
    <row r="422" spans="1:51" x14ac:dyDescent="0.25">
      <c r="A422" s="5" t="s">
        <v>60</v>
      </c>
      <c r="B422" s="5" t="e">
        <v>#N/A</v>
      </c>
      <c r="C422" s="5" t="e">
        <v>#N/A</v>
      </c>
      <c r="F422" s="5" t="s">
        <v>55</v>
      </c>
      <c r="G422" s="5" t="s">
        <v>61</v>
      </c>
      <c r="H422" s="5" t="s">
        <v>57</v>
      </c>
      <c r="I422" s="5">
        <v>3143</v>
      </c>
      <c r="J422" s="5" t="str">
        <f>IFERROR(VLOOKUP(I422,[1]INFO_LOCALES!$B:$C,2,FALSE),"")</f>
        <v>M10 TEMUCO IV</v>
      </c>
      <c r="K422" s="5" t="str">
        <f>IFERROR(VLOOKUP(Tabla2[[#This Row],[TIENDA]],[1]INFO_LOCALES!$B:$D,3,FALSE),"")</f>
        <v>IX - Araucanía</v>
      </c>
      <c r="L422" s="5" t="str">
        <f>IFERROR(VLOOKUP(I422,[1]INFO_LOCALES!$B:$I,8,FALSE),"")</f>
        <v>Temuco</v>
      </c>
      <c r="M422" s="5" t="str">
        <f>IFERROR(VLOOKUP(I422,[1]INFO_LOCALES!$B:$H,7,FALSE),"")</f>
        <v>Francisco Salazar 01650</v>
      </c>
      <c r="N422" s="5">
        <f>IFERROR(VLOOKUP(I422,[1]INFO_LOCALES!$B:$E,4,FALSE),"")</f>
        <v>4422</v>
      </c>
      <c r="O422" s="5" t="str">
        <f>VLOOKUP(Tabla2[[#This Row],[TIENDA]],[1]INFO_LOCALES!$B:$J,9,0)</f>
        <v>CONVENIO</v>
      </c>
      <c r="P422" s="5" t="str">
        <f>IFERROR(VLOOKUP(I422,[1]INFO_LOCALES!$B:$F,5,FALSE),"")</f>
        <v>AGUAS ARAUCANIA S A</v>
      </c>
      <c r="Q422" s="5" t="s">
        <v>85</v>
      </c>
      <c r="R422" s="5" t="s">
        <v>86</v>
      </c>
      <c r="S422" s="6">
        <v>45677</v>
      </c>
      <c r="T422" s="5" t="str">
        <f>UPPER(IF(Tabla2[[#This Row],[FECHA DE MUESTREO ]]=0,"",TEXT(Tabla2[[#This Row],[FECHA DE MUESTREO ]],("MMMM"))))</f>
        <v>DICIEMBRE</v>
      </c>
      <c r="U422" s="6">
        <v>45645</v>
      </c>
      <c r="V422" s="5" t="s">
        <v>118</v>
      </c>
      <c r="W4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22" s="7">
        <f t="shared" si="13"/>
        <v>2</v>
      </c>
      <c r="Y422" s="5">
        <v>16.399999999999999</v>
      </c>
      <c r="Z422" s="5">
        <v>7.24</v>
      </c>
      <c r="AA422" s="5">
        <v>9</v>
      </c>
      <c r="AB422" s="5">
        <v>16.809999999999999</v>
      </c>
      <c r="AC422" s="5">
        <v>108</v>
      </c>
      <c r="AD422" s="5">
        <v>4.38</v>
      </c>
      <c r="AE422" s="5">
        <v>36.200000000000003</v>
      </c>
      <c r="AF422" s="5">
        <v>1.5</v>
      </c>
      <c r="AG422" s="5">
        <v>30.8</v>
      </c>
      <c r="AH422" s="5">
        <v>4.1399999999999997</v>
      </c>
      <c r="AI422" s="5">
        <f>AH422*30</f>
        <v>124.19999999999999</v>
      </c>
      <c r="AJ422" s="5">
        <v>0.16650000000000001</v>
      </c>
      <c r="AK422" s="5">
        <v>2E-3</v>
      </c>
      <c r="AL422" s="5">
        <v>0.1</v>
      </c>
      <c r="AM422" s="5">
        <v>0.01</v>
      </c>
      <c r="AN422" s="5">
        <v>0.1</v>
      </c>
      <c r="AO422" s="5">
        <v>0.05</v>
      </c>
      <c r="AP422" s="5">
        <v>0.05</v>
      </c>
      <c r="AQ422" s="5">
        <v>0.05</v>
      </c>
      <c r="AR422" s="5">
        <v>0.05</v>
      </c>
      <c r="AS422" s="5">
        <v>10</v>
      </c>
      <c r="AT422" s="5">
        <v>0.01</v>
      </c>
      <c r="AU422" s="5">
        <v>1E-3</v>
      </c>
      <c r="AV422" s="5">
        <v>0.05</v>
      </c>
      <c r="AW422" s="5">
        <v>0.05</v>
      </c>
      <c r="AX422" s="5">
        <v>22.2</v>
      </c>
      <c r="AY422" s="5">
        <v>0.5</v>
      </c>
    </row>
    <row r="423" spans="1:51" x14ac:dyDescent="0.25">
      <c r="A423" s="5" t="s">
        <v>52</v>
      </c>
      <c r="B423" s="5" t="s">
        <v>74</v>
      </c>
      <c r="C423" s="5" t="s">
        <v>74</v>
      </c>
      <c r="F423" s="5" t="s">
        <v>55</v>
      </c>
      <c r="G423" s="5" t="s">
        <v>61</v>
      </c>
      <c r="H423" s="5" t="s">
        <v>57</v>
      </c>
      <c r="I423" s="5">
        <v>458</v>
      </c>
      <c r="J423" s="5" t="str">
        <f>IFERROR(VLOOKUP(I423,[1]INFO_LOCALES!$B:$C,2,FALSE),"")</f>
        <v>ESPAÑA AUSTRAL</v>
      </c>
      <c r="K423" s="5" t="str">
        <f>IFERROR(VLOOKUP(Tabla2[[#This Row],[TIENDA]],[1]INFO_LOCALES!$B:$D,3,FALSE),"")</f>
        <v>XII - Magallanes</v>
      </c>
      <c r="L423" s="5" t="str">
        <f>IFERROR(VLOOKUP(I423,[1]INFO_LOCALES!$B:$I,8,FALSE),"")</f>
        <v>Punta Arenas</v>
      </c>
      <c r="M423" s="5" t="str">
        <f>IFERROR(VLOOKUP(I423,[1]INFO_LOCALES!$B:$H,7,FALSE),"")</f>
        <v>Av. España 01375</v>
      </c>
      <c r="N423" s="5">
        <f>IFERROR(VLOOKUP(I423,[1]INFO_LOCALES!$B:$E,4,FALSE),"")</f>
        <v>1306</v>
      </c>
      <c r="O423" s="5" t="str">
        <f>VLOOKUP(Tabla2[[#This Row],[TIENDA]],[1]INFO_LOCALES!$B:$J,9,0)</f>
        <v>SIN CONVENIO</v>
      </c>
      <c r="P423" s="5" t="str">
        <f>IFERROR(VLOOKUP(I423,[1]INFO_LOCALES!$B:$F,5,FALSE),"")</f>
        <v>AGUAS MAGALLANES S.A.</v>
      </c>
      <c r="Q423" s="5" t="s">
        <v>163</v>
      </c>
      <c r="R423" s="5" t="s">
        <v>86</v>
      </c>
      <c r="S423" s="6">
        <v>45674</v>
      </c>
      <c r="T423" s="5" t="str">
        <f>UPPER(IF(Tabla2[[#This Row],[FECHA DE MUESTREO ]]=0,"",TEXT(Tabla2[[#This Row],[FECHA DE MUESTREO ]],("MMMM"))))</f>
        <v>DICIEMBRE</v>
      </c>
      <c r="U423" s="6">
        <v>45646</v>
      </c>
      <c r="V423" s="5" t="s">
        <v>118</v>
      </c>
      <c r="W4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23" s="7">
        <f t="shared" si="13"/>
        <v>1</v>
      </c>
      <c r="Y423" s="5">
        <v>3.31</v>
      </c>
      <c r="Z423" s="5">
        <v>6.19</v>
      </c>
      <c r="AA423" s="5">
        <v>2</v>
      </c>
      <c r="AB423" s="5">
        <v>6.2</v>
      </c>
      <c r="AC423" s="5">
        <v>272</v>
      </c>
      <c r="AD423" s="5">
        <v>10</v>
      </c>
      <c r="AE423" s="5">
        <v>7.1</v>
      </c>
      <c r="AF423" s="5">
        <v>0.1</v>
      </c>
      <c r="AG423" s="5">
        <v>22</v>
      </c>
      <c r="AI423" s="5">
        <f>AH423*30</f>
        <v>0</v>
      </c>
      <c r="AJ423" s="5">
        <v>0.40600000000000003</v>
      </c>
      <c r="AK423" s="5">
        <v>1E-3</v>
      </c>
      <c r="AL423" s="5">
        <v>0.158</v>
      </c>
      <c r="AM423" s="5">
        <v>2E-3</v>
      </c>
      <c r="AN423" s="5">
        <v>0.02</v>
      </c>
      <c r="AO423" s="5">
        <v>0.17599999999999999</v>
      </c>
      <c r="AP423" s="5">
        <v>0.193</v>
      </c>
      <c r="AQ423" s="5">
        <v>5.0000000000000001E-3</v>
      </c>
      <c r="AR423" s="5">
        <v>0.01</v>
      </c>
      <c r="AS423" s="5">
        <v>1.03</v>
      </c>
      <c r="AT423" s="5">
        <v>0.08</v>
      </c>
      <c r="AU423" s="5">
        <v>1E-3</v>
      </c>
      <c r="AV423" s="5">
        <v>0.01</v>
      </c>
      <c r="AW423" s="5">
        <v>0.02</v>
      </c>
      <c r="AX423" s="5">
        <v>59.9</v>
      </c>
      <c r="AY423" s="5">
        <v>0.1</v>
      </c>
    </row>
    <row r="424" spans="1:51" x14ac:dyDescent="0.25">
      <c r="A424" s="5" t="s">
        <v>52</v>
      </c>
      <c r="B424" s="5" t="s">
        <v>74</v>
      </c>
      <c r="C424" s="5" t="s">
        <v>74</v>
      </c>
      <c r="F424" s="5" t="s">
        <v>55</v>
      </c>
      <c r="G424" s="5" t="s">
        <v>61</v>
      </c>
      <c r="H424" s="5" t="s">
        <v>57</v>
      </c>
      <c r="I424" s="5">
        <v>463</v>
      </c>
      <c r="J424" s="5" t="str">
        <f>IFERROR(VLOOKUP(I424,[1]INFO_LOCALES!$B:$C,2,FALSE),"")</f>
        <v>BORIES AUSTRAL</v>
      </c>
      <c r="K424" s="5" t="str">
        <f>IFERROR(VLOOKUP(Tabla2[[#This Row],[TIENDA]],[1]INFO_LOCALES!$B:$D,3,FALSE),"")</f>
        <v>XII - Magallanes</v>
      </c>
      <c r="L424" s="5" t="str">
        <f>IFERROR(VLOOKUP(I424,[1]INFO_LOCALES!$B:$I,8,FALSE),"")</f>
        <v>Punta Arenas</v>
      </c>
      <c r="M424" s="5" t="str">
        <f>IFERROR(VLOOKUP(I424,[1]INFO_LOCALES!$B:$H,7,FALSE),"")</f>
        <v>Gobernador Bories 647</v>
      </c>
      <c r="N424" s="5">
        <f>IFERROR(VLOOKUP(I424,[1]INFO_LOCALES!$B:$E,4,FALSE),"")</f>
        <v>3739</v>
      </c>
      <c r="O424" s="5" t="str">
        <f>VLOOKUP(Tabla2[[#This Row],[TIENDA]],[1]INFO_LOCALES!$B:$J,9,0)</f>
        <v>SIN CONVENIO</v>
      </c>
      <c r="P424" s="5" t="str">
        <f>IFERROR(VLOOKUP(I424,[1]INFO_LOCALES!$B:$F,5,FALSE),"")</f>
        <v>AGUAS MAGALLANES S.A.</v>
      </c>
      <c r="Q424" s="5" t="s">
        <v>163</v>
      </c>
      <c r="R424" s="5" t="s">
        <v>86</v>
      </c>
      <c r="S424" s="6">
        <v>45674</v>
      </c>
      <c r="T424" s="5" t="str">
        <f>UPPER(IF(Tabla2[[#This Row],[FECHA DE MUESTREO ]]=0,"",TEXT(Tabla2[[#This Row],[FECHA DE MUESTREO ]],("MMMM"))))</f>
        <v>DICIEMBRE</v>
      </c>
      <c r="U424" s="6">
        <v>45646</v>
      </c>
      <c r="V424" s="5" t="s">
        <v>118</v>
      </c>
      <c r="W4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24" s="7">
        <f t="shared" si="13"/>
        <v>1</v>
      </c>
      <c r="Y424" s="5">
        <v>2.56</v>
      </c>
      <c r="Z424" s="5">
        <v>6.84</v>
      </c>
      <c r="AA424" s="5">
        <v>2</v>
      </c>
      <c r="AB424" s="5">
        <v>5.7</v>
      </c>
      <c r="AC424" s="5">
        <v>18.600000000000001</v>
      </c>
      <c r="AD424" s="5">
        <v>2</v>
      </c>
      <c r="AE424" s="5">
        <v>1.8</v>
      </c>
      <c r="AF424" s="5">
        <v>0.1</v>
      </c>
      <c r="AG424" s="5">
        <v>18</v>
      </c>
      <c r="AH424" s="5">
        <v>1</v>
      </c>
      <c r="AI424" s="5">
        <f>AH424*30</f>
        <v>30</v>
      </c>
      <c r="AJ424" s="5">
        <v>0.4</v>
      </c>
      <c r="AK424" s="5">
        <v>1E-3</v>
      </c>
      <c r="AL424" s="5">
        <v>8.8999999999999996E-2</v>
      </c>
      <c r="AM424" s="5">
        <v>2E-3</v>
      </c>
      <c r="AN424" s="5">
        <v>0.02</v>
      </c>
      <c r="AO424" s="5">
        <v>0.155</v>
      </c>
      <c r="AP424" s="5">
        <v>0.125</v>
      </c>
      <c r="AQ424" s="5">
        <v>5.0000000000000001E-3</v>
      </c>
      <c r="AR424" s="5">
        <v>0.01</v>
      </c>
      <c r="AS424" s="5">
        <v>1.76</v>
      </c>
      <c r="AT424" s="5">
        <v>5.1999999999999998E-2</v>
      </c>
      <c r="AU424" s="5">
        <v>1E-3</v>
      </c>
      <c r="AV424" s="5">
        <v>0.01</v>
      </c>
      <c r="AW424" s="5">
        <v>0.02</v>
      </c>
      <c r="AX424" s="5">
        <v>71.2</v>
      </c>
      <c r="AY424" s="5">
        <v>0.1</v>
      </c>
    </row>
    <row r="425" spans="1:51" x14ac:dyDescent="0.25">
      <c r="A425" s="5" t="s">
        <v>52</v>
      </c>
      <c r="B425" s="5" t="s">
        <v>76</v>
      </c>
      <c r="C425" s="5" t="s">
        <v>77</v>
      </c>
      <c r="F425" s="5" t="s">
        <v>55</v>
      </c>
      <c r="G425" s="5" t="s">
        <v>61</v>
      </c>
      <c r="H425" s="5" t="s">
        <v>57</v>
      </c>
      <c r="I425" s="5">
        <v>103</v>
      </c>
      <c r="J425" s="5" t="str">
        <f>IFERROR(VLOOKUP(I425,[1]INFO_LOCALES!$B:$C,2,FALSE),"")</f>
        <v>VIVAR</v>
      </c>
      <c r="K425" s="5" t="str">
        <f>IFERROR(VLOOKUP(Tabla2[[#This Row],[TIENDA]],[1]INFO_LOCALES!$B:$D,3,FALSE),"")</f>
        <v>I - Tarapacá</v>
      </c>
      <c r="L425" s="5" t="str">
        <f>IFERROR(VLOOKUP(I425,[1]INFO_LOCALES!$B:$I,8,FALSE),"")</f>
        <v>Iquique</v>
      </c>
      <c r="M425" s="5" t="str">
        <f>IFERROR(VLOOKUP(I425,[1]INFO_LOCALES!$B:$H,7,FALSE),"")</f>
        <v>Vivar 786</v>
      </c>
      <c r="N425" s="5">
        <f>IFERROR(VLOOKUP(I425,[1]INFO_LOCALES!$B:$E,4,FALSE),"")</f>
        <v>4420</v>
      </c>
      <c r="O425" s="5" t="str">
        <f>VLOOKUP(Tabla2[[#This Row],[TIENDA]],[1]INFO_LOCALES!$B:$J,9,0)</f>
        <v>CONVENIO</v>
      </c>
      <c r="P425" s="5" t="str">
        <f>IFERROR(VLOOKUP(I425,[1]INFO_LOCALES!$B:$F,5,FALSE),"")</f>
        <v>AGUAS DEL ALTIPLANO S.A.</v>
      </c>
      <c r="Q425" s="5" t="s">
        <v>85</v>
      </c>
      <c r="R425" s="5" t="s">
        <v>86</v>
      </c>
      <c r="S425" s="6">
        <v>45681</v>
      </c>
      <c r="T425" s="5" t="str">
        <f>UPPER(IF(Tabla2[[#This Row],[FECHA DE MUESTREO ]]=0,"",TEXT(Tabla2[[#This Row],[FECHA DE MUESTREO ]],("MMMM"))))</f>
        <v>DICIEMBRE</v>
      </c>
      <c r="U425" s="6">
        <v>45652</v>
      </c>
      <c r="V425" s="5" t="s">
        <v>59</v>
      </c>
      <c r="W4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25" s="7">
        <f t="shared" si="13"/>
        <v>1</v>
      </c>
      <c r="Y425" s="5">
        <v>83</v>
      </c>
      <c r="Z425" s="5">
        <v>6.18</v>
      </c>
      <c r="AA425" s="5">
        <v>3</v>
      </c>
      <c r="AB425" s="5">
        <v>23.18</v>
      </c>
      <c r="AC425" s="5">
        <v>240</v>
      </c>
      <c r="AD425" s="5">
        <v>3</v>
      </c>
      <c r="AE425" s="5">
        <v>5</v>
      </c>
      <c r="AF425" s="5">
        <v>0.5</v>
      </c>
      <c r="AG425" s="5">
        <v>126.8</v>
      </c>
      <c r="AH425" s="5">
        <v>0.15</v>
      </c>
      <c r="AI425" s="5">
        <f>AH425*30</f>
        <v>4.5</v>
      </c>
    </row>
    <row r="426" spans="1:51" x14ac:dyDescent="0.25">
      <c r="A426" s="5" t="s">
        <v>60</v>
      </c>
      <c r="B426" s="5" t="e">
        <v>#N/A</v>
      </c>
      <c r="C426" s="5" t="e">
        <v>#N/A</v>
      </c>
      <c r="F426" s="5" t="s">
        <v>55</v>
      </c>
      <c r="G426" s="5" t="s">
        <v>61</v>
      </c>
      <c r="H426" s="5" t="s">
        <v>57</v>
      </c>
      <c r="I426" s="5">
        <v>3014</v>
      </c>
      <c r="J426" s="5" t="str">
        <f>IFERROR(VLOOKUP(I426,[1]INFO_LOCALES!$B:$C,2,FALSE),"")</f>
        <v>M10 SAN FERNANDO</v>
      </c>
      <c r="K426" s="5" t="str">
        <f>IFERROR(VLOOKUP(Tabla2[[#This Row],[TIENDA]],[1]INFO_LOCALES!$B:$D,3,FALSE),"")</f>
        <v>VI - O'Higgins</v>
      </c>
      <c r="L426" s="5" t="str">
        <f>IFERROR(VLOOKUP(I426,[1]INFO_LOCALES!$B:$I,8,FALSE),"")</f>
        <v>San Fernando</v>
      </c>
      <c r="M426" s="5" t="str">
        <f>IFERROR(VLOOKUP(I426,[1]INFO_LOCALES!$B:$H,7,FALSE),"")</f>
        <v>Chillan 745</v>
      </c>
      <c r="N426" s="5">
        <f>IFERROR(VLOOKUP(I426,[1]INFO_LOCALES!$B:$E,4,FALSE),"")</f>
        <v>1298</v>
      </c>
      <c r="O426" s="5" t="str">
        <f>VLOOKUP(Tabla2[[#This Row],[TIENDA]],[1]INFO_LOCALES!$B:$J,9,0)</f>
        <v>TERMINADO</v>
      </c>
      <c r="P426" s="5" t="str">
        <f>IFERROR(VLOOKUP(I426,[1]INFO_LOCALES!$B:$F,5,FALSE),"")</f>
        <v>ESSBIO S.A.</v>
      </c>
      <c r="Q426" s="5" t="s">
        <v>85</v>
      </c>
      <c r="R426" s="5" t="s">
        <v>86</v>
      </c>
      <c r="S426" s="6">
        <v>45680</v>
      </c>
      <c r="T426" s="5" t="s">
        <v>88</v>
      </c>
      <c r="U426" s="6">
        <v>45653</v>
      </c>
      <c r="V426" s="5" t="s">
        <v>59</v>
      </c>
      <c r="W4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26" s="7">
        <f t="shared" si="13"/>
        <v>2</v>
      </c>
      <c r="Y426" s="5">
        <v>29.8</v>
      </c>
      <c r="Z426" s="5">
        <v>7.26</v>
      </c>
      <c r="AA426" s="5">
        <v>2</v>
      </c>
      <c r="AB426" s="5">
        <v>20.45</v>
      </c>
      <c r="AC426" s="5">
        <v>303</v>
      </c>
      <c r="AD426" s="5">
        <v>8.1</v>
      </c>
      <c r="AE426" s="5">
        <v>30.68</v>
      </c>
      <c r="AF426" s="5">
        <v>2</v>
      </c>
      <c r="AG426" s="5">
        <v>97</v>
      </c>
      <c r="AH426" s="5">
        <v>691.2</v>
      </c>
      <c r="AI426" s="5">
        <v>20736</v>
      </c>
    </row>
    <row r="427" spans="1:51" x14ac:dyDescent="0.25">
      <c r="A427" s="5" t="s">
        <v>52</v>
      </c>
      <c r="B427" s="5" t="s">
        <v>90</v>
      </c>
      <c r="C427" s="5" t="s">
        <v>81</v>
      </c>
      <c r="F427" s="5" t="s">
        <v>55</v>
      </c>
      <c r="G427" s="5" t="s">
        <v>61</v>
      </c>
      <c r="H427" s="5" t="s">
        <v>57</v>
      </c>
      <c r="I427" s="5">
        <v>778</v>
      </c>
      <c r="J427" s="5" t="str">
        <f>IFERROR(VLOOKUP(I427,[1]INFO_LOCALES!$B:$C,2,FALSE),"")</f>
        <v>ORIENTE</v>
      </c>
      <c r="K427" s="5" t="str">
        <f>IFERROR(VLOOKUP(Tabla2[[#This Row],[TIENDA]],[1]INFO_LOCALES!$B:$D,3,FALSE),"")</f>
        <v>X - Los Lagos</v>
      </c>
      <c r="L427" s="5" t="str">
        <f>IFERROR(VLOOKUP(I427,[1]INFO_LOCALES!$B:$I,8,FALSE),"")</f>
        <v>Osorno</v>
      </c>
      <c r="M427" s="5" t="str">
        <f>IFERROR(VLOOKUP(I427,[1]INFO_LOCALES!$B:$H,7,FALSE),"")</f>
        <v>Julio Buschman 2223</v>
      </c>
      <c r="N427" s="5">
        <f>IFERROR(VLOOKUP(I427,[1]INFO_LOCALES!$B:$E,4,FALSE),"")</f>
        <v>2867</v>
      </c>
      <c r="O427" s="5" t="str">
        <f>VLOOKUP(Tabla2[[#This Row],[TIENDA]],[1]INFO_LOCALES!$B:$J,9,0)</f>
        <v>CONVENIO</v>
      </c>
      <c r="P427" s="5" t="str">
        <f>IFERROR(VLOOKUP(I427,[1]INFO_LOCALES!$B:$F,5,FALSE),"")</f>
        <v>SURALIS</v>
      </c>
      <c r="Q427" s="5" t="s">
        <v>105</v>
      </c>
      <c r="R427" s="5" t="s">
        <v>58</v>
      </c>
      <c r="S427" s="6">
        <v>45716</v>
      </c>
      <c r="T427" s="5" t="str">
        <f>UPPER(IF(Tabla2[[#This Row],[FECHA DE MUESTREO ]]=0,"",TEXT(Tabla2[[#This Row],[FECHA DE MUESTREO ]],("MMMM"))))</f>
        <v>ENERO</v>
      </c>
      <c r="U427" s="6">
        <v>45660</v>
      </c>
      <c r="V427" s="5" t="s">
        <v>59</v>
      </c>
      <c r="W4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27" s="7">
        <f t="shared" si="13"/>
        <v>2</v>
      </c>
      <c r="Y427" s="5">
        <v>30</v>
      </c>
      <c r="Z427" s="5">
        <v>6.9</v>
      </c>
      <c r="AA427" s="5">
        <v>3</v>
      </c>
      <c r="AB427" s="5">
        <v>14.1</v>
      </c>
      <c r="AC427" s="5">
        <v>531</v>
      </c>
      <c r="AD427" s="5">
        <v>7</v>
      </c>
      <c r="AE427" s="5">
        <v>41.1</v>
      </c>
      <c r="AF427" s="5">
        <v>5</v>
      </c>
      <c r="AG427" s="5">
        <v>380</v>
      </c>
      <c r="AH427" s="5">
        <v>30</v>
      </c>
      <c r="AI427" s="5">
        <f>AH427*30</f>
        <v>900</v>
      </c>
    </row>
    <row r="428" spans="1:51" x14ac:dyDescent="0.25">
      <c r="A428" s="5" t="s">
        <v>52</v>
      </c>
      <c r="B428" s="5" t="s">
        <v>76</v>
      </c>
      <c r="C428" s="5" t="s">
        <v>77</v>
      </c>
      <c r="F428" s="5" t="s">
        <v>55</v>
      </c>
      <c r="G428" s="5" t="s">
        <v>56</v>
      </c>
      <c r="H428" s="5" t="s">
        <v>57</v>
      </c>
      <c r="I428" s="5">
        <v>106</v>
      </c>
      <c r="J428" s="5" t="str">
        <f>IFERROR(VLOOKUP(I428,[1]INFO_LOCALES!$B:$C,2,FALSE),"")</f>
        <v>LOS MOLLES</v>
      </c>
      <c r="K428" s="5" t="str">
        <f>IFERROR(VLOOKUP(Tabla2[[#This Row],[TIENDA]],[1]INFO_LOCALES!$B:$D,3,FALSE),"")</f>
        <v>I - Tarapacá</v>
      </c>
      <c r="L428" s="5" t="str">
        <f>IFERROR(VLOOKUP(I428,[1]INFO_LOCALES!$B:$I,8,FALSE),"")</f>
        <v>Iquique</v>
      </c>
      <c r="M428" s="5" t="str">
        <f>IFERROR(VLOOKUP(I428,[1]INFO_LOCALES!$B:$H,7,FALSE),"")</f>
        <v>Santiago Polanco 2251</v>
      </c>
      <c r="N428" s="5">
        <f>IFERROR(VLOOKUP(I428,[1]INFO_LOCALES!$B:$E,4,FALSE),"")</f>
        <v>4050</v>
      </c>
      <c r="O428" s="5" t="str">
        <f>VLOOKUP(Tabla2[[#This Row],[TIENDA]],[1]INFO_LOCALES!$B:$J,9,0)</f>
        <v>CONVENIO</v>
      </c>
      <c r="P428" s="5" t="str">
        <f>IFERROR(VLOOKUP(I428,[1]INFO_LOCALES!$B:$F,5,FALSE),"")</f>
        <v>AGUAS DEL ALTIPLANO S.A.</v>
      </c>
      <c r="Q428" s="5" t="s">
        <v>78</v>
      </c>
      <c r="R428" s="5" t="s">
        <v>58</v>
      </c>
      <c r="S428" s="6">
        <v>45716</v>
      </c>
      <c r="T428" s="10" t="str">
        <f>UPPER(IF(Tabla2[[#This Row],[FECHA DE MUESTREO ]]=0,"",TEXT(Tabla2[[#This Row],[FECHA DE MUESTREO ]],("MMMM"))))</f>
        <v>ENERO</v>
      </c>
      <c r="U428" s="11">
        <v>45663</v>
      </c>
      <c r="V428" s="10" t="s">
        <v>59</v>
      </c>
      <c r="W4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28" s="7">
        <f t="shared" si="13"/>
        <v>3</v>
      </c>
      <c r="Y428" s="5">
        <v>173</v>
      </c>
      <c r="AA428" s="5">
        <v>2</v>
      </c>
      <c r="AC428" s="5">
        <v>526</v>
      </c>
      <c r="AD428" s="5">
        <v>14.1</v>
      </c>
      <c r="AE428" s="5">
        <v>26.83</v>
      </c>
      <c r="AF428" s="5">
        <v>18</v>
      </c>
      <c r="AG428" s="5">
        <v>715</v>
      </c>
      <c r="AI428" s="5">
        <f>AH428*30</f>
        <v>0</v>
      </c>
    </row>
    <row r="429" spans="1:51" x14ac:dyDescent="0.25">
      <c r="A429" s="5" t="s">
        <v>52</v>
      </c>
      <c r="B429" s="5" t="s">
        <v>90</v>
      </c>
      <c r="C429" s="5" t="s">
        <v>81</v>
      </c>
      <c r="F429" s="5" t="s">
        <v>55</v>
      </c>
      <c r="G429" s="5" t="s">
        <v>56</v>
      </c>
      <c r="H429" s="5" t="s">
        <v>57</v>
      </c>
      <c r="I429" s="5">
        <v>777</v>
      </c>
      <c r="J429" s="5" t="str">
        <f>IFERROR(VLOOKUP(I429,[1]INFO_LOCALES!$B:$C,2,FALSE),"")</f>
        <v>CENTRAL</v>
      </c>
      <c r="K429" s="5" t="str">
        <f>IFERROR(VLOOKUP(Tabla2[[#This Row],[TIENDA]],[1]INFO_LOCALES!$B:$D,3,FALSE),"")</f>
        <v>X - Los Lagos</v>
      </c>
      <c r="L429" s="5" t="str">
        <f>IFERROR(VLOOKUP(I429,[1]INFO_LOCALES!$B:$I,8,FALSE),"")</f>
        <v>Osorno</v>
      </c>
      <c r="M429" s="5" t="str">
        <f>IFERROR(VLOOKUP(I429,[1]INFO_LOCALES!$B:$H,7,FALSE),"")</f>
        <v>Patricio Lynch 1278</v>
      </c>
      <c r="N429" s="5">
        <f>IFERROR(VLOOKUP(I429,[1]INFO_LOCALES!$B:$E,4,FALSE),"")</f>
        <v>3684</v>
      </c>
      <c r="O429" s="5" t="str">
        <f>VLOOKUP(Tabla2[[#This Row],[TIENDA]],[1]INFO_LOCALES!$B:$J,9,0)</f>
        <v>CONVENIO</v>
      </c>
      <c r="P429" s="5" t="str">
        <f>IFERROR(VLOOKUP(I429,[1]INFO_LOCALES!$B:$F,5,FALSE),"")</f>
        <v>SURALIS</v>
      </c>
      <c r="Q429" s="5" t="s">
        <v>105</v>
      </c>
      <c r="R429" s="5" t="s">
        <v>58</v>
      </c>
      <c r="S429" s="6">
        <v>45716</v>
      </c>
      <c r="T429" s="5" t="str">
        <f>UPPER(IF(Tabla2[[#This Row],[FECHA DE MUESTREO ]]=0,"",TEXT(Tabla2[[#This Row],[FECHA DE MUESTREO ]],("MMMM"))))</f>
        <v>ENERO</v>
      </c>
      <c r="U429" s="6">
        <v>45664</v>
      </c>
      <c r="V429" s="5" t="s">
        <v>59</v>
      </c>
      <c r="W4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29" s="7">
        <f t="shared" si="13"/>
        <v>3</v>
      </c>
      <c r="Y429" s="5">
        <v>27</v>
      </c>
      <c r="Z429" s="5">
        <v>5.6</v>
      </c>
      <c r="AA429" s="5">
        <v>2</v>
      </c>
      <c r="AB429" s="5">
        <v>15.2</v>
      </c>
      <c r="AC429" s="5">
        <v>731</v>
      </c>
      <c r="AD429" s="5">
        <v>40</v>
      </c>
      <c r="AE429" s="5">
        <v>19.399999999999999</v>
      </c>
      <c r="AF429" s="5">
        <v>0.5</v>
      </c>
      <c r="AG429" s="5">
        <v>217</v>
      </c>
      <c r="AH429" s="5">
        <v>2</v>
      </c>
      <c r="AI429" s="5">
        <f>AH429*30</f>
        <v>60</v>
      </c>
    </row>
    <row r="430" spans="1:51" x14ac:dyDescent="0.25">
      <c r="A430" s="5" t="s">
        <v>52</v>
      </c>
      <c r="B430" s="5" t="s">
        <v>64</v>
      </c>
      <c r="C430" s="5" t="s">
        <v>54</v>
      </c>
      <c r="F430" s="5" t="s">
        <v>55</v>
      </c>
      <c r="G430" s="5" t="s">
        <v>65</v>
      </c>
      <c r="H430" s="5" t="s">
        <v>57</v>
      </c>
      <c r="I430" s="5">
        <v>75</v>
      </c>
      <c r="J430" s="5" t="str">
        <f>IFERROR(VLOOKUP(I430,[1]INFO_LOCALES!$B:$C,2,FALSE),"")</f>
        <v>CONCEPCION II</v>
      </c>
      <c r="K430" s="5" t="str">
        <f>IFERROR(VLOOKUP(Tabla2[[#This Row],[TIENDA]],[1]INFO_LOCALES!$B:$D,3,FALSE),"")</f>
        <v>VIII - Biobío</v>
      </c>
      <c r="L430" s="5" t="str">
        <f>IFERROR(VLOOKUP(I430,[1]INFO_LOCALES!$B:$I,8,FALSE),"")</f>
        <v>Concepción</v>
      </c>
      <c r="M430" s="5" t="str">
        <f>IFERROR(VLOOKUP(I430,[1]INFO_LOCALES!$B:$H,7,FALSE),"")</f>
        <v>Tucapel 1313</v>
      </c>
      <c r="N430" s="5">
        <f>IFERROR(VLOOKUP(I430,[1]INFO_LOCALES!$B:$E,4,FALSE),"")</f>
        <v>0</v>
      </c>
      <c r="O430" s="5" t="str">
        <f>VLOOKUP(Tabla2[[#This Row],[TIENDA]],[1]INFO_LOCALES!$B:$J,9,0)</f>
        <v>SIN CONVENIO</v>
      </c>
      <c r="P430" s="5" t="str">
        <f>IFERROR(VLOOKUP(I430,[1]INFO_LOCALES!$B:$F,5,FALSE),"")</f>
        <v>ESSBIO S.A.</v>
      </c>
      <c r="Q430" s="5" t="s">
        <v>66</v>
      </c>
      <c r="R430" s="5" t="s">
        <v>58</v>
      </c>
      <c r="S430" s="6">
        <v>45743</v>
      </c>
      <c r="T430" s="5" t="str">
        <f>UPPER(IF(Tabla2[[#This Row],[FECHA DE MUESTREO ]]=0,"",TEXT(Tabla2[[#This Row],[FECHA DE MUESTREO ]],("MMMM"))))</f>
        <v>ENERO</v>
      </c>
      <c r="U430" s="6">
        <v>45664</v>
      </c>
      <c r="V430" s="5" t="s">
        <v>59</v>
      </c>
      <c r="W4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30" s="7">
        <f t="shared" si="13"/>
        <v>2</v>
      </c>
      <c r="Y430" s="5">
        <v>4.9000000000000004</v>
      </c>
      <c r="Z430" s="5">
        <v>7.76</v>
      </c>
      <c r="AA430" s="5">
        <v>2</v>
      </c>
      <c r="AB430" s="5">
        <v>21.7</v>
      </c>
      <c r="AC430" s="5">
        <v>527</v>
      </c>
      <c r="AD430" s="5">
        <v>17.25</v>
      </c>
      <c r="AE430" s="5">
        <v>52.6</v>
      </c>
      <c r="AG430" s="5">
        <v>593.85</v>
      </c>
      <c r="AH430" s="5">
        <f>0.23*24</f>
        <v>5.5200000000000005</v>
      </c>
      <c r="AI430" s="5">
        <f>AH430*30</f>
        <v>165.60000000000002</v>
      </c>
    </row>
    <row r="431" spans="1:51" x14ac:dyDescent="0.25">
      <c r="A431" s="5" t="s">
        <v>52</v>
      </c>
      <c r="B431" s="5" t="s">
        <v>82</v>
      </c>
      <c r="C431" s="5" t="s">
        <v>77</v>
      </c>
      <c r="F431" s="5" t="s">
        <v>55</v>
      </c>
      <c r="G431" s="5" t="s">
        <v>65</v>
      </c>
      <c r="H431" s="5" t="s">
        <v>57</v>
      </c>
      <c r="I431" s="5">
        <v>14</v>
      </c>
      <c r="J431" s="5" t="str">
        <f>IFERROR(VLOOKUP(I431,[1]INFO_LOCALES!$B:$C,2,FALSE),"")</f>
        <v>COPIAPO</v>
      </c>
      <c r="K431" s="5" t="str">
        <f>IFERROR(VLOOKUP(Tabla2[[#This Row],[TIENDA]],[1]INFO_LOCALES!$B:$D,3,FALSE),"")</f>
        <v>III - Atacama</v>
      </c>
      <c r="L431" s="5" t="str">
        <f>IFERROR(VLOOKUP(I431,[1]INFO_LOCALES!$B:$I,8,FALSE),"")</f>
        <v>Copiapó</v>
      </c>
      <c r="M431" s="5" t="str">
        <f>IFERROR(VLOOKUP(I431,[1]INFO_LOCALES!$B:$H,7,FALSE),"")</f>
        <v>Av. Henrriquez N° 523</v>
      </c>
      <c r="N431" s="5">
        <f>IFERROR(VLOOKUP(I431,[1]INFO_LOCALES!$B:$E,4,FALSE),"")</f>
        <v>0</v>
      </c>
      <c r="O431" s="5" t="str">
        <f>VLOOKUP(Tabla2[[#This Row],[TIENDA]],[1]INFO_LOCALES!$B:$J,9,0)</f>
        <v>CONVENIO</v>
      </c>
      <c r="P431" s="5" t="str">
        <f>IFERROR(VLOOKUP(I431,[1]INFO_LOCALES!$B:$F,5,FALSE),"")</f>
        <v>NUEVA ATACAMA</v>
      </c>
      <c r="Q431" s="5" t="s">
        <v>66</v>
      </c>
      <c r="R431" s="5" t="s">
        <v>58</v>
      </c>
      <c r="S431" s="6">
        <v>45755</v>
      </c>
      <c r="T431" s="5" t="str">
        <f>UPPER(IF(Tabla2[[#This Row],[FECHA DE MUESTREO ]]=0,"",TEXT(Tabla2[[#This Row],[FECHA DE MUESTREO ]],("MMMM"))))</f>
        <v>ENERO</v>
      </c>
      <c r="U431" s="6">
        <v>45664</v>
      </c>
      <c r="V431" s="5" t="s">
        <v>59</v>
      </c>
      <c r="W4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31" s="7">
        <v>3</v>
      </c>
      <c r="Y431" s="5">
        <v>5.51</v>
      </c>
      <c r="AA431" s="5">
        <v>11.7</v>
      </c>
      <c r="AC431" s="5">
        <v>329</v>
      </c>
      <c r="AD431" s="5">
        <v>3.37</v>
      </c>
      <c r="AE431" s="5">
        <v>37.35</v>
      </c>
      <c r="AF431" s="5">
        <v>0.9</v>
      </c>
      <c r="AG431" s="5">
        <v>32</v>
      </c>
      <c r="AY431" s="5">
        <v>0.1</v>
      </c>
    </row>
    <row r="432" spans="1:51" x14ac:dyDescent="0.25">
      <c r="A432" s="5" t="s">
        <v>52</v>
      </c>
      <c r="B432" s="5" t="s">
        <v>82</v>
      </c>
      <c r="C432" s="5" t="s">
        <v>77</v>
      </c>
      <c r="F432" s="5" t="s">
        <v>55</v>
      </c>
      <c r="G432" s="5" t="s">
        <v>61</v>
      </c>
      <c r="H432" s="5" t="s">
        <v>57</v>
      </c>
      <c r="I432" s="5">
        <v>22</v>
      </c>
      <c r="J432" s="5" t="str">
        <f>IFERROR(VLOOKUP(I432,[1]INFO_LOCALES!$B:$C,2,FALSE),"")</f>
        <v>ATACAMA</v>
      </c>
      <c r="K432" s="5" t="str">
        <f>IFERROR(VLOOKUP(Tabla2[[#This Row],[TIENDA]],[1]INFO_LOCALES!$B:$D,3,FALSE),"")</f>
        <v>III - Atacama</v>
      </c>
      <c r="L432" s="5" t="str">
        <f>IFERROR(VLOOKUP(I432,[1]INFO_LOCALES!$B:$I,8,FALSE),"")</f>
        <v>Copiapó</v>
      </c>
      <c r="M432" s="5" t="str">
        <f>IFERROR(VLOOKUP(I432,[1]INFO_LOCALES!$B:$H,7,FALSE),"")</f>
        <v>Los Carreras 2242</v>
      </c>
      <c r="N432" s="5">
        <f>IFERROR(VLOOKUP(I432,[1]INFO_LOCALES!$B:$E,4,FALSE),"")</f>
        <v>2666</v>
      </c>
      <c r="O432" s="5" t="str">
        <f>VLOOKUP(Tabla2[[#This Row],[TIENDA]],[1]INFO_LOCALES!$B:$J,9,0)</f>
        <v>CONVENIO</v>
      </c>
      <c r="P432" s="5" t="str">
        <f>IFERROR(VLOOKUP(I432,[1]INFO_LOCALES!$B:$F,5,FALSE),"")</f>
        <v>NUEVA ATACAMA</v>
      </c>
      <c r="Q432" s="5" t="s">
        <v>66</v>
      </c>
      <c r="R432" s="5" t="s">
        <v>58</v>
      </c>
      <c r="S432" s="6">
        <v>45755</v>
      </c>
      <c r="T432" s="5" t="str">
        <f>UPPER(IF(Tabla2[[#This Row],[FECHA DE MUESTREO ]]=0,"",TEXT(Tabla2[[#This Row],[FECHA DE MUESTREO ]],("MMMM"))))</f>
        <v>ENERO</v>
      </c>
      <c r="U432" s="6">
        <v>45664</v>
      </c>
      <c r="V432" s="5" t="s">
        <v>59</v>
      </c>
      <c r="W4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32" s="7">
        <f t="shared" ref="X432:X460" si="15">IF(W432="CUMPLE",1,IF(W432="CUMPLE CON TOLERANCIA",2,IF(W432="NO CUMPLE",3)))</f>
        <v>2</v>
      </c>
      <c r="Y432" s="5">
        <v>17.18</v>
      </c>
      <c r="AA432" s="5">
        <v>9.6999999999999993</v>
      </c>
      <c r="AC432" s="5">
        <v>216</v>
      </c>
      <c r="AD432" s="5">
        <v>2.67</v>
      </c>
      <c r="AE432" s="5">
        <v>47</v>
      </c>
      <c r="AF432" s="5">
        <v>0.9</v>
      </c>
      <c r="AG432" s="5">
        <v>103</v>
      </c>
      <c r="AI432" s="5">
        <f>AH432*30</f>
        <v>0</v>
      </c>
      <c r="AY432" s="5">
        <v>0.1</v>
      </c>
    </row>
    <row r="433" spans="1:51" x14ac:dyDescent="0.25">
      <c r="A433" s="5" t="s">
        <v>52</v>
      </c>
      <c r="B433" s="5" t="s">
        <v>82</v>
      </c>
      <c r="C433" s="5" t="s">
        <v>77</v>
      </c>
      <c r="F433" s="5" t="s">
        <v>55</v>
      </c>
      <c r="G433" s="5" t="s">
        <v>61</v>
      </c>
      <c r="H433" s="5" t="s">
        <v>57</v>
      </c>
      <c r="I433" s="5">
        <v>32</v>
      </c>
      <c r="J433" s="5" t="str">
        <f>IFERROR(VLOOKUP(I433,[1]INFO_LOCALES!$B:$C,2,FALSE),"")</f>
        <v>CHAÑARCILLO</v>
      </c>
      <c r="K433" s="5" t="str">
        <f>IFERROR(VLOOKUP(Tabla2[[#This Row],[TIENDA]],[1]INFO_LOCALES!$B:$D,3,FALSE),"")</f>
        <v>III - Atacama</v>
      </c>
      <c r="L433" s="5" t="str">
        <f>IFERROR(VLOOKUP(I433,[1]INFO_LOCALES!$B:$I,8,FALSE),"")</f>
        <v>Copiapó</v>
      </c>
      <c r="M433" s="5" t="str">
        <f>IFERROR(VLOOKUP(I433,[1]INFO_LOCALES!$B:$H,7,FALSE),"")</f>
        <v>Chacabuco Nº 231</v>
      </c>
      <c r="N433" s="5">
        <f>IFERROR(VLOOKUP(I433,[1]INFO_LOCALES!$B:$E,4,FALSE),"")</f>
        <v>0</v>
      </c>
      <c r="O433" s="5" t="str">
        <f>VLOOKUP(Tabla2[[#This Row],[TIENDA]],[1]INFO_LOCALES!$B:$J,9,0)</f>
        <v>CONVENIO</v>
      </c>
      <c r="P433" s="5" t="str">
        <f>IFERROR(VLOOKUP(I433,[1]INFO_LOCALES!$B:$F,5,FALSE),"")</f>
        <v>NUEVA ATACAMA</v>
      </c>
      <c r="Q433" s="5" t="s">
        <v>66</v>
      </c>
      <c r="R433" s="5" t="s">
        <v>58</v>
      </c>
      <c r="S433" s="6">
        <v>45755</v>
      </c>
      <c r="T433" s="5" t="str">
        <f>UPPER(IF(Tabla2[[#This Row],[FECHA DE MUESTREO ]]=0,"",TEXT(Tabla2[[#This Row],[FECHA DE MUESTREO ]],("MMMM"))))</f>
        <v>ENERO</v>
      </c>
      <c r="U433" s="6">
        <v>45664</v>
      </c>
      <c r="V433" s="5" t="s">
        <v>59</v>
      </c>
      <c r="W4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33" s="7">
        <f t="shared" si="15"/>
        <v>3</v>
      </c>
      <c r="Y433" s="5">
        <v>5.94</v>
      </c>
      <c r="AA433" s="5">
        <v>17.3</v>
      </c>
      <c r="AC433" s="5">
        <v>445</v>
      </c>
      <c r="AD433" s="5">
        <v>2.2599999999999998</v>
      </c>
      <c r="AE433" s="5">
        <v>24.1</v>
      </c>
      <c r="AF433" s="5">
        <v>0.9</v>
      </c>
      <c r="AG433" s="5">
        <v>70</v>
      </c>
      <c r="AI433" s="5">
        <f>AH433*30</f>
        <v>0</v>
      </c>
      <c r="AY433" s="5">
        <v>0.14000000000000001</v>
      </c>
    </row>
    <row r="434" spans="1:51" x14ac:dyDescent="0.25">
      <c r="A434" s="5" t="s">
        <v>52</v>
      </c>
      <c r="B434" s="5" t="s">
        <v>82</v>
      </c>
      <c r="C434" s="5" t="s">
        <v>77</v>
      </c>
      <c r="F434" s="5" t="s">
        <v>55</v>
      </c>
      <c r="G434" s="5" t="s">
        <v>61</v>
      </c>
      <c r="H434" s="5" t="s">
        <v>57</v>
      </c>
      <c r="I434" s="5">
        <v>22</v>
      </c>
      <c r="J434" s="5" t="str">
        <f>IFERROR(VLOOKUP(I434,[1]INFO_LOCALES!$B:$C,2,FALSE),"")</f>
        <v>ATACAMA</v>
      </c>
      <c r="K434" s="5" t="str">
        <f>IFERROR(VLOOKUP(Tabla2[[#This Row],[TIENDA]],[1]INFO_LOCALES!$B:$D,3,FALSE),"")</f>
        <v>III - Atacama</v>
      </c>
      <c r="L434" s="5" t="str">
        <f>IFERROR(VLOOKUP(I434,[1]INFO_LOCALES!$B:$I,8,FALSE),"")</f>
        <v>Copiapó</v>
      </c>
      <c r="M434" s="5" t="str">
        <f>IFERROR(VLOOKUP(I434,[1]INFO_LOCALES!$B:$H,7,FALSE),"")</f>
        <v>Los Carreras 2242</v>
      </c>
      <c r="N434" s="5">
        <f>IFERROR(VLOOKUP(I434,[1]INFO_LOCALES!$B:$E,4,FALSE),"")</f>
        <v>2666</v>
      </c>
      <c r="O434" s="5" t="str">
        <f>VLOOKUP(Tabla2[[#This Row],[TIENDA]],[1]INFO_LOCALES!$B:$J,9,0)</f>
        <v>CONVENIO</v>
      </c>
      <c r="P434" s="5" t="str">
        <f>IFERROR(VLOOKUP(I434,[1]INFO_LOCALES!$B:$F,5,FALSE),"")</f>
        <v>NUEVA ATACAMA</v>
      </c>
      <c r="Q434" s="5" t="s">
        <v>85</v>
      </c>
      <c r="R434" s="5" t="s">
        <v>86</v>
      </c>
      <c r="S434" s="6"/>
      <c r="T434" s="5" t="str">
        <f>UPPER(IF(Tabla2[[#This Row],[FECHA DE MUESTREO ]]=0,"",TEXT(Tabla2[[#This Row],[FECHA DE MUESTREO ]],("MMMM"))))</f>
        <v>ENERO</v>
      </c>
      <c r="U434" s="6">
        <v>45667</v>
      </c>
      <c r="V434" s="5" t="s">
        <v>59</v>
      </c>
      <c r="W4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34" s="7">
        <f t="shared" si="15"/>
        <v>1</v>
      </c>
      <c r="Y434" s="5">
        <v>9</v>
      </c>
      <c r="Z434" s="5">
        <v>7.2</v>
      </c>
      <c r="AA434" s="5">
        <v>2</v>
      </c>
      <c r="AB434" s="5">
        <v>25.21</v>
      </c>
      <c r="AC434" s="5">
        <v>214</v>
      </c>
      <c r="AD434" s="5">
        <v>10.6</v>
      </c>
      <c r="AE434" s="5">
        <v>72.61</v>
      </c>
      <c r="AF434" s="5">
        <v>0.7</v>
      </c>
      <c r="AG434" s="5">
        <v>77</v>
      </c>
      <c r="AH434" s="5">
        <v>0.85</v>
      </c>
      <c r="AI434" s="5">
        <f>AH434*30</f>
        <v>25.5</v>
      </c>
    </row>
    <row r="435" spans="1:51" x14ac:dyDescent="0.25">
      <c r="A435" s="5" t="s">
        <v>52</v>
      </c>
      <c r="B435" s="5" t="s">
        <v>82</v>
      </c>
      <c r="C435" s="5" t="s">
        <v>77</v>
      </c>
      <c r="F435" s="5" t="s">
        <v>55</v>
      </c>
      <c r="G435" s="5" t="s">
        <v>65</v>
      </c>
      <c r="H435" s="5" t="s">
        <v>57</v>
      </c>
      <c r="I435" s="5">
        <v>7</v>
      </c>
      <c r="J435" s="5" t="str">
        <f>IFERROR(VLOOKUP(I435,[1]INFO_LOCALES!$B:$C,2,FALSE),"")</f>
        <v>VALLENAR I</v>
      </c>
      <c r="K435" s="5" t="str">
        <f>IFERROR(VLOOKUP(Tabla2[[#This Row],[TIENDA]],[1]INFO_LOCALES!$B:$D,3,FALSE),"")</f>
        <v>III - Atacama</v>
      </c>
      <c r="L435" s="5" t="str">
        <f>IFERROR(VLOOKUP(I435,[1]INFO_LOCALES!$B:$I,8,FALSE),"")</f>
        <v>Vallenar</v>
      </c>
      <c r="M435" s="5" t="str">
        <f>IFERROR(VLOOKUP(I435,[1]INFO_LOCALES!$B:$H,7,FALSE),"")</f>
        <v>Brasil 663</v>
      </c>
      <c r="N435" s="5">
        <f>IFERROR(VLOOKUP(I435,[1]INFO_LOCALES!$B:$E,4,FALSE),"")</f>
        <v>0</v>
      </c>
      <c r="O435" s="5" t="str">
        <f>VLOOKUP(Tabla2[[#This Row],[TIENDA]],[1]INFO_LOCALES!$B:$J,9,0)</f>
        <v>CONVENIO</v>
      </c>
      <c r="P435" s="5" t="str">
        <f>IFERROR(VLOOKUP(I435,[1]INFO_LOCALES!$B:$F,5,FALSE),"")</f>
        <v>NUEVA ATACAMA</v>
      </c>
      <c r="Q435" s="5" t="s">
        <v>66</v>
      </c>
      <c r="R435" s="5" t="s">
        <v>58</v>
      </c>
      <c r="S435" s="6">
        <v>45755</v>
      </c>
      <c r="T435" s="5" t="s">
        <v>132</v>
      </c>
      <c r="U435" s="6">
        <v>45671</v>
      </c>
      <c r="V435" s="5" t="s">
        <v>59</v>
      </c>
      <c r="W4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35" s="7">
        <f t="shared" si="15"/>
        <v>2</v>
      </c>
      <c r="Y435" s="5">
        <v>5</v>
      </c>
      <c r="AA435" s="5">
        <v>7</v>
      </c>
      <c r="AC435" s="5">
        <v>260</v>
      </c>
      <c r="AD435" s="5">
        <v>3.62</v>
      </c>
      <c r="AE435" s="5">
        <v>100</v>
      </c>
      <c r="AF435" s="5">
        <v>1.4</v>
      </c>
      <c r="AG435" s="5">
        <v>133</v>
      </c>
      <c r="AI435" s="5">
        <f>AH435*30</f>
        <v>0</v>
      </c>
      <c r="AY435" s="5">
        <v>0.1</v>
      </c>
    </row>
    <row r="436" spans="1:51" x14ac:dyDescent="0.25">
      <c r="A436" s="5" t="s">
        <v>52</v>
      </c>
      <c r="B436" s="5" t="s">
        <v>82</v>
      </c>
      <c r="C436" s="5" t="s">
        <v>77</v>
      </c>
      <c r="F436" s="5" t="s">
        <v>55</v>
      </c>
      <c r="G436" s="5" t="s">
        <v>61</v>
      </c>
      <c r="H436" s="5" t="s">
        <v>57</v>
      </c>
      <c r="I436" s="5">
        <v>472</v>
      </c>
      <c r="J436" s="5" t="str">
        <f>IFERROR(VLOOKUP(I436,[1]INFO_LOCALES!$B:$C,2,FALSE),"")</f>
        <v>CALDERA I</v>
      </c>
      <c r="K436" s="5" t="str">
        <f>IFERROR(VLOOKUP(Tabla2[[#This Row],[TIENDA]],[1]INFO_LOCALES!$B:$D,3,FALSE),"")</f>
        <v>III - Atacama</v>
      </c>
      <c r="L436" s="5" t="str">
        <f>IFERROR(VLOOKUP(I436,[1]INFO_LOCALES!$B:$I,8,FALSE),"")</f>
        <v>Caldera</v>
      </c>
      <c r="M436" s="5" t="str">
        <f>IFERROR(VLOOKUP(I436,[1]INFO_LOCALES!$B:$H,7,FALSE),"")</f>
        <v>Batallon Atacama 319</v>
      </c>
      <c r="N436" s="5">
        <f>IFERROR(VLOOKUP(I436,[1]INFO_LOCALES!$B:$E,4,FALSE),"")</f>
        <v>0</v>
      </c>
      <c r="O436" s="5" t="str">
        <f>VLOOKUP(Tabla2[[#This Row],[TIENDA]],[1]INFO_LOCALES!$B:$J,9,0)</f>
        <v>CONVENIO</v>
      </c>
      <c r="P436" s="5" t="str">
        <f>IFERROR(VLOOKUP(I436,[1]INFO_LOCALES!$B:$F,5,FALSE),"")</f>
        <v>NUEVA ATACAMA</v>
      </c>
      <c r="Q436" s="5" t="s">
        <v>66</v>
      </c>
      <c r="R436" s="5" t="s">
        <v>58</v>
      </c>
      <c r="S436" s="6">
        <v>45755</v>
      </c>
      <c r="T436" s="5" t="s">
        <v>96</v>
      </c>
      <c r="U436" s="6">
        <v>45672</v>
      </c>
      <c r="V436" s="5" t="s">
        <v>59</v>
      </c>
      <c r="W4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36" s="7">
        <f t="shared" si="15"/>
        <v>3</v>
      </c>
      <c r="Y436" s="5">
        <v>4.2300000000000004</v>
      </c>
      <c r="AA436" s="5">
        <v>35</v>
      </c>
      <c r="AC436" s="5">
        <v>467</v>
      </c>
      <c r="AD436" s="5">
        <v>7.61</v>
      </c>
      <c r="AE436" s="5">
        <v>27.75</v>
      </c>
      <c r="AF436" s="5">
        <v>1</v>
      </c>
      <c r="AG436" s="5">
        <v>73</v>
      </c>
      <c r="AI436" s="5">
        <v>0</v>
      </c>
      <c r="AY436" s="5">
        <v>0.27</v>
      </c>
    </row>
    <row r="437" spans="1:51" x14ac:dyDescent="0.25">
      <c r="A437" s="5" t="s">
        <v>52</v>
      </c>
      <c r="B437" s="5" t="s">
        <v>112</v>
      </c>
      <c r="C437" s="5" t="s">
        <v>70</v>
      </c>
      <c r="F437" s="5" t="s">
        <v>55</v>
      </c>
      <c r="G437" s="5" t="s">
        <v>65</v>
      </c>
      <c r="H437" s="5" t="s">
        <v>57</v>
      </c>
      <c r="I437" s="5">
        <v>362</v>
      </c>
      <c r="J437" s="5" t="str">
        <f>IFERROR(VLOOKUP(I437,[1]INFO_LOCALES!$B:$C,2,FALSE),"")</f>
        <v>LAS TRANQUERAS</v>
      </c>
      <c r="K437" s="5" t="str">
        <f>IFERROR(VLOOKUP(Tabla2[[#This Row],[TIENDA]],[1]INFO_LOCALES!$B:$D,3,FALSE),"")</f>
        <v>RM - Santiago</v>
      </c>
      <c r="L437" s="5" t="str">
        <f>IFERROR(VLOOKUP(I437,[1]INFO_LOCALES!$B:$I,8,FALSE),"")</f>
        <v>Vitacura</v>
      </c>
      <c r="M437" s="5" t="str">
        <f>IFERROR(VLOOKUP(I437,[1]INFO_LOCALES!$B:$H,7,FALSE),"")</f>
        <v>Vitacura 8400</v>
      </c>
      <c r="N437" s="5">
        <f>IFERROR(VLOOKUP(I437,[1]INFO_LOCALES!$B:$E,4,FALSE),"")</f>
        <v>0</v>
      </c>
      <c r="O437" s="5" t="str">
        <f>VLOOKUP(Tabla2[[#This Row],[TIENDA]],[1]INFO_LOCALES!$B:$J,9,0)</f>
        <v>SIN CONVENIO</v>
      </c>
      <c r="P437" s="5" t="str">
        <f>IFERROR(VLOOKUP(I437,[1]INFO_LOCALES!$B:$F,5,FALSE),"")</f>
        <v>AGUAS CORDILLERA S.A.</v>
      </c>
      <c r="Q437" s="5" t="s">
        <v>105</v>
      </c>
      <c r="R437" s="5" t="s">
        <v>58</v>
      </c>
      <c r="S437" s="6">
        <v>45726</v>
      </c>
      <c r="T437" s="5" t="str">
        <f>UPPER(IF(Tabla2[[#This Row],[FECHA DE MUESTREO ]]=0,"",TEXT(Tabla2[[#This Row],[FECHA DE MUESTREO ]],("MMMM"))))</f>
        <v>ENERO</v>
      </c>
      <c r="U437" s="6">
        <v>45677</v>
      </c>
      <c r="V437" s="5" t="s">
        <v>59</v>
      </c>
      <c r="W4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37" s="7">
        <f t="shared" si="15"/>
        <v>2</v>
      </c>
      <c r="Y437" s="5">
        <v>37</v>
      </c>
      <c r="Z437" s="5">
        <v>9</v>
      </c>
      <c r="AA437" s="5">
        <v>0.8</v>
      </c>
      <c r="AB437" s="5">
        <v>22.8</v>
      </c>
      <c r="AC437" s="5">
        <v>259</v>
      </c>
      <c r="AD437" s="5">
        <v>16.37</v>
      </c>
      <c r="AE437" s="5">
        <v>66.05</v>
      </c>
      <c r="AF437" s="5">
        <v>4</v>
      </c>
      <c r="AG437" s="5">
        <v>236</v>
      </c>
      <c r="AH437" s="5">
        <v>4</v>
      </c>
      <c r="AI437" s="5">
        <f t="shared" ref="AI437:AI443" si="16">AH437*30</f>
        <v>120</v>
      </c>
    </row>
    <row r="438" spans="1:51" x14ac:dyDescent="0.25">
      <c r="A438" s="5" t="s">
        <v>52</v>
      </c>
      <c r="B438" s="5" t="s">
        <v>74</v>
      </c>
      <c r="C438" s="5" t="s">
        <v>74</v>
      </c>
      <c r="F438" s="5" t="s">
        <v>55</v>
      </c>
      <c r="G438" s="5" t="s">
        <v>61</v>
      </c>
      <c r="H438" s="5" t="s">
        <v>57</v>
      </c>
      <c r="I438" s="5">
        <v>459</v>
      </c>
      <c r="J438" s="5" t="str">
        <f>IFERROR(VLOOKUP(I438,[1]INFO_LOCALES!$B:$C,2,FALSE),"")</f>
        <v>ALLENDE AUSTRAL</v>
      </c>
      <c r="K438" s="5" t="str">
        <f>IFERROR(VLOOKUP(Tabla2[[#This Row],[TIENDA]],[1]INFO_LOCALES!$B:$D,3,FALSE),"")</f>
        <v>XII - Magallanes</v>
      </c>
      <c r="L438" s="5" t="str">
        <f>IFERROR(VLOOKUP(I438,[1]INFO_LOCALES!$B:$I,8,FALSE),"")</f>
        <v>Punta Arenas</v>
      </c>
      <c r="M438" s="5" t="str">
        <f>IFERROR(VLOOKUP(I438,[1]INFO_LOCALES!$B:$H,7,FALSE),"")</f>
        <v>Salvador Allende 0399</v>
      </c>
      <c r="N438" s="5">
        <f>IFERROR(VLOOKUP(I438,[1]INFO_LOCALES!$B:$E,4,FALSE),"")</f>
        <v>3735</v>
      </c>
      <c r="O438" s="5" t="str">
        <f>VLOOKUP(Tabla2[[#This Row],[TIENDA]],[1]INFO_LOCALES!$B:$J,9,0)</f>
        <v>SIN CONVENIO</v>
      </c>
      <c r="P438" s="5" t="str">
        <f>IFERROR(VLOOKUP(I438,[1]INFO_LOCALES!$B:$F,5,FALSE),"")</f>
        <v>AGUAS MAGALLANES S.A.</v>
      </c>
      <c r="Q438" s="5" t="s">
        <v>71</v>
      </c>
      <c r="R438" s="5" t="s">
        <v>58</v>
      </c>
      <c r="S438" s="6">
        <v>45716</v>
      </c>
      <c r="T438" s="5" t="str">
        <f>UPPER(IF(Tabla2[[#This Row],[FECHA DE MUESTREO ]]=0,"",TEXT(Tabla2[[#This Row],[FECHA DE MUESTREO ]],("MMMM"))))</f>
        <v>ENERO</v>
      </c>
      <c r="U438" s="6">
        <v>45679</v>
      </c>
      <c r="V438" s="5" t="s">
        <v>59</v>
      </c>
      <c r="W4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38" s="7">
        <f t="shared" si="15"/>
        <v>1</v>
      </c>
      <c r="Y438" s="5">
        <v>1.1000000000000001</v>
      </c>
      <c r="AA438" s="5">
        <v>2</v>
      </c>
      <c r="AC438" s="5">
        <v>7.16</v>
      </c>
      <c r="AD438" s="5">
        <v>0.45</v>
      </c>
      <c r="AE438" s="5">
        <v>0.22</v>
      </c>
      <c r="AF438" s="5">
        <v>0.1</v>
      </c>
      <c r="AG438" s="5">
        <v>5</v>
      </c>
      <c r="AI438" s="5">
        <f t="shared" si="16"/>
        <v>0</v>
      </c>
    </row>
    <row r="439" spans="1:51" x14ac:dyDescent="0.25">
      <c r="A439" s="5" t="s">
        <v>52</v>
      </c>
      <c r="B439" s="5" t="s">
        <v>82</v>
      </c>
      <c r="C439" s="5" t="s">
        <v>77</v>
      </c>
      <c r="F439" s="5" t="s">
        <v>55</v>
      </c>
      <c r="G439" s="5" t="s">
        <v>65</v>
      </c>
      <c r="H439" s="5" t="s">
        <v>57</v>
      </c>
      <c r="I439" s="5">
        <v>16</v>
      </c>
      <c r="J439" s="5" t="str">
        <f>IFERROR(VLOOKUP(I439,[1]INFO_LOCALES!$B:$C,2,FALSE),"")</f>
        <v>VALLENAR II</v>
      </c>
      <c r="K439" s="5" t="str">
        <f>IFERROR(VLOOKUP(Tabla2[[#This Row],[TIENDA]],[1]INFO_LOCALES!$B:$D,3,FALSE),"")</f>
        <v>III - Atacama</v>
      </c>
      <c r="L439" s="5" t="str">
        <f>IFERROR(VLOOKUP(I439,[1]INFO_LOCALES!$B:$I,8,FALSE),"")</f>
        <v>Vallenar</v>
      </c>
      <c r="M439" s="5" t="str">
        <f>IFERROR(VLOOKUP(I439,[1]INFO_LOCALES!$B:$H,7,FALSE),"")</f>
        <v>Arturo Prat 2350</v>
      </c>
      <c r="N439" s="5">
        <f>IFERROR(VLOOKUP(I439,[1]INFO_LOCALES!$B:$E,4,FALSE),"")</f>
        <v>0</v>
      </c>
      <c r="O439" s="5" t="str">
        <f>VLOOKUP(Tabla2[[#This Row],[TIENDA]],[1]INFO_LOCALES!$B:$J,9,0)</f>
        <v>TERMINADO</v>
      </c>
      <c r="P439" s="5" t="str">
        <f>IFERROR(VLOOKUP(I439,[1]INFO_LOCALES!$B:$F,5,FALSE),"")</f>
        <v>NUEVA ATACAMA</v>
      </c>
      <c r="Q439" s="5" t="s">
        <v>85</v>
      </c>
      <c r="R439" s="5" t="s">
        <v>86</v>
      </c>
      <c r="S439" s="6"/>
      <c r="T439" s="5" t="str">
        <f>UPPER(IF(Tabla2[[#This Row],[FECHA DE MUESTREO ]]=0,"",TEXT(Tabla2[[#This Row],[FECHA DE MUESTREO ]],("MMMM"))))</f>
        <v>ENERO</v>
      </c>
      <c r="U439" s="6">
        <v>45680</v>
      </c>
      <c r="V439" s="5" t="s">
        <v>59</v>
      </c>
      <c r="W4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39" s="7">
        <f t="shared" si="15"/>
        <v>3</v>
      </c>
      <c r="Y439" s="5">
        <v>5.5</v>
      </c>
      <c r="Z439" s="5">
        <v>7.58</v>
      </c>
      <c r="AA439" s="5">
        <v>5</v>
      </c>
      <c r="AB439" s="5">
        <v>23.13</v>
      </c>
      <c r="AC439" s="5">
        <v>108</v>
      </c>
      <c r="AD439" s="5">
        <v>9.3000000000000007</v>
      </c>
      <c r="AE439" s="5">
        <v>5</v>
      </c>
      <c r="AF439" s="5">
        <v>1.5</v>
      </c>
      <c r="AG439" s="5">
        <v>698.3</v>
      </c>
      <c r="AH439" s="5">
        <v>0.66</v>
      </c>
      <c r="AI439" s="5">
        <f t="shared" si="16"/>
        <v>19.8</v>
      </c>
    </row>
    <row r="440" spans="1:51" x14ac:dyDescent="0.25">
      <c r="A440" s="5" t="s">
        <v>52</v>
      </c>
      <c r="B440" s="5" t="s">
        <v>82</v>
      </c>
      <c r="C440" s="5" t="s">
        <v>77</v>
      </c>
      <c r="F440" s="5" t="s">
        <v>55</v>
      </c>
      <c r="G440" s="5" t="s">
        <v>61</v>
      </c>
      <c r="H440" s="5" t="s">
        <v>57</v>
      </c>
      <c r="I440" s="5">
        <v>14</v>
      </c>
      <c r="J440" s="5" t="str">
        <f>IFERROR(VLOOKUP(I440,[1]INFO_LOCALES!$B:$C,2,FALSE),"")</f>
        <v>COPIAPO</v>
      </c>
      <c r="K440" s="5" t="str">
        <f>IFERROR(VLOOKUP(Tabla2[[#This Row],[TIENDA]],[1]INFO_LOCALES!$B:$D,3,FALSE),"")</f>
        <v>III - Atacama</v>
      </c>
      <c r="L440" s="5" t="str">
        <f>IFERROR(VLOOKUP(I440,[1]INFO_LOCALES!$B:$I,8,FALSE),"")</f>
        <v>Copiapó</v>
      </c>
      <c r="M440" s="5" t="str">
        <f>IFERROR(VLOOKUP(I440,[1]INFO_LOCALES!$B:$H,7,FALSE),"")</f>
        <v>Av. Henrriquez N° 523</v>
      </c>
      <c r="N440" s="5">
        <f>IFERROR(VLOOKUP(I440,[1]INFO_LOCALES!$B:$E,4,FALSE),"")</f>
        <v>0</v>
      </c>
      <c r="O440" s="5" t="str">
        <f>VLOOKUP(Tabla2[[#This Row],[TIENDA]],[1]INFO_LOCALES!$B:$J,9,0)</f>
        <v>CONVENIO</v>
      </c>
      <c r="P440" s="5" t="str">
        <f>IFERROR(VLOOKUP(I440,[1]INFO_LOCALES!$B:$F,5,FALSE),"")</f>
        <v>NUEVA ATACAMA</v>
      </c>
      <c r="Q440" s="5" t="s">
        <v>66</v>
      </c>
      <c r="R440" s="5" t="s">
        <v>58</v>
      </c>
      <c r="S440" s="6">
        <v>45755</v>
      </c>
      <c r="T440" s="5" t="str">
        <f>UPPER(IF(Tabla2[[#This Row],[FECHA DE MUESTREO ]]=0,"",TEXT(Tabla2[[#This Row],[FECHA DE MUESTREO ]],("MMMM"))))</f>
        <v>FEBRERO</v>
      </c>
      <c r="U440" s="6">
        <v>45692</v>
      </c>
      <c r="V440" s="5" t="s">
        <v>59</v>
      </c>
      <c r="W4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0" s="7">
        <f t="shared" si="15"/>
        <v>3</v>
      </c>
      <c r="Y440" s="5">
        <v>2.84</v>
      </c>
      <c r="AA440" s="5">
        <v>15.7</v>
      </c>
      <c r="AC440" s="5">
        <v>238</v>
      </c>
      <c r="AD440" s="5">
        <v>6.82</v>
      </c>
      <c r="AE440" s="5">
        <v>28.7</v>
      </c>
      <c r="AF440" s="5">
        <v>1</v>
      </c>
      <c r="AG440" s="5">
        <v>40</v>
      </c>
      <c r="AI440" s="5">
        <f t="shared" si="16"/>
        <v>0</v>
      </c>
      <c r="AY440" s="5">
        <v>2.73</v>
      </c>
    </row>
    <row r="441" spans="1:51" x14ac:dyDescent="0.25">
      <c r="A441" s="5" t="s">
        <v>52</v>
      </c>
      <c r="B441" s="5" t="s">
        <v>82</v>
      </c>
      <c r="C441" s="5" t="s">
        <v>77</v>
      </c>
      <c r="F441" s="5" t="s">
        <v>55</v>
      </c>
      <c r="G441" s="5" t="s">
        <v>56</v>
      </c>
      <c r="H441" s="5" t="s">
        <v>57</v>
      </c>
      <c r="I441" s="5">
        <v>22</v>
      </c>
      <c r="J441" s="5" t="str">
        <f>IFERROR(VLOOKUP(I441,[1]INFO_LOCALES!$B:$C,2,FALSE),"")</f>
        <v>ATACAMA</v>
      </c>
      <c r="K441" s="5" t="str">
        <f>IFERROR(VLOOKUP(Tabla2[[#This Row],[TIENDA]],[1]INFO_LOCALES!$B:$D,3,FALSE),"")</f>
        <v>III - Atacama</v>
      </c>
      <c r="L441" s="5" t="str">
        <f>IFERROR(VLOOKUP(I441,[1]INFO_LOCALES!$B:$I,8,FALSE),"")</f>
        <v>Copiapó</v>
      </c>
      <c r="M441" s="5" t="str">
        <f>IFERROR(VLOOKUP(I441,[1]INFO_LOCALES!$B:$H,7,FALSE),"")</f>
        <v>Los Carreras 2242</v>
      </c>
      <c r="N441" s="5">
        <f>IFERROR(VLOOKUP(I441,[1]INFO_LOCALES!$B:$E,4,FALSE),"")</f>
        <v>2666</v>
      </c>
      <c r="O441" s="5" t="str">
        <f>VLOOKUP(Tabla2[[#This Row],[TIENDA]],[1]INFO_LOCALES!$B:$J,9,0)</f>
        <v>CONVENIO</v>
      </c>
      <c r="P441" s="5" t="str">
        <f>IFERROR(VLOOKUP(I441,[1]INFO_LOCALES!$B:$F,5,FALSE),"")</f>
        <v>NUEVA ATACAMA</v>
      </c>
      <c r="Q441" s="5" t="s">
        <v>66</v>
      </c>
      <c r="R441" s="5" t="s">
        <v>58</v>
      </c>
      <c r="S441" s="6">
        <v>45755</v>
      </c>
      <c r="T441" s="5" t="str">
        <f>UPPER(IF(Tabla2[[#This Row],[FECHA DE MUESTREO ]]=0,"",TEXT(Tabla2[[#This Row],[FECHA DE MUESTREO ]],("MMMM"))))</f>
        <v>FEBRERO</v>
      </c>
      <c r="U441" s="6">
        <v>45692</v>
      </c>
      <c r="V441" s="5" t="s">
        <v>59</v>
      </c>
      <c r="W4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1" s="7">
        <f t="shared" si="15"/>
        <v>3</v>
      </c>
      <c r="Y441" s="5">
        <v>5.28</v>
      </c>
      <c r="AA441" s="5">
        <v>27.3</v>
      </c>
      <c r="AC441" s="5">
        <v>166</v>
      </c>
      <c r="AD441" s="5">
        <v>2.41</v>
      </c>
      <c r="AE441" s="5">
        <v>6.65</v>
      </c>
      <c r="AF441" s="5">
        <v>1</v>
      </c>
      <c r="AG441" s="5">
        <v>49</v>
      </c>
      <c r="AI441" s="5">
        <f t="shared" si="16"/>
        <v>0</v>
      </c>
      <c r="AY441" s="5">
        <v>0.1</v>
      </c>
    </row>
    <row r="442" spans="1:51" x14ac:dyDescent="0.25">
      <c r="A442" s="5" t="s">
        <v>52</v>
      </c>
      <c r="B442" s="5" t="s">
        <v>82</v>
      </c>
      <c r="C442" s="5" t="s">
        <v>77</v>
      </c>
      <c r="F442" s="5" t="s">
        <v>55</v>
      </c>
      <c r="G442" s="5" t="s">
        <v>61</v>
      </c>
      <c r="H442" s="5" t="s">
        <v>57</v>
      </c>
      <c r="I442" s="5">
        <v>32</v>
      </c>
      <c r="J442" s="5" t="str">
        <f>IFERROR(VLOOKUP(I442,[1]INFO_LOCALES!$B:$C,2,FALSE),"")</f>
        <v>CHAÑARCILLO</v>
      </c>
      <c r="K442" s="5" t="str">
        <f>IFERROR(VLOOKUP(Tabla2[[#This Row],[TIENDA]],[1]INFO_LOCALES!$B:$D,3,FALSE),"")</f>
        <v>III - Atacama</v>
      </c>
      <c r="L442" s="5" t="str">
        <f>IFERROR(VLOOKUP(I442,[1]INFO_LOCALES!$B:$I,8,FALSE),"")</f>
        <v>Copiapó</v>
      </c>
      <c r="M442" s="5" t="str">
        <f>IFERROR(VLOOKUP(I442,[1]INFO_LOCALES!$B:$H,7,FALSE),"")</f>
        <v>Chacabuco Nº 231</v>
      </c>
      <c r="N442" s="5">
        <f>IFERROR(VLOOKUP(I442,[1]INFO_LOCALES!$B:$E,4,FALSE),"")</f>
        <v>0</v>
      </c>
      <c r="O442" s="5" t="str">
        <f>VLOOKUP(Tabla2[[#This Row],[TIENDA]],[1]INFO_LOCALES!$B:$J,9,0)</f>
        <v>CONVENIO</v>
      </c>
      <c r="P442" s="5" t="str">
        <f>IFERROR(VLOOKUP(I442,[1]INFO_LOCALES!$B:$F,5,FALSE),"")</f>
        <v>NUEVA ATACAMA</v>
      </c>
      <c r="Q442" s="5" t="s">
        <v>66</v>
      </c>
      <c r="R442" s="5" t="s">
        <v>58</v>
      </c>
      <c r="S442" s="6">
        <v>45755</v>
      </c>
      <c r="T442" s="5" t="str">
        <f>UPPER(IF(Tabla2[[#This Row],[FECHA DE MUESTREO ]]=0,"",TEXT(Tabla2[[#This Row],[FECHA DE MUESTREO ]],("MMMM"))))</f>
        <v>FEBRERO</v>
      </c>
      <c r="U442" s="6">
        <v>45692</v>
      </c>
      <c r="V442" s="5" t="s">
        <v>59</v>
      </c>
      <c r="W4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2" s="7">
        <f t="shared" si="15"/>
        <v>3</v>
      </c>
      <c r="Y442" s="5">
        <v>2.58</v>
      </c>
      <c r="AA442" s="5">
        <v>15</v>
      </c>
      <c r="AC442" s="5">
        <v>207</v>
      </c>
      <c r="AD442" s="5">
        <v>7.23</v>
      </c>
      <c r="AE442" s="5">
        <v>20.85</v>
      </c>
      <c r="AF442" s="5">
        <v>1</v>
      </c>
      <c r="AG442" s="5">
        <v>34</v>
      </c>
      <c r="AI442" s="5">
        <f t="shared" si="16"/>
        <v>0</v>
      </c>
    </row>
    <row r="443" spans="1:51" x14ac:dyDescent="0.25">
      <c r="A443" s="5" t="s">
        <v>52</v>
      </c>
      <c r="B443" s="5" t="s">
        <v>90</v>
      </c>
      <c r="C443" s="5" t="s">
        <v>81</v>
      </c>
      <c r="F443" s="5" t="s">
        <v>55</v>
      </c>
      <c r="G443" s="5" t="s">
        <v>56</v>
      </c>
      <c r="H443" s="5" t="s">
        <v>57</v>
      </c>
      <c r="I443" s="5">
        <v>778</v>
      </c>
      <c r="J443" s="5" t="str">
        <f>IFERROR(VLOOKUP(I443,[1]INFO_LOCALES!$B:$C,2,FALSE),"")</f>
        <v>ORIENTE</v>
      </c>
      <c r="K443" s="5" t="str">
        <f>IFERROR(VLOOKUP(Tabla2[[#This Row],[TIENDA]],[1]INFO_LOCALES!$B:$D,3,FALSE),"")</f>
        <v>X - Los Lagos</v>
      </c>
      <c r="L443" s="5" t="str">
        <f>IFERROR(VLOOKUP(I443,[1]INFO_LOCALES!$B:$I,8,FALSE),"")</f>
        <v>Osorno</v>
      </c>
      <c r="M443" s="5" t="str">
        <f>IFERROR(VLOOKUP(I443,[1]INFO_LOCALES!$B:$H,7,FALSE),"")</f>
        <v>Julio Buschman 2223</v>
      </c>
      <c r="N443" s="5">
        <f>IFERROR(VLOOKUP(I443,[1]INFO_LOCALES!$B:$E,4,FALSE),"")</f>
        <v>2867</v>
      </c>
      <c r="O443" s="5" t="str">
        <f>VLOOKUP(Tabla2[[#This Row],[TIENDA]],[1]INFO_LOCALES!$B:$J,9,0)</f>
        <v>CONVENIO</v>
      </c>
      <c r="P443" s="5" t="str">
        <f>IFERROR(VLOOKUP(I443,[1]INFO_LOCALES!$B:$F,5,FALSE),"")</f>
        <v>SURALIS</v>
      </c>
      <c r="Q443" s="5" t="s">
        <v>105</v>
      </c>
      <c r="R443" s="5" t="s">
        <v>58</v>
      </c>
      <c r="S443" s="6">
        <v>45747</v>
      </c>
      <c r="T443" s="5" t="str">
        <f>UPPER(IF(Tabla2[[#This Row],[FECHA DE MUESTREO ]]=0,"",TEXT(Tabla2[[#This Row],[FECHA DE MUESTREO ]],("MMMM"))))</f>
        <v>FEBRERO</v>
      </c>
      <c r="U443" s="6">
        <v>45695</v>
      </c>
      <c r="V443" s="5" t="s">
        <v>59</v>
      </c>
      <c r="W4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3" s="7">
        <f t="shared" si="15"/>
        <v>3</v>
      </c>
      <c r="Y443" s="5">
        <v>36</v>
      </c>
      <c r="Z443" s="5">
        <v>7.02</v>
      </c>
      <c r="AA443" s="5">
        <v>2</v>
      </c>
      <c r="AB443" s="5">
        <v>20</v>
      </c>
      <c r="AC443" s="5">
        <v>336</v>
      </c>
      <c r="AD443" s="5">
        <v>12.9</v>
      </c>
      <c r="AE443" s="5">
        <v>97</v>
      </c>
      <c r="AF443" s="5">
        <v>120</v>
      </c>
      <c r="AG443" s="5">
        <v>190</v>
      </c>
      <c r="AH443" s="5">
        <v>8</v>
      </c>
      <c r="AI443" s="5">
        <f t="shared" si="16"/>
        <v>240</v>
      </c>
    </row>
    <row r="444" spans="1:51" x14ac:dyDescent="0.25">
      <c r="A444" s="5" t="s">
        <v>52</v>
      </c>
      <c r="B444" s="5" t="s">
        <v>82</v>
      </c>
      <c r="C444" s="5" t="s">
        <v>77</v>
      </c>
      <c r="F444" s="5" t="s">
        <v>55</v>
      </c>
      <c r="G444" s="5" t="s">
        <v>61</v>
      </c>
      <c r="H444" s="5" t="s">
        <v>57</v>
      </c>
      <c r="I444" s="5">
        <v>16</v>
      </c>
      <c r="J444" s="5" t="str">
        <f>IFERROR(VLOOKUP(I444,[1]INFO_LOCALES!$B:$C,2,FALSE),"")</f>
        <v>VALLENAR II</v>
      </c>
      <c r="K444" s="5" t="str">
        <f>IFERROR(VLOOKUP(Tabla2[[#This Row],[TIENDA]],[1]INFO_LOCALES!$B:$D,3,FALSE),"")</f>
        <v>III - Atacama</v>
      </c>
      <c r="L444" s="5" t="str">
        <f>IFERROR(VLOOKUP(I444,[1]INFO_LOCALES!$B:$I,8,FALSE),"")</f>
        <v>Vallenar</v>
      </c>
      <c r="M444" s="5" t="str">
        <f>IFERROR(VLOOKUP(I444,[1]INFO_LOCALES!$B:$H,7,FALSE),"")</f>
        <v>Arturo Prat 2350</v>
      </c>
      <c r="N444" s="5">
        <f>IFERROR(VLOOKUP(I444,[1]INFO_LOCALES!$B:$E,4,FALSE),"")</f>
        <v>0</v>
      </c>
      <c r="O444" s="5" t="str">
        <f>VLOOKUP(Tabla2[[#This Row],[TIENDA]],[1]INFO_LOCALES!$B:$J,9,0)</f>
        <v>TERMINADO</v>
      </c>
      <c r="P444" s="5" t="str">
        <f>IFERROR(VLOOKUP(I444,[1]INFO_LOCALES!$B:$F,5,FALSE),"")</f>
        <v>NUEVA ATACAMA</v>
      </c>
      <c r="Q444" s="5" t="s">
        <v>66</v>
      </c>
      <c r="R444" s="5" t="s">
        <v>58</v>
      </c>
      <c r="S444" s="6">
        <v>45755</v>
      </c>
      <c r="T444" s="5" t="str">
        <f>UPPER(IF(Tabla2[[#This Row],[FECHA DE MUESTREO ]]=0,"",TEXT(Tabla2[[#This Row],[FECHA DE MUESTREO ]],("MMMM"))))</f>
        <v>FEBRERO</v>
      </c>
      <c r="U444" s="6">
        <v>45699</v>
      </c>
      <c r="V444" s="5" t="s">
        <v>59</v>
      </c>
      <c r="W4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4" s="7">
        <f t="shared" si="15"/>
        <v>3</v>
      </c>
      <c r="Y444" s="5">
        <v>211.17</v>
      </c>
      <c r="AA444" s="5">
        <v>110.3</v>
      </c>
      <c r="AC444" s="5">
        <v>1463</v>
      </c>
      <c r="AD444" s="5">
        <v>12.01</v>
      </c>
      <c r="AE444" s="5">
        <v>7.7</v>
      </c>
      <c r="AF444" s="5">
        <v>1.2</v>
      </c>
      <c r="AG444" s="5">
        <v>187.14</v>
      </c>
      <c r="AI444" s="5">
        <v>0</v>
      </c>
      <c r="AY444" s="5">
        <v>0.1</v>
      </c>
    </row>
    <row r="445" spans="1:51" x14ac:dyDescent="0.25">
      <c r="A445" s="5" t="s">
        <v>52</v>
      </c>
      <c r="B445" s="5" t="s">
        <v>82</v>
      </c>
      <c r="C445" s="5" t="s">
        <v>77</v>
      </c>
      <c r="F445" s="5" t="s">
        <v>55</v>
      </c>
      <c r="G445" s="5" t="s">
        <v>61</v>
      </c>
      <c r="H445" s="5" t="s">
        <v>57</v>
      </c>
      <c r="I445" s="5">
        <v>7</v>
      </c>
      <c r="J445" s="5" t="str">
        <f>IFERROR(VLOOKUP(I445,[1]INFO_LOCALES!$B:$C,2,FALSE),"")</f>
        <v>VALLENAR I</v>
      </c>
      <c r="K445" s="5" t="str">
        <f>IFERROR(VLOOKUP(Tabla2[[#This Row],[TIENDA]],[1]INFO_LOCALES!$B:$D,3,FALSE),"")</f>
        <v>III - Atacama</v>
      </c>
      <c r="L445" s="5" t="str">
        <f>IFERROR(VLOOKUP(I445,[1]INFO_LOCALES!$B:$I,8,FALSE),"")</f>
        <v>Vallenar</v>
      </c>
      <c r="M445" s="5" t="str">
        <f>IFERROR(VLOOKUP(I445,[1]INFO_LOCALES!$B:$H,7,FALSE),"")</f>
        <v>Brasil 663</v>
      </c>
      <c r="N445" s="5">
        <f>IFERROR(VLOOKUP(I445,[1]INFO_LOCALES!$B:$E,4,FALSE),"")</f>
        <v>0</v>
      </c>
      <c r="O445" s="5" t="str">
        <f>VLOOKUP(Tabla2[[#This Row],[TIENDA]],[1]INFO_LOCALES!$B:$J,9,0)</f>
        <v>CONVENIO</v>
      </c>
      <c r="P445" s="5" t="str">
        <f>IFERROR(VLOOKUP(I445,[1]INFO_LOCALES!$B:$F,5,FALSE),"")</f>
        <v>NUEVA ATACAMA</v>
      </c>
      <c r="Q445" s="5" t="s">
        <v>66</v>
      </c>
      <c r="R445" s="5" t="s">
        <v>58</v>
      </c>
      <c r="S445" s="6">
        <v>45755</v>
      </c>
      <c r="T445" s="5" t="str">
        <f>UPPER(IF(Tabla2[[#This Row],[FECHA DE MUESTREO ]]=0,"",TEXT(Tabla2[[#This Row],[FECHA DE MUESTREO ]],("MMMM"))))</f>
        <v>FEBRERO</v>
      </c>
      <c r="U445" s="6">
        <v>45699</v>
      </c>
      <c r="V445" s="5" t="s">
        <v>59</v>
      </c>
      <c r="W4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5" s="7">
        <f t="shared" si="15"/>
        <v>3</v>
      </c>
      <c r="Y445" s="5">
        <v>9.43</v>
      </c>
      <c r="AA445" s="5">
        <v>45</v>
      </c>
      <c r="AC445" s="5">
        <v>558</v>
      </c>
      <c r="AD445" s="5">
        <v>8.8699999999999992</v>
      </c>
      <c r="AE445" s="5">
        <v>137.80000000000001</v>
      </c>
      <c r="AF445" s="5">
        <v>2</v>
      </c>
      <c r="AG445" s="5">
        <v>171.7</v>
      </c>
      <c r="AI445" s="5">
        <f t="shared" ref="AI445:AI508" si="17">AH445*30</f>
        <v>0</v>
      </c>
      <c r="AY445" s="5">
        <v>1.92</v>
      </c>
    </row>
    <row r="446" spans="1:51" x14ac:dyDescent="0.25">
      <c r="A446" s="5" t="s">
        <v>52</v>
      </c>
      <c r="B446" s="5" t="s">
        <v>140</v>
      </c>
      <c r="C446" s="5" t="s">
        <v>70</v>
      </c>
      <c r="F446" s="5" t="s">
        <v>55</v>
      </c>
      <c r="G446" s="5" t="s">
        <v>61</v>
      </c>
      <c r="H446" s="5" t="s">
        <v>57</v>
      </c>
      <c r="I446" s="5">
        <v>797</v>
      </c>
      <c r="J446" s="5" t="str">
        <f>IFERROR(VLOOKUP(I446,[1]INFO_LOCALES!$B:$C,2,FALSE),"")</f>
        <v>RENCA</v>
      </c>
      <c r="K446" s="5" t="str">
        <f>IFERROR(VLOOKUP(Tabla2[[#This Row],[TIENDA]],[1]INFO_LOCALES!$B:$D,3,FALSE),"")</f>
        <v>RM - Santiago</v>
      </c>
      <c r="L446" s="5" t="str">
        <f>IFERROR(VLOOKUP(I446,[1]INFO_LOCALES!$B:$I,8,FALSE),"")</f>
        <v>Renca</v>
      </c>
      <c r="M446" s="5" t="str">
        <f>IFERROR(VLOOKUP(I446,[1]INFO_LOCALES!$B:$H,7,FALSE),"")</f>
        <v>Av. Brasil 7085</v>
      </c>
      <c r="N446" s="5">
        <f>IFERROR(VLOOKUP(I446,[1]INFO_LOCALES!$B:$E,4,FALSE),"")</f>
        <v>0</v>
      </c>
      <c r="O446" s="5" t="str">
        <f>VLOOKUP(Tabla2[[#This Row],[TIENDA]],[1]INFO_LOCALES!$B:$J,9,0)</f>
        <v>SIN CONVENIO</v>
      </c>
      <c r="P446" s="5" t="str">
        <f>IFERROR(VLOOKUP(I446,[1]INFO_LOCALES!$B:$F,5,FALSE),"")</f>
        <v>AGUAS ANDINAS S.A.</v>
      </c>
      <c r="Q446" s="5" t="s">
        <v>113</v>
      </c>
      <c r="R446" s="5" t="s">
        <v>58</v>
      </c>
      <c r="S446" s="6">
        <v>45748</v>
      </c>
      <c r="T446" s="5" t="s">
        <v>167</v>
      </c>
      <c r="U446" s="6">
        <v>45700</v>
      </c>
      <c r="V446" s="5" t="s">
        <v>59</v>
      </c>
      <c r="W4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6" s="7">
        <f t="shared" si="15"/>
        <v>3</v>
      </c>
      <c r="Y446" s="5">
        <v>401</v>
      </c>
      <c r="Z446" s="5">
        <v>7.8</v>
      </c>
      <c r="AA446" s="5">
        <v>0.8</v>
      </c>
      <c r="AB446" s="5">
        <v>24.5</v>
      </c>
      <c r="AC446" s="5">
        <v>2975</v>
      </c>
      <c r="AD446" s="5">
        <v>4.42</v>
      </c>
      <c r="AE446" s="5">
        <v>75.59</v>
      </c>
      <c r="AF446" s="5">
        <v>2</v>
      </c>
      <c r="AG446" s="5">
        <v>1000</v>
      </c>
      <c r="AH446" s="5">
        <v>3</v>
      </c>
      <c r="AI446" s="5">
        <f t="shared" si="17"/>
        <v>90</v>
      </c>
    </row>
    <row r="447" spans="1:51" x14ac:dyDescent="0.25">
      <c r="A447" s="5" t="s">
        <v>52</v>
      </c>
      <c r="B447" s="5" t="s">
        <v>140</v>
      </c>
      <c r="C447" s="5" t="s">
        <v>70</v>
      </c>
      <c r="F447" s="5" t="s">
        <v>55</v>
      </c>
      <c r="G447" s="5" t="s">
        <v>61</v>
      </c>
      <c r="H447" s="5" t="s">
        <v>57</v>
      </c>
      <c r="I447" s="5">
        <v>797</v>
      </c>
      <c r="J447" s="5" t="str">
        <f>IFERROR(VLOOKUP(I447,[1]INFO_LOCALES!$B:$C,2,FALSE),"")</f>
        <v>RENCA</v>
      </c>
      <c r="K447" s="5" t="str">
        <f>IFERROR(VLOOKUP(Tabla2[[#This Row],[TIENDA]],[1]INFO_LOCALES!$B:$D,3,FALSE),"")</f>
        <v>RM - Santiago</v>
      </c>
      <c r="L447" s="5" t="str">
        <f>IFERROR(VLOOKUP(I447,[1]INFO_LOCALES!$B:$I,8,FALSE),"")</f>
        <v>Renca</v>
      </c>
      <c r="M447" s="5" t="str">
        <f>IFERROR(VLOOKUP(I447,[1]INFO_LOCALES!$B:$H,7,FALSE),"")</f>
        <v>Av. Brasil 7085</v>
      </c>
      <c r="N447" s="5">
        <f>IFERROR(VLOOKUP(I447,[1]INFO_LOCALES!$B:$E,4,FALSE),"")</f>
        <v>0</v>
      </c>
      <c r="O447" s="5" t="str">
        <f>VLOOKUP(Tabla2[[#This Row],[TIENDA]],[1]INFO_LOCALES!$B:$J,9,0)</f>
        <v>SIN CONVENIO</v>
      </c>
      <c r="P447" s="5" t="str">
        <f>IFERROR(VLOOKUP(I447,[1]INFO_LOCALES!$B:$F,5,FALSE),"")</f>
        <v>AGUAS ANDINAS S.A.</v>
      </c>
      <c r="Q447" s="5" t="s">
        <v>113</v>
      </c>
      <c r="R447" s="5" t="s">
        <v>58</v>
      </c>
      <c r="S447" s="6">
        <v>45748</v>
      </c>
      <c r="T447" s="5" t="str">
        <f>UPPER(IF(Tabla2[[#This Row],[FECHA DE MUESTREO ]]=0,"",TEXT(Tabla2[[#This Row],[FECHA DE MUESTREO ]],("MMMM"))))</f>
        <v>FEBRERO</v>
      </c>
      <c r="U447" s="6">
        <v>45700</v>
      </c>
      <c r="V447" s="5" t="s">
        <v>59</v>
      </c>
      <c r="W4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7" s="7">
        <f t="shared" si="15"/>
        <v>3</v>
      </c>
      <c r="Y447" s="5">
        <v>401</v>
      </c>
      <c r="Z447" s="5">
        <v>7.8</v>
      </c>
      <c r="AA447" s="5">
        <v>0.8</v>
      </c>
      <c r="AB447" s="5">
        <v>24.5</v>
      </c>
      <c r="AC447" s="5">
        <v>2975</v>
      </c>
      <c r="AD447" s="5">
        <v>4.42</v>
      </c>
      <c r="AE447" s="5">
        <v>75.59</v>
      </c>
      <c r="AF447" s="5">
        <v>2</v>
      </c>
      <c r="AG447" s="5">
        <v>1000</v>
      </c>
      <c r="AI447" s="5">
        <f t="shared" si="17"/>
        <v>0</v>
      </c>
    </row>
    <row r="448" spans="1:51" x14ac:dyDescent="0.25">
      <c r="A448" s="5" t="s">
        <v>52</v>
      </c>
      <c r="B448" s="5" t="s">
        <v>74</v>
      </c>
      <c r="C448" s="5" t="s">
        <v>74</v>
      </c>
      <c r="F448" s="5" t="s">
        <v>55</v>
      </c>
      <c r="G448" s="5" t="s">
        <v>61</v>
      </c>
      <c r="H448" s="5" t="s">
        <v>57</v>
      </c>
      <c r="I448" s="5">
        <v>465</v>
      </c>
      <c r="J448" s="5" t="str">
        <f>IFERROR(VLOOKUP(I448,[1]INFO_LOCALES!$B:$C,2,FALSE),"")</f>
        <v>PUERTO NATALES</v>
      </c>
      <c r="K448" s="5" t="str">
        <f>IFERROR(VLOOKUP(Tabla2[[#This Row],[TIENDA]],[1]INFO_LOCALES!$B:$D,3,FALSE),"")</f>
        <v>XII - Magallanes</v>
      </c>
      <c r="L448" s="5" t="str">
        <f>IFERROR(VLOOKUP(I448,[1]INFO_LOCALES!$B:$I,8,FALSE),"")</f>
        <v>Puerto Natales</v>
      </c>
      <c r="M448" s="5" t="str">
        <f>IFERROR(VLOOKUP(I448,[1]INFO_LOCALES!$B:$H,7,FALSE),"")</f>
        <v>Bulnes 742</v>
      </c>
      <c r="N448" s="5">
        <f>IFERROR(VLOOKUP(I448,[1]INFO_LOCALES!$B:$E,4,FALSE),"")</f>
        <v>1133</v>
      </c>
      <c r="O448" s="5" t="str">
        <f>VLOOKUP(Tabla2[[#This Row],[TIENDA]],[1]INFO_LOCALES!$B:$J,9,0)</f>
        <v>SIN CONVENIO</v>
      </c>
      <c r="P448" s="5" t="str">
        <f>IFERROR(VLOOKUP(I448,[1]INFO_LOCALES!$B:$F,5,FALSE),"")</f>
        <v>AGUAS MAGALLANES S.A.</v>
      </c>
      <c r="Q448" s="5" t="s">
        <v>71</v>
      </c>
      <c r="R448" s="5" t="s">
        <v>86</v>
      </c>
      <c r="S448" s="6">
        <v>45747</v>
      </c>
      <c r="T448" s="5" t="str">
        <f>UPPER(IF(Tabla2[[#This Row],[FECHA DE MUESTREO ]]=0,"",TEXT(Tabla2[[#This Row],[FECHA DE MUESTREO ]],("MMMM"))))</f>
        <v>FEBRERO</v>
      </c>
      <c r="U448" s="6">
        <v>45701</v>
      </c>
      <c r="V448" s="5" t="s">
        <v>118</v>
      </c>
      <c r="W4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48" s="7">
        <f t="shared" si="15"/>
        <v>1</v>
      </c>
      <c r="Y448" s="5">
        <v>5.0999999999999996</v>
      </c>
      <c r="Z448" s="5">
        <v>7.47</v>
      </c>
      <c r="AA448" s="5">
        <v>2</v>
      </c>
      <c r="AB448" s="5">
        <v>22</v>
      </c>
      <c r="AC448" s="5">
        <v>37.299999999999997</v>
      </c>
      <c r="AD448" s="5">
        <v>2.2999999999999998</v>
      </c>
      <c r="AE448" s="5">
        <v>2.7</v>
      </c>
      <c r="AF448" s="5">
        <v>0.1</v>
      </c>
      <c r="AG448" s="5">
        <v>10</v>
      </c>
      <c r="AH448" s="5">
        <f>0.68*24</f>
        <v>16.32</v>
      </c>
      <c r="AI448" s="5">
        <f t="shared" si="17"/>
        <v>489.6</v>
      </c>
      <c r="AJ448" s="5">
        <v>0.20799999999999999</v>
      </c>
      <c r="AK448" s="5">
        <v>1E-3</v>
      </c>
      <c r="AL448" s="5">
        <v>4.2000000000000003E-2</v>
      </c>
      <c r="AM448" s="5">
        <v>2E-3</v>
      </c>
      <c r="AN448" s="5">
        <v>0.02</v>
      </c>
      <c r="AP448" s="5">
        <v>0.10299999999999999</v>
      </c>
      <c r="AQ448" s="5">
        <v>5.0000000000000001E-3</v>
      </c>
      <c r="AR448" s="5">
        <v>0.02</v>
      </c>
      <c r="AS448" s="5">
        <v>0.5</v>
      </c>
      <c r="AT448" s="5">
        <v>2.9000000000000001E-2</v>
      </c>
      <c r="AU448" s="5">
        <v>1E-3</v>
      </c>
      <c r="AV448" s="5">
        <v>0.01</v>
      </c>
      <c r="AW448" s="5">
        <v>0.02</v>
      </c>
      <c r="AX448" s="5">
        <v>7.82</v>
      </c>
      <c r="AY448" s="5">
        <v>0.1</v>
      </c>
    </row>
    <row r="449" spans="1:51" x14ac:dyDescent="0.25">
      <c r="A449" s="5" t="s">
        <v>52</v>
      </c>
      <c r="B449" s="5" t="s">
        <v>90</v>
      </c>
      <c r="C449" s="5" t="s">
        <v>81</v>
      </c>
      <c r="F449" s="5" t="s">
        <v>55</v>
      </c>
      <c r="G449" s="5" t="s">
        <v>56</v>
      </c>
      <c r="H449" s="5" t="s">
        <v>57</v>
      </c>
      <c r="I449" s="5">
        <v>777</v>
      </c>
      <c r="J449" s="5" t="str">
        <f>IFERROR(VLOOKUP(I449,[1]INFO_LOCALES!$B:$C,2,FALSE),"")</f>
        <v>CENTRAL</v>
      </c>
      <c r="K449" s="5" t="str">
        <f>IFERROR(VLOOKUP(Tabla2[[#This Row],[TIENDA]],[1]INFO_LOCALES!$B:$D,3,FALSE),"")</f>
        <v>X - Los Lagos</v>
      </c>
      <c r="L449" s="5" t="str">
        <f>IFERROR(VLOOKUP(I449,[1]INFO_LOCALES!$B:$I,8,FALSE),"")</f>
        <v>Osorno</v>
      </c>
      <c r="M449" s="5" t="str">
        <f>IFERROR(VLOOKUP(I449,[1]INFO_LOCALES!$B:$H,7,FALSE),"")</f>
        <v>Patricio Lynch 1278</v>
      </c>
      <c r="N449" s="5">
        <f>IFERROR(VLOOKUP(I449,[1]INFO_LOCALES!$B:$E,4,FALSE),"")</f>
        <v>3684</v>
      </c>
      <c r="O449" s="5" t="str">
        <f>VLOOKUP(Tabla2[[#This Row],[TIENDA]],[1]INFO_LOCALES!$B:$J,9,0)</f>
        <v>CONVENIO</v>
      </c>
      <c r="P449" s="5" t="str">
        <f>IFERROR(VLOOKUP(I449,[1]INFO_LOCALES!$B:$F,5,FALSE),"")</f>
        <v>SURALIS</v>
      </c>
      <c r="Q449" s="5" t="s">
        <v>105</v>
      </c>
      <c r="R449" s="5" t="s">
        <v>58</v>
      </c>
      <c r="S449" s="6">
        <v>45747</v>
      </c>
      <c r="T449" s="5" t="str">
        <f>UPPER(IF(Tabla2[[#This Row],[FECHA DE MUESTREO ]]=0,"",TEXT(Tabla2[[#This Row],[FECHA DE MUESTREO ]],("MMMM"))))</f>
        <v>FEBRERO</v>
      </c>
      <c r="U449" s="6">
        <v>45702</v>
      </c>
      <c r="V449" s="5" t="s">
        <v>59</v>
      </c>
      <c r="W4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49" s="7">
        <f t="shared" si="15"/>
        <v>3</v>
      </c>
      <c r="Y449" s="5">
        <v>34</v>
      </c>
      <c r="Z449" s="5">
        <v>7.62</v>
      </c>
      <c r="AA449" s="5">
        <v>4</v>
      </c>
      <c r="AB449" s="5">
        <v>15.7</v>
      </c>
      <c r="AC449" s="5">
        <v>591</v>
      </c>
      <c r="AD449" s="5">
        <v>31</v>
      </c>
      <c r="AE449" s="5">
        <v>20.100000000000001</v>
      </c>
      <c r="AF449" s="5">
        <v>0.5</v>
      </c>
      <c r="AG449" s="5">
        <v>238</v>
      </c>
      <c r="AH449" s="5">
        <v>5</v>
      </c>
      <c r="AI449" s="5">
        <f t="shared" si="17"/>
        <v>150</v>
      </c>
    </row>
    <row r="450" spans="1:51" x14ac:dyDescent="0.25">
      <c r="A450" s="5" t="s">
        <v>52</v>
      </c>
      <c r="B450" s="5" t="s">
        <v>82</v>
      </c>
      <c r="C450" s="5" t="s">
        <v>77</v>
      </c>
      <c r="F450" s="5" t="s">
        <v>55</v>
      </c>
      <c r="G450" s="5" t="s">
        <v>61</v>
      </c>
      <c r="H450" s="5" t="s">
        <v>57</v>
      </c>
      <c r="I450" s="5">
        <v>22</v>
      </c>
      <c r="J450" s="5" t="str">
        <f>IFERROR(VLOOKUP(I450,[1]INFO_LOCALES!$B:$C,2,FALSE),"")</f>
        <v>ATACAMA</v>
      </c>
      <c r="K450" s="5" t="str">
        <f>IFERROR(VLOOKUP(Tabla2[[#This Row],[TIENDA]],[1]INFO_LOCALES!$B:$D,3,FALSE),"")</f>
        <v>III - Atacama</v>
      </c>
      <c r="L450" s="5" t="str">
        <f>IFERROR(VLOOKUP(I450,[1]INFO_LOCALES!$B:$I,8,FALSE),"")</f>
        <v>Copiapó</v>
      </c>
      <c r="M450" s="5" t="str">
        <f>IFERROR(VLOOKUP(I450,[1]INFO_LOCALES!$B:$H,7,FALSE),"")</f>
        <v>Los Carreras 2242</v>
      </c>
      <c r="N450" s="5">
        <f>IFERROR(VLOOKUP(I450,[1]INFO_LOCALES!$B:$E,4,FALSE),"")</f>
        <v>2666</v>
      </c>
      <c r="O450" s="5" t="str">
        <f>VLOOKUP(Tabla2[[#This Row],[TIENDA]],[1]INFO_LOCALES!$B:$J,9,0)</f>
        <v>CONVENIO</v>
      </c>
      <c r="P450" s="5" t="str">
        <f>IFERROR(VLOOKUP(I450,[1]INFO_LOCALES!$B:$F,5,FALSE),"")</f>
        <v>NUEVA ATACAMA</v>
      </c>
      <c r="Q450" s="5" t="s">
        <v>85</v>
      </c>
      <c r="R450" s="5" t="s">
        <v>86</v>
      </c>
      <c r="S450" s="6">
        <v>45731</v>
      </c>
      <c r="T450" s="5" t="str">
        <f>UPPER(IF(Tabla2[[#This Row],[FECHA DE MUESTREO ]]=0,"",TEXT(Tabla2[[#This Row],[FECHA DE MUESTREO ]],("MMMM"))))</f>
        <v>FEBRERO</v>
      </c>
      <c r="U450" s="6">
        <v>45705</v>
      </c>
      <c r="V450" s="5" t="s">
        <v>59</v>
      </c>
      <c r="W4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50" s="7">
        <f t="shared" si="15"/>
        <v>2</v>
      </c>
      <c r="Y450" s="5">
        <v>5.4</v>
      </c>
      <c r="Z450" s="5">
        <v>7.1</v>
      </c>
      <c r="AA450" s="5">
        <v>2</v>
      </c>
      <c r="AB450" s="5">
        <v>24.43</v>
      </c>
      <c r="AC450" s="5">
        <v>385</v>
      </c>
      <c r="AD450" s="5">
        <v>6</v>
      </c>
      <c r="AE450" s="5">
        <v>36.72</v>
      </c>
      <c r="AF450" s="5">
        <v>1</v>
      </c>
      <c r="AG450" s="5">
        <v>105</v>
      </c>
      <c r="AH450" s="5">
        <v>750</v>
      </c>
      <c r="AI450" s="5">
        <f t="shared" si="17"/>
        <v>22500</v>
      </c>
    </row>
    <row r="451" spans="1:51" x14ac:dyDescent="0.25">
      <c r="A451" s="5" t="s">
        <v>52</v>
      </c>
      <c r="B451" s="5" t="s">
        <v>82</v>
      </c>
      <c r="C451" s="5" t="s">
        <v>77</v>
      </c>
      <c r="F451" s="5" t="s">
        <v>55</v>
      </c>
      <c r="G451" s="5" t="s">
        <v>65</v>
      </c>
      <c r="H451" s="5" t="s">
        <v>57</v>
      </c>
      <c r="I451" s="5">
        <v>14</v>
      </c>
      <c r="J451" s="5" t="str">
        <f>IFERROR(VLOOKUP(I451,[1]INFO_LOCALES!$B:$C,2,FALSE),"")</f>
        <v>COPIAPO</v>
      </c>
      <c r="K451" s="5" t="str">
        <f>IFERROR(VLOOKUP(Tabla2[[#This Row],[TIENDA]],[1]INFO_LOCALES!$B:$D,3,FALSE),"")</f>
        <v>III - Atacama</v>
      </c>
      <c r="L451" s="5" t="str">
        <f>IFERROR(VLOOKUP(I451,[1]INFO_LOCALES!$B:$I,8,FALSE),"")</f>
        <v>Copiapó</v>
      </c>
      <c r="M451" s="5" t="str">
        <f>IFERROR(VLOOKUP(I451,[1]INFO_LOCALES!$B:$H,7,FALSE),"")</f>
        <v>Av. Henrriquez N° 523</v>
      </c>
      <c r="N451" s="5">
        <f>IFERROR(VLOOKUP(I451,[1]INFO_LOCALES!$B:$E,4,FALSE),"")</f>
        <v>0</v>
      </c>
      <c r="O451" s="5" t="str">
        <f>VLOOKUP(Tabla2[[#This Row],[TIENDA]],[1]INFO_LOCALES!$B:$J,9,0)</f>
        <v>CONVENIO</v>
      </c>
      <c r="P451" s="5" t="str">
        <f>IFERROR(VLOOKUP(I451,[1]INFO_LOCALES!$B:$F,5,FALSE),"")</f>
        <v>NUEVA ATACAMA</v>
      </c>
      <c r="Q451" s="5" t="s">
        <v>85</v>
      </c>
      <c r="R451" s="5" t="s">
        <v>86</v>
      </c>
      <c r="S451" s="6">
        <v>45731</v>
      </c>
      <c r="T451" s="5" t="str">
        <f>UPPER(IF(Tabla2[[#This Row],[FECHA DE MUESTREO ]]=0,"",TEXT(Tabla2[[#This Row],[FECHA DE MUESTREO ]],("MMMM"))))</f>
        <v>FEBRERO</v>
      </c>
      <c r="U451" s="6">
        <v>45706</v>
      </c>
      <c r="V451" s="5" t="s">
        <v>59</v>
      </c>
      <c r="W4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51" s="7">
        <f t="shared" si="15"/>
        <v>1</v>
      </c>
      <c r="Y451" s="5">
        <v>53.4</v>
      </c>
      <c r="Z451" s="5">
        <v>7.06</v>
      </c>
      <c r="AA451" s="5">
        <v>4</v>
      </c>
      <c r="AB451" s="5">
        <v>21.83</v>
      </c>
      <c r="AC451" s="5">
        <v>296</v>
      </c>
      <c r="AD451" s="5">
        <v>10.8</v>
      </c>
      <c r="AE451" s="5">
        <v>39.33</v>
      </c>
      <c r="AF451" s="5">
        <v>0.5</v>
      </c>
      <c r="AG451" s="5">
        <v>66.7</v>
      </c>
      <c r="AH451" s="5">
        <v>0.69</v>
      </c>
      <c r="AI451" s="5">
        <f t="shared" si="17"/>
        <v>20.7</v>
      </c>
    </row>
    <row r="452" spans="1:51" x14ac:dyDescent="0.25">
      <c r="A452" s="5" t="s">
        <v>52</v>
      </c>
      <c r="B452" s="5" t="s">
        <v>82</v>
      </c>
      <c r="C452" s="5" t="s">
        <v>77</v>
      </c>
      <c r="F452" s="5" t="s">
        <v>55</v>
      </c>
      <c r="G452" s="5" t="s">
        <v>65</v>
      </c>
      <c r="H452" s="5" t="s">
        <v>57</v>
      </c>
      <c r="I452" s="5">
        <v>32</v>
      </c>
      <c r="J452" s="5" t="str">
        <f>IFERROR(VLOOKUP(I452,[1]INFO_LOCALES!$B:$C,2,FALSE),"")</f>
        <v>CHAÑARCILLO</v>
      </c>
      <c r="K452" s="5" t="str">
        <f>IFERROR(VLOOKUP(Tabla2[[#This Row],[TIENDA]],[1]INFO_LOCALES!$B:$D,3,FALSE),"")</f>
        <v>III - Atacama</v>
      </c>
      <c r="L452" s="5" t="str">
        <f>IFERROR(VLOOKUP(I452,[1]INFO_LOCALES!$B:$I,8,FALSE),"")</f>
        <v>Copiapó</v>
      </c>
      <c r="M452" s="5" t="str">
        <f>IFERROR(VLOOKUP(I452,[1]INFO_LOCALES!$B:$H,7,FALSE),"")</f>
        <v>Chacabuco Nº 231</v>
      </c>
      <c r="N452" s="5">
        <f>IFERROR(VLOOKUP(I452,[1]INFO_LOCALES!$B:$E,4,FALSE),"")</f>
        <v>0</v>
      </c>
      <c r="O452" s="5" t="str">
        <f>VLOOKUP(Tabla2[[#This Row],[TIENDA]],[1]INFO_LOCALES!$B:$J,9,0)</f>
        <v>CONVENIO</v>
      </c>
      <c r="P452" s="5" t="str">
        <f>IFERROR(VLOOKUP(I452,[1]INFO_LOCALES!$B:$F,5,FALSE),"")</f>
        <v>NUEVA ATACAMA</v>
      </c>
      <c r="Q452" s="5" t="s">
        <v>85</v>
      </c>
      <c r="R452" s="5" t="s">
        <v>86</v>
      </c>
      <c r="S452" s="6">
        <v>45731</v>
      </c>
      <c r="T452" s="5" t="str">
        <f>UPPER(IF(Tabla2[[#This Row],[FECHA DE MUESTREO ]]=0,"",TEXT(Tabla2[[#This Row],[FECHA DE MUESTREO ]],("MMMM"))))</f>
        <v>FEBRERO</v>
      </c>
      <c r="U452" s="6">
        <v>45707</v>
      </c>
      <c r="V452" s="5" t="s">
        <v>59</v>
      </c>
      <c r="W4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52" s="7">
        <f t="shared" si="15"/>
        <v>1</v>
      </c>
      <c r="Y452" s="5">
        <v>11.3</v>
      </c>
      <c r="Z452" s="5">
        <v>7</v>
      </c>
      <c r="AA452" s="5">
        <v>3</v>
      </c>
      <c r="AB452" s="5">
        <v>27.3</v>
      </c>
      <c r="AC452" s="5">
        <v>195</v>
      </c>
      <c r="AD452" s="5">
        <v>6.6</v>
      </c>
      <c r="AE452" s="5">
        <v>28.74</v>
      </c>
      <c r="AF452" s="5">
        <v>0.7</v>
      </c>
      <c r="AG452" s="5">
        <v>40</v>
      </c>
      <c r="AI452" s="5">
        <f t="shared" si="17"/>
        <v>0</v>
      </c>
    </row>
    <row r="453" spans="1:51" x14ac:dyDescent="0.25">
      <c r="A453" s="5" t="s">
        <v>52</v>
      </c>
      <c r="B453" s="5" t="s">
        <v>82</v>
      </c>
      <c r="C453" s="5" t="s">
        <v>77</v>
      </c>
      <c r="F453" s="5" t="s">
        <v>55</v>
      </c>
      <c r="G453" s="5" t="s">
        <v>65</v>
      </c>
      <c r="H453" s="5" t="s">
        <v>57</v>
      </c>
      <c r="I453" s="5">
        <v>472</v>
      </c>
      <c r="J453" s="5" t="str">
        <f>IFERROR(VLOOKUP(I453,[1]INFO_LOCALES!$B:$C,2,FALSE),"")</f>
        <v>CALDERA I</v>
      </c>
      <c r="K453" s="5" t="str">
        <f>IFERROR(VLOOKUP(Tabla2[[#This Row],[TIENDA]],[1]INFO_LOCALES!$B:$D,3,FALSE),"")</f>
        <v>III - Atacama</v>
      </c>
      <c r="L453" s="5" t="str">
        <f>IFERROR(VLOOKUP(I453,[1]INFO_LOCALES!$B:$I,8,FALSE),"")</f>
        <v>Caldera</v>
      </c>
      <c r="M453" s="5" t="str">
        <f>IFERROR(VLOOKUP(I453,[1]INFO_LOCALES!$B:$H,7,FALSE),"")</f>
        <v>Batallon Atacama 319</v>
      </c>
      <c r="N453" s="5">
        <f>IFERROR(VLOOKUP(I453,[1]INFO_LOCALES!$B:$E,4,FALSE),"")</f>
        <v>0</v>
      </c>
      <c r="O453" s="5" t="str">
        <f>VLOOKUP(Tabla2[[#This Row],[TIENDA]],[1]INFO_LOCALES!$B:$J,9,0)</f>
        <v>CONVENIO</v>
      </c>
      <c r="P453" s="5" t="str">
        <f>IFERROR(VLOOKUP(I453,[1]INFO_LOCALES!$B:$F,5,FALSE),"")</f>
        <v>NUEVA ATACAMA</v>
      </c>
      <c r="Q453" s="5" t="s">
        <v>85</v>
      </c>
      <c r="R453" s="5" t="s">
        <v>86</v>
      </c>
      <c r="S453" s="6">
        <v>45734</v>
      </c>
      <c r="T453" s="5" t="str">
        <f>UPPER(IF(Tabla2[[#This Row],[FECHA DE MUESTREO ]]=0,"",TEXT(Tabla2[[#This Row],[FECHA DE MUESTREO ]],("MMMM"))))</f>
        <v>FEBRERO</v>
      </c>
      <c r="U453" s="6">
        <v>45712</v>
      </c>
      <c r="V453" s="5" t="s">
        <v>59</v>
      </c>
      <c r="W4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53" s="7">
        <f t="shared" si="15"/>
        <v>2</v>
      </c>
      <c r="Y453" s="5">
        <v>11.6</v>
      </c>
      <c r="Z453" s="5">
        <v>7.19</v>
      </c>
      <c r="AA453" s="5">
        <v>2</v>
      </c>
      <c r="AB453" s="5">
        <v>25.64</v>
      </c>
      <c r="AC453" s="5">
        <v>399</v>
      </c>
      <c r="AD453" s="5">
        <v>23.3</v>
      </c>
      <c r="AE453" s="5">
        <v>67.959999999999994</v>
      </c>
      <c r="AF453" s="5">
        <v>2.5</v>
      </c>
      <c r="AG453" s="5">
        <v>96.7</v>
      </c>
      <c r="AH453" s="5">
        <v>1.08</v>
      </c>
      <c r="AI453" s="5">
        <f t="shared" si="17"/>
        <v>32.400000000000006</v>
      </c>
    </row>
    <row r="454" spans="1:51" x14ac:dyDescent="0.25">
      <c r="A454" s="5" t="s">
        <v>52</v>
      </c>
      <c r="B454" s="5" t="s">
        <v>82</v>
      </c>
      <c r="C454" s="5" t="s">
        <v>77</v>
      </c>
      <c r="F454" s="5" t="s">
        <v>55</v>
      </c>
      <c r="G454" s="5" t="s">
        <v>61</v>
      </c>
      <c r="H454" s="5" t="s">
        <v>57</v>
      </c>
      <c r="I454" s="5">
        <v>25</v>
      </c>
      <c r="J454" s="5" t="str">
        <f>IFERROR(VLOOKUP(I454,[1]INFO_LOCALES!$B:$C,2,FALSE),"")</f>
        <v>EL PALOMAR</v>
      </c>
      <c r="K454" s="5" t="str">
        <f>IFERROR(VLOOKUP(Tabla2[[#This Row],[TIENDA]],[1]INFO_LOCALES!$B:$D,3,FALSE),"")</f>
        <v>III - Atacama</v>
      </c>
      <c r="L454" s="5" t="str">
        <f>IFERROR(VLOOKUP(I454,[1]INFO_LOCALES!$B:$I,8,FALSE),"")</f>
        <v>Copiapó</v>
      </c>
      <c r="M454" s="5" t="str">
        <f>IFERROR(VLOOKUP(I454,[1]INFO_LOCALES!$B:$H,7,FALSE),"")</f>
        <v>Av. Palomar 1525</v>
      </c>
      <c r="N454" s="5">
        <f>IFERROR(VLOOKUP(I454,[1]INFO_LOCALES!$B:$E,4,FALSE),"")</f>
        <v>3868</v>
      </c>
      <c r="O454" s="5" t="str">
        <f>VLOOKUP(Tabla2[[#This Row],[TIENDA]],[1]INFO_LOCALES!$B:$J,9,0)</f>
        <v>TERMINADO</v>
      </c>
      <c r="P454" s="5" t="str">
        <f>IFERROR(VLOOKUP(I454,[1]INFO_LOCALES!$B:$F,5,FALSE),"")</f>
        <v>NUEVA ATACAMA</v>
      </c>
      <c r="Q454" s="5" t="s">
        <v>85</v>
      </c>
      <c r="R454" s="5" t="s">
        <v>86</v>
      </c>
      <c r="S454" s="6">
        <v>45735</v>
      </c>
      <c r="T454" s="5" t="str">
        <f>UPPER(IF(Tabla2[[#This Row],[FECHA DE MUESTREO ]]=0,"",TEXT(Tabla2[[#This Row],[FECHA DE MUESTREO ]],("MMMM"))))</f>
        <v>FEBRERO</v>
      </c>
      <c r="U454" s="6">
        <v>45713</v>
      </c>
      <c r="V454" s="5" t="s">
        <v>59</v>
      </c>
      <c r="W4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54" s="7">
        <f t="shared" si="15"/>
        <v>1</v>
      </c>
      <c r="Y454" s="5">
        <v>19.399999999999999</v>
      </c>
      <c r="Z454" s="5">
        <v>7.59</v>
      </c>
      <c r="AA454" s="5">
        <v>5</v>
      </c>
      <c r="AB454" s="5">
        <v>24.19</v>
      </c>
      <c r="AC454" s="5">
        <v>128</v>
      </c>
      <c r="AD454" s="5">
        <v>6</v>
      </c>
      <c r="AE454" s="5">
        <v>33.369999999999997</v>
      </c>
      <c r="AF454" s="5">
        <v>0.6</v>
      </c>
      <c r="AG454" s="5">
        <v>16.399999999999999</v>
      </c>
      <c r="AH454" s="5">
        <v>0.9</v>
      </c>
      <c r="AI454" s="5">
        <f t="shared" si="17"/>
        <v>27</v>
      </c>
    </row>
    <row r="455" spans="1:51" x14ac:dyDescent="0.25">
      <c r="A455" s="5" t="s">
        <v>52</v>
      </c>
      <c r="B455" s="5" t="s">
        <v>82</v>
      </c>
      <c r="C455" s="5" t="s">
        <v>77</v>
      </c>
      <c r="F455" s="5" t="s">
        <v>55</v>
      </c>
      <c r="G455" s="5" t="s">
        <v>65</v>
      </c>
      <c r="H455" s="5" t="s">
        <v>57</v>
      </c>
      <c r="I455" s="5">
        <v>24</v>
      </c>
      <c r="J455" s="5" t="str">
        <f>IFERROR(VLOOKUP(I455,[1]INFO_LOCALES!$B:$C,2,FALSE),"")</f>
        <v>CHACABUCO</v>
      </c>
      <c r="K455" s="5" t="str">
        <f>IFERROR(VLOOKUP(Tabla2[[#This Row],[TIENDA]],[1]INFO_LOCALES!$B:$D,3,FALSE),"")</f>
        <v>III - Atacama</v>
      </c>
      <c r="L455" s="5" t="str">
        <f>IFERROR(VLOOKUP(I455,[1]INFO_LOCALES!$B:$I,8,FALSE),"")</f>
        <v>Copiapó</v>
      </c>
      <c r="M455" s="5" t="str">
        <f>IFERROR(VLOOKUP(I455,[1]INFO_LOCALES!$B:$H,7,FALSE),"")</f>
        <v>Los Carreras  586</v>
      </c>
      <c r="N455" s="5">
        <f>IFERROR(VLOOKUP(I455,[1]INFO_LOCALES!$B:$E,4,FALSE),"")</f>
        <v>0</v>
      </c>
      <c r="O455" s="5" t="str">
        <f>VLOOKUP(Tabla2[[#This Row],[TIENDA]],[1]INFO_LOCALES!$B:$J,9,0)</f>
        <v>SIN CONVENIO</v>
      </c>
      <c r="P455" s="5" t="str">
        <f>IFERROR(VLOOKUP(I455,[1]INFO_LOCALES!$B:$F,5,FALSE),"")</f>
        <v>NUEVA ATACAMA</v>
      </c>
      <c r="Q455" s="5" t="s">
        <v>85</v>
      </c>
      <c r="R455" s="5" t="s">
        <v>86</v>
      </c>
      <c r="S455" s="6">
        <v>45734</v>
      </c>
      <c r="T455" s="5" t="str">
        <f>UPPER(IF(Tabla2[[#This Row],[FECHA DE MUESTREO ]]=0,"",TEXT(Tabla2[[#This Row],[FECHA DE MUESTREO ]],("MMMM"))))</f>
        <v>FEBRERO</v>
      </c>
      <c r="U455" s="6">
        <v>45713</v>
      </c>
      <c r="V455" s="5" t="s">
        <v>59</v>
      </c>
      <c r="W4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55" s="7">
        <f t="shared" si="15"/>
        <v>1</v>
      </c>
      <c r="Y455" s="5">
        <v>16.8</v>
      </c>
      <c r="Z455" s="5">
        <v>7.05</v>
      </c>
      <c r="AA455" s="5">
        <v>4</v>
      </c>
      <c r="AB455" s="5">
        <v>25.19</v>
      </c>
      <c r="AC455" s="5">
        <v>210</v>
      </c>
      <c r="AD455" s="5">
        <v>2.2999999999999998</v>
      </c>
      <c r="AE455" s="5">
        <v>14.17</v>
      </c>
      <c r="AF455" s="5">
        <v>0.8</v>
      </c>
      <c r="AG455" s="5">
        <v>23</v>
      </c>
      <c r="AH455" s="5">
        <v>0.61</v>
      </c>
      <c r="AI455" s="5">
        <f t="shared" si="17"/>
        <v>18.3</v>
      </c>
    </row>
    <row r="456" spans="1:51" x14ac:dyDescent="0.25">
      <c r="A456" s="5" t="s">
        <v>52</v>
      </c>
      <c r="B456" s="5" t="s">
        <v>82</v>
      </c>
      <c r="C456" s="5" t="s">
        <v>77</v>
      </c>
      <c r="F456" s="5" t="s">
        <v>55</v>
      </c>
      <c r="G456" s="5" t="s">
        <v>65</v>
      </c>
      <c r="H456" s="5" t="s">
        <v>57</v>
      </c>
      <c r="I456" s="5">
        <v>16</v>
      </c>
      <c r="J456" s="5" t="str">
        <f>IFERROR(VLOOKUP(I456,[1]INFO_LOCALES!$B:$C,2,FALSE),"")</f>
        <v>VALLENAR II</v>
      </c>
      <c r="K456" s="5" t="str">
        <f>IFERROR(VLOOKUP(Tabla2[[#This Row],[TIENDA]],[1]INFO_LOCALES!$B:$D,3,FALSE),"")</f>
        <v>III - Atacama</v>
      </c>
      <c r="L456" s="5" t="str">
        <f>IFERROR(VLOOKUP(I456,[1]INFO_LOCALES!$B:$I,8,FALSE),"")</f>
        <v>Vallenar</v>
      </c>
      <c r="M456" s="5" t="str">
        <f>IFERROR(VLOOKUP(I456,[1]INFO_LOCALES!$B:$H,7,FALSE),"")</f>
        <v>Arturo Prat 2350</v>
      </c>
      <c r="N456" s="5">
        <f>IFERROR(VLOOKUP(I456,[1]INFO_LOCALES!$B:$E,4,FALSE),"")</f>
        <v>0</v>
      </c>
      <c r="O456" s="5" t="str">
        <f>VLOOKUP(Tabla2[[#This Row],[TIENDA]],[1]INFO_LOCALES!$B:$J,9,0)</f>
        <v>TERMINADO</v>
      </c>
      <c r="P456" s="5" t="str">
        <f>IFERROR(VLOOKUP(I456,[1]INFO_LOCALES!$B:$F,5,FALSE),"")</f>
        <v>NUEVA ATACAMA</v>
      </c>
      <c r="Q456" s="5" t="s">
        <v>85</v>
      </c>
      <c r="R456" s="5" t="s">
        <v>86</v>
      </c>
      <c r="S456" s="6">
        <v>45741</v>
      </c>
      <c r="T456" s="5" t="str">
        <f>UPPER(IF(Tabla2[[#This Row],[FECHA DE MUESTREO ]]=0,"",TEXT(Tabla2[[#This Row],[FECHA DE MUESTREO ]],("MMMM"))))</f>
        <v>FEBRERO</v>
      </c>
      <c r="U456" s="6">
        <v>45715</v>
      </c>
      <c r="V456" s="5" t="s">
        <v>59</v>
      </c>
      <c r="W4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56" s="7">
        <f t="shared" si="15"/>
        <v>3</v>
      </c>
      <c r="Y456" s="5">
        <v>62.5</v>
      </c>
      <c r="Z456" s="5">
        <v>7.54</v>
      </c>
      <c r="AA456" s="5">
        <v>35</v>
      </c>
      <c r="AB456" s="5">
        <v>24.54</v>
      </c>
      <c r="AC456" s="5">
        <v>299</v>
      </c>
      <c r="AD456" s="5">
        <v>15.1</v>
      </c>
      <c r="AE456" s="5">
        <v>5</v>
      </c>
      <c r="AF456" s="5">
        <v>1.3</v>
      </c>
      <c r="AG456" s="5">
        <v>204</v>
      </c>
      <c r="AH456" s="5">
        <v>0.6</v>
      </c>
      <c r="AI456" s="5">
        <f t="shared" si="17"/>
        <v>18</v>
      </c>
    </row>
    <row r="457" spans="1:51" x14ac:dyDescent="0.25">
      <c r="A457" s="5" t="s">
        <v>52</v>
      </c>
      <c r="B457" s="5" t="s">
        <v>82</v>
      </c>
      <c r="C457" s="5" t="s">
        <v>77</v>
      </c>
      <c r="F457" s="5" t="s">
        <v>55</v>
      </c>
      <c r="G457" s="5" t="s">
        <v>65</v>
      </c>
      <c r="H457" s="5" t="s">
        <v>57</v>
      </c>
      <c r="I457" s="5">
        <v>23</v>
      </c>
      <c r="J457" s="5" t="str">
        <f>IFERROR(VLOOKUP(I457,[1]INFO_LOCALES!$B:$C,2,FALSE),"")</f>
        <v>LOS CARRERAS</v>
      </c>
      <c r="K457" s="5" t="str">
        <f>IFERROR(VLOOKUP(Tabla2[[#This Row],[TIENDA]],[1]INFO_LOCALES!$B:$D,3,FALSE),"")</f>
        <v>III - Atacama</v>
      </c>
      <c r="L457" s="5" t="str">
        <f>IFERROR(VLOOKUP(I457,[1]INFO_LOCALES!$B:$I,8,FALSE),"")</f>
        <v>Copiapó</v>
      </c>
      <c r="M457" s="5" t="str">
        <f>IFERROR(VLOOKUP(I457,[1]INFO_LOCALES!$B:$H,7,FALSE),"")</f>
        <v>Los Carrera 479</v>
      </c>
      <c r="N457" s="5">
        <f>IFERROR(VLOOKUP(I457,[1]INFO_LOCALES!$B:$E,4,FALSE),"")</f>
        <v>0</v>
      </c>
      <c r="O457" s="5" t="str">
        <f>VLOOKUP(Tabla2[[#This Row],[TIENDA]],[1]INFO_LOCALES!$B:$J,9,0)</f>
        <v>SIN CONVENIO</v>
      </c>
      <c r="P457" s="5" t="str">
        <f>IFERROR(VLOOKUP(I457,[1]INFO_LOCALES!$B:$F,5,FALSE),"")</f>
        <v>NUEVA ATACAMA</v>
      </c>
      <c r="Q457" s="5" t="s">
        <v>66</v>
      </c>
      <c r="R457" s="5" t="s">
        <v>58</v>
      </c>
      <c r="S457" s="6">
        <v>45755</v>
      </c>
      <c r="T457" s="5" t="str">
        <f>UPPER(IF(Tabla2[[#This Row],[FECHA DE MUESTREO ]]=0,"",TEXT(Tabla2[[#This Row],[FECHA DE MUESTREO ]],("MMMM"))))</f>
        <v>FEBRERO</v>
      </c>
      <c r="U457" s="6">
        <v>45715</v>
      </c>
      <c r="V457" s="5" t="s">
        <v>59</v>
      </c>
      <c r="W4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57" s="7">
        <f t="shared" si="15"/>
        <v>2</v>
      </c>
      <c r="Y457" s="5">
        <v>2.02</v>
      </c>
      <c r="AA457" s="5">
        <v>10</v>
      </c>
      <c r="AC457" s="5">
        <v>365</v>
      </c>
      <c r="AD457" s="5">
        <v>9.99</v>
      </c>
      <c r="AE457" s="5">
        <v>43.8</v>
      </c>
      <c r="AF457" s="5">
        <v>1</v>
      </c>
      <c r="AG457" s="5">
        <v>58</v>
      </c>
      <c r="AI457" s="5">
        <f t="shared" si="17"/>
        <v>0</v>
      </c>
      <c r="AY457" s="5">
        <v>1.8</v>
      </c>
    </row>
    <row r="458" spans="1:51" x14ac:dyDescent="0.25">
      <c r="A458" s="5" t="s">
        <v>52</v>
      </c>
      <c r="B458" s="5" t="s">
        <v>82</v>
      </c>
      <c r="C458" s="5" t="s">
        <v>77</v>
      </c>
      <c r="F458" s="5" t="s">
        <v>55</v>
      </c>
      <c r="G458" s="5" t="s">
        <v>65</v>
      </c>
      <c r="H458" s="5" t="s">
        <v>57</v>
      </c>
      <c r="I458" s="5">
        <v>7</v>
      </c>
      <c r="J458" s="5" t="str">
        <f>IFERROR(VLOOKUP(I458,[1]INFO_LOCALES!$B:$C,2,FALSE),"")</f>
        <v>VALLENAR I</v>
      </c>
      <c r="K458" s="5" t="str">
        <f>IFERROR(VLOOKUP(Tabla2[[#This Row],[TIENDA]],[1]INFO_LOCALES!$B:$D,3,FALSE),"")</f>
        <v>III - Atacama</v>
      </c>
      <c r="L458" s="5" t="str">
        <f>IFERROR(VLOOKUP(I458,[1]INFO_LOCALES!$B:$I,8,FALSE),"")</f>
        <v>Vallenar</v>
      </c>
      <c r="M458" s="5" t="str">
        <f>IFERROR(VLOOKUP(I458,[1]INFO_LOCALES!$B:$H,7,FALSE),"")</f>
        <v>Brasil 663</v>
      </c>
      <c r="N458" s="5">
        <f>IFERROR(VLOOKUP(I458,[1]INFO_LOCALES!$B:$E,4,FALSE),"")</f>
        <v>0</v>
      </c>
      <c r="O458" s="5" t="str">
        <f>VLOOKUP(Tabla2[[#This Row],[TIENDA]],[1]INFO_LOCALES!$B:$J,9,0)</f>
        <v>CONVENIO</v>
      </c>
      <c r="P458" s="5" t="str">
        <f>IFERROR(VLOOKUP(I458,[1]INFO_LOCALES!$B:$F,5,FALSE),"")</f>
        <v>NUEVA ATACAMA</v>
      </c>
      <c r="Q458" s="5" t="s">
        <v>85</v>
      </c>
      <c r="R458" s="5" t="s">
        <v>86</v>
      </c>
      <c r="S458" s="6"/>
      <c r="T458" s="5" t="str">
        <f>UPPER(IF(Tabla2[[#This Row],[FECHA DE MUESTREO ]]=0,"",TEXT(Tabla2[[#This Row],[FECHA DE MUESTREO ]],("MMMM"))))</f>
        <v>FEBRERO</v>
      </c>
      <c r="U458" s="6">
        <v>45715</v>
      </c>
      <c r="V458" s="5" t="s">
        <v>59</v>
      </c>
      <c r="W4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58" s="7">
        <f t="shared" si="15"/>
        <v>1</v>
      </c>
      <c r="Y458" s="5">
        <v>17.8</v>
      </c>
      <c r="Z458" s="5">
        <v>7.48</v>
      </c>
      <c r="AA458" s="5">
        <v>4</v>
      </c>
      <c r="AB458" s="5">
        <v>24.81</v>
      </c>
      <c r="AC458" s="5">
        <v>297</v>
      </c>
      <c r="AD458" s="5">
        <v>11</v>
      </c>
      <c r="AE458" s="5">
        <v>31.16</v>
      </c>
      <c r="AF458" s="5">
        <v>0.5</v>
      </c>
      <c r="AG458" s="5">
        <v>65.3</v>
      </c>
      <c r="AH458" s="5">
        <v>0.89</v>
      </c>
      <c r="AI458" s="5">
        <f t="shared" si="17"/>
        <v>26.7</v>
      </c>
    </row>
    <row r="459" spans="1:51" x14ac:dyDescent="0.25">
      <c r="A459" s="5" t="s">
        <v>52</v>
      </c>
      <c r="B459" s="5" t="s">
        <v>149</v>
      </c>
      <c r="C459" s="5" t="s">
        <v>81</v>
      </c>
      <c r="F459" s="5" t="s">
        <v>55</v>
      </c>
      <c r="G459" s="5" t="s">
        <v>65</v>
      </c>
      <c r="H459" s="5" t="s">
        <v>57</v>
      </c>
      <c r="I459" s="5">
        <v>789</v>
      </c>
      <c r="J459" s="5" t="str">
        <f>IFERROR(VLOOKUP(I459,[1]INFO_LOCALES!$B:$C,2,FALSE),"")</f>
        <v>FRUTILLAR III</v>
      </c>
      <c r="K459" s="5" t="str">
        <f>IFERROR(VLOOKUP(Tabla2[[#This Row],[TIENDA]],[1]INFO_LOCALES!$B:$D,3,FALSE),"")</f>
        <v>X - Los Lagos</v>
      </c>
      <c r="L459" s="5" t="str">
        <f>IFERROR(VLOOKUP(I459,[1]INFO_LOCALES!$B:$I,8,FALSE),"")</f>
        <v>Frutillar</v>
      </c>
      <c r="M459" s="5" t="str">
        <f>IFERROR(VLOOKUP(I459,[1]INFO_LOCALES!$B:$H,7,FALSE),"")</f>
        <v>Arturo Alessandri 381</v>
      </c>
      <c r="N459" s="5">
        <f>IFERROR(VLOOKUP(I459,[1]INFO_LOCALES!$B:$E,4,FALSE),"")</f>
        <v>0</v>
      </c>
      <c r="O459" s="5" t="str">
        <f>VLOOKUP(Tabla2[[#This Row],[TIENDA]],[1]INFO_LOCALES!$B:$J,9,0)</f>
        <v>SIN CONVENIO</v>
      </c>
      <c r="P459" s="5" t="str">
        <f>IFERROR(VLOOKUP(I459,[1]INFO_LOCALES!$B:$F,5,FALSE),"")</f>
        <v>SURALIS</v>
      </c>
      <c r="Q459" s="5" t="s">
        <v>105</v>
      </c>
      <c r="R459" s="5" t="s">
        <v>58</v>
      </c>
      <c r="S459" s="6">
        <v>45747</v>
      </c>
      <c r="T459" s="5" t="str">
        <f>UPPER(IF(Tabla2[[#This Row],[FECHA DE MUESTREO ]]=0,"",TEXT(Tabla2[[#This Row],[FECHA DE MUESTREO ]],("MMMM"))))</f>
        <v>FEBRERO</v>
      </c>
      <c r="U459" s="6">
        <v>45716</v>
      </c>
      <c r="V459" s="5" t="s">
        <v>59</v>
      </c>
      <c r="W4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59" s="7">
        <f t="shared" si="15"/>
        <v>1</v>
      </c>
      <c r="Y459" s="5">
        <v>22</v>
      </c>
      <c r="Z459" s="5">
        <v>7.31</v>
      </c>
      <c r="AA459" s="5">
        <v>2</v>
      </c>
      <c r="AB459" s="5">
        <v>14.7</v>
      </c>
      <c r="AC459" s="5">
        <v>182</v>
      </c>
      <c r="AD459" s="5">
        <v>5</v>
      </c>
      <c r="AE459" s="5">
        <v>14.3</v>
      </c>
      <c r="AF459" s="5">
        <v>1</v>
      </c>
      <c r="AG459" s="5">
        <v>169</v>
      </c>
      <c r="AH459" s="5">
        <v>76</v>
      </c>
      <c r="AI459" s="5">
        <f t="shared" si="17"/>
        <v>2280</v>
      </c>
    </row>
    <row r="460" spans="1:51" x14ac:dyDescent="0.25">
      <c r="A460" s="5" t="s">
        <v>52</v>
      </c>
      <c r="B460" s="5" t="s">
        <v>82</v>
      </c>
      <c r="C460" s="5" t="s">
        <v>77</v>
      </c>
      <c r="F460" s="5" t="s">
        <v>55</v>
      </c>
      <c r="G460" s="5" t="s">
        <v>61</v>
      </c>
      <c r="H460" s="5" t="s">
        <v>57</v>
      </c>
      <c r="I460" s="5">
        <v>22</v>
      </c>
      <c r="J460" s="5" t="str">
        <f>IFERROR(VLOOKUP(I460,[1]INFO_LOCALES!$B:$C,2,FALSE),"")</f>
        <v>ATACAMA</v>
      </c>
      <c r="K460" s="5" t="str">
        <f>IFERROR(VLOOKUP(Tabla2[[#This Row],[TIENDA]],[1]INFO_LOCALES!$B:$D,3,FALSE),"")</f>
        <v>III - Atacama</v>
      </c>
      <c r="L460" s="5" t="str">
        <f>IFERROR(VLOOKUP(I460,[1]INFO_LOCALES!$B:$I,8,FALSE),"")</f>
        <v>Copiapó</v>
      </c>
      <c r="M460" s="5" t="str">
        <f>IFERROR(VLOOKUP(I460,[1]INFO_LOCALES!$B:$H,7,FALSE),"")</f>
        <v>Los Carreras 2242</v>
      </c>
      <c r="N460" s="5">
        <f>IFERROR(VLOOKUP(I460,[1]INFO_LOCALES!$B:$E,4,FALSE),"")</f>
        <v>2666</v>
      </c>
      <c r="O460" s="5" t="str">
        <f>VLOOKUP(Tabla2[[#This Row],[TIENDA]],[1]INFO_LOCALES!$B:$J,9,0)</f>
        <v>CONVENIO</v>
      </c>
      <c r="P460" s="5" t="str">
        <f>IFERROR(VLOOKUP(I460,[1]INFO_LOCALES!$B:$F,5,FALSE),"")</f>
        <v>NUEVA ATACAMA</v>
      </c>
      <c r="Q460" s="5" t="s">
        <v>85</v>
      </c>
      <c r="R460" s="5" t="s">
        <v>86</v>
      </c>
      <c r="S460" s="6">
        <v>45743</v>
      </c>
      <c r="T460" s="5" t="str">
        <f>UPPER(IF(Tabla2[[#This Row],[FECHA DE MUESTREO ]]=0,"",TEXT(Tabla2[[#This Row],[FECHA DE MUESTREO ]],("MMMM"))))</f>
        <v>FEBRERO</v>
      </c>
      <c r="U460" s="6">
        <v>45716</v>
      </c>
      <c r="V460" s="5" t="s">
        <v>59</v>
      </c>
      <c r="W4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60" s="7">
        <f t="shared" si="15"/>
        <v>2</v>
      </c>
      <c r="Y460" s="5">
        <v>7.6</v>
      </c>
      <c r="Z460" s="5">
        <v>7.1</v>
      </c>
      <c r="AA460" s="5">
        <v>8</v>
      </c>
      <c r="AB460" s="5">
        <v>26.85</v>
      </c>
      <c r="AC460" s="5">
        <v>508</v>
      </c>
      <c r="AD460" s="5">
        <v>11.8</v>
      </c>
      <c r="AE460" s="5">
        <v>61.01</v>
      </c>
      <c r="AF460" s="5">
        <v>0.5</v>
      </c>
      <c r="AG460" s="5">
        <v>126</v>
      </c>
      <c r="AH460" s="5">
        <f>0.73*24</f>
        <v>17.52</v>
      </c>
      <c r="AI460" s="5">
        <f t="shared" si="17"/>
        <v>525.6</v>
      </c>
    </row>
    <row r="461" spans="1:51" x14ac:dyDescent="0.25">
      <c r="A461" s="5" t="s">
        <v>52</v>
      </c>
      <c r="B461" s="5" t="s">
        <v>82</v>
      </c>
      <c r="C461" s="5" t="s">
        <v>77</v>
      </c>
      <c r="F461" s="5" t="s">
        <v>55</v>
      </c>
      <c r="G461" s="5" t="s">
        <v>61</v>
      </c>
      <c r="H461" s="5" t="s">
        <v>57</v>
      </c>
      <c r="I461" s="5">
        <v>22</v>
      </c>
      <c r="J461" s="5" t="str">
        <f>IFERROR(VLOOKUP(I461,[1]INFO_LOCALES!$B:$C,2,FALSE),"")</f>
        <v>ATACAMA</v>
      </c>
      <c r="K461" s="5" t="str">
        <f>IFERROR(VLOOKUP(Tabla2[[#This Row],[TIENDA]],[1]INFO_LOCALES!$B:$D,3,FALSE),"")</f>
        <v>III - Atacama</v>
      </c>
      <c r="L461" s="5" t="str">
        <f>IFERROR(VLOOKUP(I461,[1]INFO_LOCALES!$B:$I,8,FALSE),"")</f>
        <v>Copiapó</v>
      </c>
      <c r="M461" s="5" t="str">
        <f>IFERROR(VLOOKUP(I461,[1]INFO_LOCALES!$B:$H,7,FALSE),"")</f>
        <v>Los Carreras 2242</v>
      </c>
      <c r="N461" s="5">
        <f>IFERROR(VLOOKUP(I461,[1]INFO_LOCALES!$B:$E,4,FALSE),"")</f>
        <v>2666</v>
      </c>
      <c r="O461" s="5" t="str">
        <f>VLOOKUP(Tabla2[[#This Row],[TIENDA]],[1]INFO_LOCALES!$B:$J,9,0)</f>
        <v>CONVENIO</v>
      </c>
      <c r="P461" s="5" t="str">
        <f>IFERROR(VLOOKUP(I461,[1]INFO_LOCALES!$B:$F,5,FALSE),"")</f>
        <v>NUEVA ATACAMA</v>
      </c>
      <c r="Q461" s="5" t="s">
        <v>85</v>
      </c>
      <c r="R461" s="5" t="s">
        <v>86</v>
      </c>
      <c r="S461" s="6"/>
      <c r="T461" s="5" t="str">
        <f>UPPER(IF(Tabla2[[#This Row],[FECHA DE MUESTREO ]]=0,"",TEXT(Tabla2[[#This Row],[FECHA DE MUESTREO ]],("MMMM"))))</f>
        <v>FEBRERO</v>
      </c>
      <c r="U461" s="6">
        <v>45716</v>
      </c>
      <c r="V461" s="5" t="s">
        <v>59</v>
      </c>
      <c r="W4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61" s="7">
        <v>3</v>
      </c>
      <c r="Y461" s="5">
        <v>7.6</v>
      </c>
      <c r="Z461" s="5">
        <v>7.1</v>
      </c>
      <c r="AA461" s="5">
        <v>8</v>
      </c>
      <c r="AB461" s="5">
        <v>26.85</v>
      </c>
      <c r="AC461" s="5">
        <v>508</v>
      </c>
      <c r="AD461" s="5">
        <v>11.8</v>
      </c>
      <c r="AE461" s="5">
        <v>61.01</v>
      </c>
      <c r="AF461" s="5">
        <v>0.5</v>
      </c>
      <c r="AG461" s="5">
        <v>126</v>
      </c>
      <c r="AH461" s="5">
        <v>0.73</v>
      </c>
      <c r="AI461" s="5">
        <f t="shared" si="17"/>
        <v>21.9</v>
      </c>
    </row>
    <row r="462" spans="1:51" x14ac:dyDescent="0.25">
      <c r="A462" s="5" t="s">
        <v>52</v>
      </c>
      <c r="B462" s="5" t="s">
        <v>103</v>
      </c>
      <c r="C462" s="5" t="s">
        <v>77</v>
      </c>
      <c r="F462" s="5" t="s">
        <v>55</v>
      </c>
      <c r="G462" s="5" t="s">
        <v>61</v>
      </c>
      <c r="H462" s="5" t="s">
        <v>57</v>
      </c>
      <c r="I462" s="5">
        <v>46</v>
      </c>
      <c r="J462" s="5" t="str">
        <f>IFERROR(VLOOKUP(I462,[1]INFO_LOCALES!$B:$C,2,FALSE),"")</f>
        <v>CALAMA I</v>
      </c>
      <c r="K462" s="5" t="str">
        <f>IFERROR(VLOOKUP(Tabla2[[#This Row],[TIENDA]],[1]INFO_LOCALES!$B:$D,3,FALSE),"")</f>
        <v>II - Antofagasta</v>
      </c>
      <c r="L462" s="5" t="str">
        <f>IFERROR(VLOOKUP(I462,[1]INFO_LOCALES!$B:$I,8,FALSE),"")</f>
        <v>Calama</v>
      </c>
      <c r="M462" s="5" t="str">
        <f>IFERROR(VLOOKUP(I462,[1]INFO_LOCALES!$B:$H,7,FALSE),"")</f>
        <v>Granaderos 3180</v>
      </c>
      <c r="N462" s="5">
        <f>IFERROR(VLOOKUP(I462,[1]INFO_LOCALES!$B:$E,4,FALSE),"")</f>
        <v>3035</v>
      </c>
      <c r="O462" s="5" t="str">
        <f>VLOOKUP(Tabla2[[#This Row],[TIENDA]],[1]INFO_LOCALES!$B:$J,9,0)</f>
        <v>SIN CONVENIO</v>
      </c>
      <c r="P462" s="5" t="str">
        <f>IFERROR(VLOOKUP(I462,[1]INFO_LOCALES!$B:$F,5,FALSE),"")</f>
        <v>AGUAS DE ANTOFAGASTA S A</v>
      </c>
      <c r="Q462" s="5" t="s">
        <v>85</v>
      </c>
      <c r="R462" s="5" t="s">
        <v>86</v>
      </c>
      <c r="S462" s="6"/>
      <c r="T462" s="5" t="str">
        <f>UPPER(IF(Tabla2[[#This Row],[FECHA DE MUESTREO ]]=0,"",TEXT(Tabla2[[#This Row],[FECHA DE MUESTREO ]],("MMMM"))))</f>
        <v>MARZO</v>
      </c>
      <c r="U462" s="6">
        <v>45721</v>
      </c>
      <c r="V462" s="5" t="s">
        <v>59</v>
      </c>
      <c r="W4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62" s="7">
        <v>3</v>
      </c>
      <c r="Y462" s="5">
        <v>32.200000000000003</v>
      </c>
      <c r="Z462" s="5">
        <v>7.56</v>
      </c>
      <c r="AA462" s="5">
        <v>6</v>
      </c>
      <c r="AB462" s="5">
        <v>22.41</v>
      </c>
      <c r="AC462" s="5">
        <v>425</v>
      </c>
      <c r="AD462" s="5">
        <v>15.8</v>
      </c>
      <c r="AE462" s="5">
        <v>43.8</v>
      </c>
      <c r="AF462" s="5">
        <v>0.5</v>
      </c>
      <c r="AG462" s="5">
        <v>175</v>
      </c>
      <c r="AH462" s="5">
        <f ca="1">Tabla2[[#This Row],[VOLUMEN DE DESCARGA MENSUAL (M3/M)]]*30</f>
        <v>0</v>
      </c>
      <c r="AI462" s="5">
        <f t="shared" ca="1" si="17"/>
        <v>0</v>
      </c>
    </row>
    <row r="463" spans="1:51" x14ac:dyDescent="0.25">
      <c r="A463" s="5" t="s">
        <v>52</v>
      </c>
      <c r="B463" s="5" t="s">
        <v>103</v>
      </c>
      <c r="C463" s="5" t="s">
        <v>77</v>
      </c>
      <c r="F463" s="5" t="s">
        <v>55</v>
      </c>
      <c r="G463" s="5" t="s">
        <v>61</v>
      </c>
      <c r="H463" s="5" t="s">
        <v>57</v>
      </c>
      <c r="I463" s="5">
        <v>111</v>
      </c>
      <c r="J463" s="5" t="str">
        <f>IFERROR(VLOOKUP(I463,[1]INFO_LOCALES!$B:$C,2,FALSE),"")</f>
        <v>CALAMA II</v>
      </c>
      <c r="K463" s="5" t="str">
        <f>IFERROR(VLOOKUP(Tabla2[[#This Row],[TIENDA]],[1]INFO_LOCALES!$B:$D,3,FALSE),"")</f>
        <v>II - Antofagasta</v>
      </c>
      <c r="L463" s="5" t="str">
        <f>IFERROR(VLOOKUP(I463,[1]INFO_LOCALES!$B:$I,8,FALSE),"")</f>
        <v>Calama</v>
      </c>
      <c r="M463" s="5" t="str">
        <f>IFERROR(VLOOKUP(I463,[1]INFO_LOCALES!$B:$H,7,FALSE),"")</f>
        <v>Aconcagua 2588</v>
      </c>
      <c r="N463" s="5">
        <f>IFERROR(VLOOKUP(I463,[1]INFO_LOCALES!$B:$E,4,FALSE),"")</f>
        <v>2966</v>
      </c>
      <c r="O463" s="5" t="str">
        <f>VLOOKUP(Tabla2[[#This Row],[TIENDA]],[1]INFO_LOCALES!$B:$J,9,0)</f>
        <v>SIN CONVENIO</v>
      </c>
      <c r="P463" s="5" t="str">
        <f>IFERROR(VLOOKUP(I463,[1]INFO_LOCALES!$B:$F,5,FALSE),"")</f>
        <v>AGUAS DE ANTOFAGASTA S A</v>
      </c>
      <c r="Q463" s="5" t="s">
        <v>85</v>
      </c>
      <c r="R463" s="5" t="s">
        <v>86</v>
      </c>
      <c r="S463" s="6"/>
      <c r="T463" s="5" t="str">
        <f>UPPER(IF(Tabla2[[#This Row],[FECHA DE MUESTREO ]]=0,"",TEXT(Tabla2[[#This Row],[FECHA DE MUESTREO ]],("MMMM"))))</f>
        <v>MARZO</v>
      </c>
      <c r="U463" s="6">
        <v>45722</v>
      </c>
      <c r="V463" s="5" t="s">
        <v>59</v>
      </c>
      <c r="W4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63" s="7">
        <v>3</v>
      </c>
      <c r="Y463" s="5">
        <v>60.4</v>
      </c>
      <c r="Z463" s="5">
        <v>7.33</v>
      </c>
      <c r="AA463" s="5">
        <v>3</v>
      </c>
      <c r="AB463" s="5">
        <v>23.26</v>
      </c>
      <c r="AC463" s="5">
        <v>394</v>
      </c>
      <c r="AD463" s="5">
        <v>12.6</v>
      </c>
      <c r="AE463" s="5">
        <v>27.49</v>
      </c>
      <c r="AF463" s="5">
        <v>6</v>
      </c>
      <c r="AG463" s="5">
        <v>332.5</v>
      </c>
      <c r="AH463" s="5">
        <v>0.94</v>
      </c>
      <c r="AI463" s="5">
        <f t="shared" si="17"/>
        <v>28.2</v>
      </c>
    </row>
    <row r="464" spans="1:51" x14ac:dyDescent="0.25">
      <c r="A464" s="5" t="s">
        <v>52</v>
      </c>
      <c r="B464" s="5" t="s">
        <v>149</v>
      </c>
      <c r="C464" s="5" t="s">
        <v>81</v>
      </c>
      <c r="F464" s="5" t="s">
        <v>55</v>
      </c>
      <c r="G464" s="5" t="s">
        <v>61</v>
      </c>
      <c r="H464" s="5" t="s">
        <v>57</v>
      </c>
      <c r="I464" s="5">
        <v>771</v>
      </c>
      <c r="J464" s="5" t="str">
        <f>IFERROR(VLOOKUP(I464,[1]INFO_LOCALES!$B:$C,2,FALSE),"")</f>
        <v>MIRASOL</v>
      </c>
      <c r="K464" s="5" t="str">
        <f>IFERROR(VLOOKUP(Tabla2[[#This Row],[TIENDA]],[1]INFO_LOCALES!$B:$D,3,FALSE),"")</f>
        <v>X - Los Lagos</v>
      </c>
      <c r="L464" s="5" t="str">
        <f>IFERROR(VLOOKUP(I464,[1]INFO_LOCALES!$B:$I,8,FALSE),"")</f>
        <v>Puerto Montt</v>
      </c>
      <c r="M464" s="5" t="str">
        <f>IFERROR(VLOOKUP(I464,[1]INFO_LOCALES!$B:$H,7,FALSE),"")</f>
        <v>Av. La Cruz 2006</v>
      </c>
      <c r="N464" s="5">
        <f>IFERROR(VLOOKUP(I464,[1]INFO_LOCALES!$B:$E,4,FALSE),"")</f>
        <v>3723</v>
      </c>
      <c r="O464" s="5" t="str">
        <f>VLOOKUP(Tabla2[[#This Row],[TIENDA]],[1]INFO_LOCALES!$B:$J,9,0)</f>
        <v>SIN CONVENIO</v>
      </c>
      <c r="P464" s="5" t="str">
        <f>IFERROR(VLOOKUP(I464,[1]INFO_LOCALES!$B:$F,5,FALSE),"")</f>
        <v>SURALIS</v>
      </c>
      <c r="Q464" s="5" t="s">
        <v>105</v>
      </c>
      <c r="R464" s="5" t="s">
        <v>58</v>
      </c>
      <c r="S464" s="6">
        <v>45777</v>
      </c>
      <c r="T464" s="5" t="str">
        <f>UPPER(IF(Tabla2[[#This Row],[FECHA DE MUESTREO ]]=0,"",TEXT(Tabla2[[#This Row],[FECHA DE MUESTREO ]],("MMMM"))))</f>
        <v>MARZO</v>
      </c>
      <c r="U464" s="6">
        <v>45727</v>
      </c>
      <c r="V464" s="5" t="s">
        <v>59</v>
      </c>
      <c r="W4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64" s="7">
        <f>IF(W464="CUMPLE",1,IF(W464="CUMPLE CON TOLERANCIA",2,IF(W464="NO CUMPLE",3)))</f>
        <v>2</v>
      </c>
      <c r="Y464" s="5">
        <v>30</v>
      </c>
      <c r="Z464" s="5">
        <v>7.03</v>
      </c>
      <c r="AA464" s="5">
        <v>7</v>
      </c>
      <c r="AB464" s="5">
        <v>11.3</v>
      </c>
      <c r="AC464" s="5">
        <v>217</v>
      </c>
      <c r="AD464" s="5">
        <v>11.7</v>
      </c>
      <c r="AE464" s="5">
        <v>90.3</v>
      </c>
      <c r="AF464" s="5">
        <v>1.5</v>
      </c>
      <c r="AG464" s="5">
        <v>278</v>
      </c>
      <c r="AI464" s="5">
        <f t="shared" si="17"/>
        <v>0</v>
      </c>
    </row>
    <row r="465" spans="1:51" x14ac:dyDescent="0.25">
      <c r="A465" s="5" t="s">
        <v>52</v>
      </c>
      <c r="B465" s="5" t="s">
        <v>90</v>
      </c>
      <c r="C465" s="5" t="s">
        <v>81</v>
      </c>
      <c r="F465" s="5" t="s">
        <v>55</v>
      </c>
      <c r="G465" s="5" t="s">
        <v>65</v>
      </c>
      <c r="H465" s="5" t="s">
        <v>57</v>
      </c>
      <c r="I465" s="5">
        <v>779</v>
      </c>
      <c r="J465" s="5" t="str">
        <f>IFERROR(VLOOKUP(I465,[1]INFO_LOCALES!$B:$C,2,FALSE),"")</f>
        <v>BULNES II</v>
      </c>
      <c r="K465" s="5" t="str">
        <f>IFERROR(VLOOKUP(Tabla2[[#This Row],[TIENDA]],[1]INFO_LOCALES!$B:$D,3,FALSE),"")</f>
        <v>X - Los Lagos</v>
      </c>
      <c r="L465" s="5" t="str">
        <f>IFERROR(VLOOKUP(I465,[1]INFO_LOCALES!$B:$I,8,FALSE),"")</f>
        <v>Osorno</v>
      </c>
      <c r="M465" s="5" t="str">
        <f>IFERROR(VLOOKUP(I465,[1]INFO_LOCALES!$B:$H,7,FALSE),"")</f>
        <v>Ramirez 699</v>
      </c>
      <c r="N465" s="5">
        <f>IFERROR(VLOOKUP(I465,[1]INFO_LOCALES!$B:$E,4,FALSE),"")</f>
        <v>0</v>
      </c>
      <c r="O465" s="5" t="str">
        <f>VLOOKUP(Tabla2[[#This Row],[TIENDA]],[1]INFO_LOCALES!$B:$J,9,0)</f>
        <v>SIN CONVENIO</v>
      </c>
      <c r="P465" s="5" t="str">
        <f>IFERROR(VLOOKUP(I465,[1]INFO_LOCALES!$B:$F,5,FALSE),"")</f>
        <v>SURALIS</v>
      </c>
      <c r="Q465" s="5" t="s">
        <v>105</v>
      </c>
      <c r="R465" s="5" t="s">
        <v>58</v>
      </c>
      <c r="S465" s="6">
        <v>45777</v>
      </c>
      <c r="T465" s="5" t="s">
        <v>132</v>
      </c>
      <c r="U465" s="6">
        <v>45727</v>
      </c>
      <c r="V465" s="5" t="s">
        <v>59</v>
      </c>
      <c r="W465" s="5" t="s">
        <v>211</v>
      </c>
      <c r="X465" s="7">
        <v>1</v>
      </c>
      <c r="Y465" s="5">
        <v>14</v>
      </c>
      <c r="Z465" s="5">
        <v>7.31</v>
      </c>
      <c r="AA465" s="5">
        <v>2</v>
      </c>
      <c r="AB465" s="5">
        <v>21.2</v>
      </c>
      <c r="AC465" s="5">
        <v>185</v>
      </c>
      <c r="AD465" s="5">
        <v>6.7</v>
      </c>
      <c r="AE465" s="5">
        <v>13.47</v>
      </c>
      <c r="AF465" s="5">
        <v>1.5</v>
      </c>
      <c r="AG465" s="5">
        <v>152</v>
      </c>
      <c r="AI465" s="5">
        <f t="shared" si="17"/>
        <v>0</v>
      </c>
    </row>
    <row r="466" spans="1:51" x14ac:dyDescent="0.25">
      <c r="A466" s="5" t="s">
        <v>52</v>
      </c>
      <c r="B466" s="5" t="s">
        <v>90</v>
      </c>
      <c r="C466" s="5" t="s">
        <v>81</v>
      </c>
      <c r="F466" s="5" t="s">
        <v>55</v>
      </c>
      <c r="G466" s="5" t="s">
        <v>61</v>
      </c>
      <c r="H466" s="5" t="s">
        <v>57</v>
      </c>
      <c r="I466" s="5">
        <v>777</v>
      </c>
      <c r="J466" s="5" t="str">
        <f>IFERROR(VLOOKUP(I466,[1]INFO_LOCALES!$B:$C,2,FALSE),"")</f>
        <v>CENTRAL</v>
      </c>
      <c r="K466" s="5" t="str">
        <f>IFERROR(VLOOKUP(Tabla2[[#This Row],[TIENDA]],[1]INFO_LOCALES!$B:$D,3,FALSE),"")</f>
        <v>X - Los Lagos</v>
      </c>
      <c r="L466" s="5" t="str">
        <f>IFERROR(VLOOKUP(I466,[1]INFO_LOCALES!$B:$I,8,FALSE),"")</f>
        <v>Osorno</v>
      </c>
      <c r="M466" s="5" t="str">
        <f>IFERROR(VLOOKUP(I466,[1]INFO_LOCALES!$B:$H,7,FALSE),"")</f>
        <v>Patricio Lynch 1278</v>
      </c>
      <c r="N466" s="5">
        <f>IFERROR(VLOOKUP(I466,[1]INFO_LOCALES!$B:$E,4,FALSE),"")</f>
        <v>3684</v>
      </c>
      <c r="O466" s="5" t="str">
        <f>VLOOKUP(Tabla2[[#This Row],[TIENDA]],[1]INFO_LOCALES!$B:$J,9,0)</f>
        <v>CONVENIO</v>
      </c>
      <c r="P466" s="5" t="str">
        <f>IFERROR(VLOOKUP(I466,[1]INFO_LOCALES!$B:$F,5,FALSE),"")</f>
        <v>SURALIS</v>
      </c>
      <c r="Q466" s="5" t="s">
        <v>105</v>
      </c>
      <c r="R466" s="5" t="s">
        <v>58</v>
      </c>
      <c r="S466" s="6">
        <v>45777</v>
      </c>
      <c r="T466" s="5" t="str">
        <f>UPPER(IF(Tabla2[[#This Row],[FECHA DE MUESTREO ]]=0,"",TEXT(Tabla2[[#This Row],[FECHA DE MUESTREO ]],("MMMM"))))</f>
        <v>MARZO</v>
      </c>
      <c r="U466" s="6">
        <v>45730</v>
      </c>
      <c r="V466" s="5" t="s">
        <v>59</v>
      </c>
      <c r="W4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66" s="7">
        <f t="shared" ref="X466:X481" si="18">IF(W466="CUMPLE",1,IF(W466="CUMPLE CON TOLERANCIA",2,IF(W466="NO CUMPLE",3)))</f>
        <v>1</v>
      </c>
      <c r="Y466" s="5">
        <v>14</v>
      </c>
      <c r="Z466" s="5">
        <v>7.21</v>
      </c>
      <c r="AA466" s="5">
        <v>2</v>
      </c>
      <c r="AB466" s="5">
        <v>10.4</v>
      </c>
      <c r="AC466" s="5">
        <v>217</v>
      </c>
      <c r="AD466" s="5">
        <v>3.2</v>
      </c>
      <c r="AE466" s="5">
        <v>9.57</v>
      </c>
      <c r="AF466" s="5">
        <v>3.5</v>
      </c>
      <c r="AG466" s="5">
        <v>59</v>
      </c>
      <c r="AI466" s="5">
        <f t="shared" si="17"/>
        <v>0</v>
      </c>
    </row>
    <row r="467" spans="1:51" x14ac:dyDescent="0.25">
      <c r="A467" s="5" t="s">
        <v>52</v>
      </c>
      <c r="B467" s="5" t="s">
        <v>90</v>
      </c>
      <c r="C467" s="5" t="s">
        <v>81</v>
      </c>
      <c r="F467" s="5" t="s">
        <v>55</v>
      </c>
      <c r="G467" s="5" t="s">
        <v>61</v>
      </c>
      <c r="H467" s="5" t="s">
        <v>57</v>
      </c>
      <c r="I467" s="5">
        <v>375</v>
      </c>
      <c r="J467" s="5" t="str">
        <f>IFERROR(VLOOKUP(I467,[1]INFO_LOCALES!$B:$C,2,FALSE),"")</f>
        <v>ARAUCO</v>
      </c>
      <c r="K467" s="5" t="str">
        <f>IFERROR(VLOOKUP(Tabla2[[#This Row],[TIENDA]],[1]INFO_LOCALES!$B:$D,3,FALSE),"")</f>
        <v>XIV - Los Ríos</v>
      </c>
      <c r="L467" s="5" t="str">
        <f>IFERROR(VLOOKUP(I467,[1]INFO_LOCALES!$B:$I,8,FALSE),"")</f>
        <v>Valdivia</v>
      </c>
      <c r="M467" s="5" t="str">
        <f>IFERROR(VLOOKUP(I467,[1]INFO_LOCALES!$B:$H,7,FALSE),"")</f>
        <v>Arauco 697</v>
      </c>
      <c r="N467" s="5">
        <f>IFERROR(VLOOKUP(I467,[1]INFO_LOCALES!$B:$E,4,FALSE),"")</f>
        <v>3420</v>
      </c>
      <c r="O467" s="5" t="str">
        <f>VLOOKUP(Tabla2[[#This Row],[TIENDA]],[1]INFO_LOCALES!$B:$J,9,0)</f>
        <v>CONVENIO</v>
      </c>
      <c r="P467" s="5" t="str">
        <f>IFERROR(VLOOKUP(I467,[1]INFO_LOCALES!$B:$F,5,FALSE),"")</f>
        <v>AGUAS DECIMA S A</v>
      </c>
      <c r="Q467" s="5" t="s">
        <v>105</v>
      </c>
      <c r="R467" s="5" t="s">
        <v>58</v>
      </c>
      <c r="S467" s="6">
        <v>45768</v>
      </c>
      <c r="T467" s="5" t="str">
        <f>UPPER(IF(Tabla2[[#This Row],[FECHA DE MUESTREO ]]=0,"",TEXT(Tabla2[[#This Row],[FECHA DE MUESTREO ]],("MMMM"))))</f>
        <v>MARZO</v>
      </c>
      <c r="U467" s="6">
        <v>45730</v>
      </c>
      <c r="V467" s="5" t="s">
        <v>59</v>
      </c>
      <c r="W4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67" s="7">
        <f t="shared" si="18"/>
        <v>1</v>
      </c>
      <c r="Y467" s="5">
        <v>14</v>
      </c>
      <c r="Z467" s="5">
        <v>7.98</v>
      </c>
      <c r="AA467" s="5">
        <v>2</v>
      </c>
      <c r="AB467" s="5">
        <v>19</v>
      </c>
      <c r="AC467" s="5">
        <v>41</v>
      </c>
      <c r="AD467" s="5">
        <v>2.9</v>
      </c>
      <c r="AE467" s="5">
        <v>12.9</v>
      </c>
      <c r="AG467" s="5">
        <v>6</v>
      </c>
      <c r="AH467" s="5">
        <v>1.944</v>
      </c>
      <c r="AI467" s="5">
        <f t="shared" si="17"/>
        <v>58.32</v>
      </c>
    </row>
    <row r="468" spans="1:51" x14ac:dyDescent="0.25">
      <c r="A468" s="5" t="s">
        <v>52</v>
      </c>
      <c r="B468" s="5" t="s">
        <v>90</v>
      </c>
      <c r="C468" s="5" t="s">
        <v>81</v>
      </c>
      <c r="F468" s="5" t="s">
        <v>55</v>
      </c>
      <c r="G468" s="5" t="s">
        <v>61</v>
      </c>
      <c r="H468" s="5" t="s">
        <v>57</v>
      </c>
      <c r="I468" s="5">
        <v>375</v>
      </c>
      <c r="J468" s="5" t="str">
        <f>IFERROR(VLOOKUP(I468,[1]INFO_LOCALES!$B:$C,2,FALSE),"")</f>
        <v>ARAUCO</v>
      </c>
      <c r="K468" s="5" t="str">
        <f>IFERROR(VLOOKUP(Tabla2[[#This Row],[TIENDA]],[1]INFO_LOCALES!$B:$D,3,FALSE),"")</f>
        <v>XIV - Los Ríos</v>
      </c>
      <c r="L468" s="5" t="str">
        <f>IFERROR(VLOOKUP(I468,[1]INFO_LOCALES!$B:$I,8,FALSE),"")</f>
        <v>Valdivia</v>
      </c>
      <c r="M468" s="5" t="str">
        <f>IFERROR(VLOOKUP(I468,[1]INFO_LOCALES!$B:$H,7,FALSE),"")</f>
        <v>Arauco 697</v>
      </c>
      <c r="N468" s="5">
        <f>IFERROR(VLOOKUP(I468,[1]INFO_LOCALES!$B:$E,4,FALSE),"")</f>
        <v>3420</v>
      </c>
      <c r="O468" s="5" t="str">
        <f>VLOOKUP(Tabla2[[#This Row],[TIENDA]],[1]INFO_LOCALES!$B:$J,9,0)</f>
        <v>CONVENIO</v>
      </c>
      <c r="P468" s="5" t="str">
        <f>IFERROR(VLOOKUP(I468,[1]INFO_LOCALES!$B:$F,5,FALSE),"")</f>
        <v>AGUAS DECIMA S A</v>
      </c>
      <c r="Q468" s="5" t="s">
        <v>105</v>
      </c>
      <c r="R468" s="5" t="s">
        <v>58</v>
      </c>
      <c r="S468" s="6">
        <v>45768</v>
      </c>
      <c r="T468" s="5" t="str">
        <f>UPPER(IF(Tabla2[[#This Row],[FECHA DE MUESTREO ]]=0,"",TEXT(Tabla2[[#This Row],[FECHA DE MUESTREO ]],("MMMM"))))</f>
        <v>MARZO</v>
      </c>
      <c r="U468" s="6">
        <v>45733</v>
      </c>
      <c r="V468" s="5" t="s">
        <v>59</v>
      </c>
      <c r="W4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68" s="7">
        <f t="shared" si="18"/>
        <v>2</v>
      </c>
      <c r="Y468" s="5">
        <v>14</v>
      </c>
      <c r="Z468" s="5">
        <v>7.7</v>
      </c>
      <c r="AA468" s="5">
        <v>10</v>
      </c>
      <c r="AB468" s="5">
        <v>18</v>
      </c>
      <c r="AC468" s="5">
        <v>280</v>
      </c>
      <c r="AD468" s="5">
        <v>7.6</v>
      </c>
      <c r="AE468" s="5">
        <v>26.83</v>
      </c>
      <c r="AF468" s="5">
        <v>0.5</v>
      </c>
      <c r="AG468" s="5">
        <v>40</v>
      </c>
      <c r="AH468" s="5">
        <v>5.8680000000000003</v>
      </c>
      <c r="AI468" s="5">
        <f t="shared" si="17"/>
        <v>176.04000000000002</v>
      </c>
    </row>
    <row r="469" spans="1:51" x14ac:dyDescent="0.25">
      <c r="A469" s="5" t="s">
        <v>52</v>
      </c>
      <c r="B469" s="5" t="s">
        <v>90</v>
      </c>
      <c r="C469" s="5" t="s">
        <v>81</v>
      </c>
      <c r="F469" s="5" t="s">
        <v>55</v>
      </c>
      <c r="G469" s="5" t="s">
        <v>61</v>
      </c>
      <c r="H469" s="5" t="s">
        <v>57</v>
      </c>
      <c r="I469" s="5">
        <v>778</v>
      </c>
      <c r="J469" s="5" t="str">
        <f>IFERROR(VLOOKUP(I469,[1]INFO_LOCALES!$B:$C,2,FALSE),"")</f>
        <v>ORIENTE</v>
      </c>
      <c r="K469" s="5" t="str">
        <f>IFERROR(VLOOKUP(Tabla2[[#This Row],[TIENDA]],[1]INFO_LOCALES!$B:$D,3,FALSE),"")</f>
        <v>X - Los Lagos</v>
      </c>
      <c r="L469" s="5" t="str">
        <f>IFERROR(VLOOKUP(I469,[1]INFO_LOCALES!$B:$I,8,FALSE),"")</f>
        <v>Osorno</v>
      </c>
      <c r="M469" s="5" t="str">
        <f>IFERROR(VLOOKUP(I469,[1]INFO_LOCALES!$B:$H,7,FALSE),"")</f>
        <v>Julio Buschman 2223</v>
      </c>
      <c r="N469" s="5">
        <f>IFERROR(VLOOKUP(I469,[1]INFO_LOCALES!$B:$E,4,FALSE),"")</f>
        <v>2867</v>
      </c>
      <c r="O469" s="5" t="str">
        <f>VLOOKUP(Tabla2[[#This Row],[TIENDA]],[1]INFO_LOCALES!$B:$J,9,0)</f>
        <v>CONVENIO</v>
      </c>
      <c r="P469" s="5" t="str">
        <f>IFERROR(VLOOKUP(I469,[1]INFO_LOCALES!$B:$F,5,FALSE),"")</f>
        <v>SURALIS</v>
      </c>
      <c r="Q469" s="5" t="s">
        <v>105</v>
      </c>
      <c r="R469" s="5" t="s">
        <v>58</v>
      </c>
      <c r="S469" s="6">
        <v>45777</v>
      </c>
      <c r="T469" s="5" t="str">
        <f>UPPER(IF(Tabla2[[#This Row],[FECHA DE MUESTREO ]]=0,"",TEXT(Tabla2[[#This Row],[FECHA DE MUESTREO ]],("MMMM"))))</f>
        <v>MARZO</v>
      </c>
      <c r="U469" s="6">
        <v>45734</v>
      </c>
      <c r="V469" s="5" t="s">
        <v>59</v>
      </c>
      <c r="W4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69" s="7">
        <f t="shared" si="18"/>
        <v>1</v>
      </c>
      <c r="Y469" s="5">
        <v>24</v>
      </c>
      <c r="Z469" s="5">
        <v>7.62</v>
      </c>
      <c r="AA469" s="5">
        <v>2</v>
      </c>
      <c r="AB469" s="5">
        <v>15.8</v>
      </c>
      <c r="AC469" s="5">
        <v>206</v>
      </c>
      <c r="AD469" s="5">
        <v>10.9</v>
      </c>
      <c r="AE469" s="5">
        <v>46.7</v>
      </c>
      <c r="AF469" s="5">
        <v>5</v>
      </c>
      <c r="AG469" s="5">
        <v>151</v>
      </c>
      <c r="AI469" s="5">
        <f t="shared" si="17"/>
        <v>0</v>
      </c>
    </row>
    <row r="470" spans="1:51" x14ac:dyDescent="0.25">
      <c r="A470" s="5" t="s">
        <v>52</v>
      </c>
      <c r="B470" s="5" t="s">
        <v>82</v>
      </c>
      <c r="C470" s="5" t="s">
        <v>77</v>
      </c>
      <c r="F470" s="5" t="s">
        <v>55</v>
      </c>
      <c r="G470" s="5" t="s">
        <v>61</v>
      </c>
      <c r="H470" s="5" t="s">
        <v>57</v>
      </c>
      <c r="I470" s="5">
        <v>25</v>
      </c>
      <c r="J470" s="5" t="str">
        <f>IFERROR(VLOOKUP(I470,[1]INFO_LOCALES!$B:$C,2,FALSE),"")</f>
        <v>EL PALOMAR</v>
      </c>
      <c r="K470" s="5" t="str">
        <f>IFERROR(VLOOKUP(Tabla2[[#This Row],[TIENDA]],[1]INFO_LOCALES!$B:$D,3,FALSE),"")</f>
        <v>III - Atacama</v>
      </c>
      <c r="L470" s="5" t="str">
        <f>IFERROR(VLOOKUP(I470,[1]INFO_LOCALES!$B:$I,8,FALSE),"")</f>
        <v>Copiapó</v>
      </c>
      <c r="M470" s="5" t="str">
        <f>IFERROR(VLOOKUP(I470,[1]INFO_LOCALES!$B:$H,7,FALSE),"")</f>
        <v>Av. Palomar 1525</v>
      </c>
      <c r="N470" s="5">
        <f>IFERROR(VLOOKUP(I470,[1]INFO_LOCALES!$B:$E,4,FALSE),"")</f>
        <v>3868</v>
      </c>
      <c r="O470" s="5" t="str">
        <f>VLOOKUP(Tabla2[[#This Row],[TIENDA]],[1]INFO_LOCALES!$B:$J,9,0)</f>
        <v>TERMINADO</v>
      </c>
      <c r="P470" s="5" t="str">
        <f>IFERROR(VLOOKUP(I470,[1]INFO_LOCALES!$B:$F,5,FALSE),"")</f>
        <v>NUEVA ATACAMA</v>
      </c>
      <c r="Q470" s="5" t="s">
        <v>85</v>
      </c>
      <c r="R470" s="5" t="s">
        <v>86</v>
      </c>
      <c r="S470" s="6"/>
      <c r="T470" s="5" t="str">
        <f>UPPER(IF(Tabla2[[#This Row],[FECHA DE MUESTREO ]]=0,"",TEXT(Tabla2[[#This Row],[FECHA DE MUESTREO ]],("MMMM"))))</f>
        <v>MARZO</v>
      </c>
      <c r="U470" s="6">
        <v>45736</v>
      </c>
      <c r="V470" s="5" t="s">
        <v>59</v>
      </c>
      <c r="W4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70" s="7">
        <f t="shared" si="18"/>
        <v>1</v>
      </c>
      <c r="Y470" s="5">
        <v>36.1</v>
      </c>
      <c r="Z470" s="5">
        <v>7.85</v>
      </c>
      <c r="AA470" s="5">
        <v>3</v>
      </c>
      <c r="AB470" s="5">
        <v>21.26</v>
      </c>
      <c r="AC470" s="5">
        <v>105</v>
      </c>
      <c r="AD470" s="5">
        <v>5</v>
      </c>
      <c r="AE470" s="5">
        <v>34.53</v>
      </c>
      <c r="AF470" s="5">
        <v>0.5</v>
      </c>
      <c r="AG470" s="5">
        <v>69</v>
      </c>
      <c r="AH470" s="5">
        <v>0.93</v>
      </c>
      <c r="AI470" s="5">
        <f t="shared" si="17"/>
        <v>27.900000000000002</v>
      </c>
      <c r="AJ470" s="5">
        <v>0.1431</v>
      </c>
      <c r="AK470" s="5">
        <v>2E-3</v>
      </c>
      <c r="AL470" s="5">
        <v>1.8415999999999999</v>
      </c>
      <c r="AM470" s="5">
        <v>0.01</v>
      </c>
      <c r="AN470" s="5">
        <v>0.1</v>
      </c>
      <c r="AO470" s="5">
        <v>0.12239999999999999</v>
      </c>
      <c r="AP470" s="5">
        <v>0.05</v>
      </c>
      <c r="AQ470" s="5">
        <v>0.05</v>
      </c>
      <c r="AR470" s="5">
        <v>0.05</v>
      </c>
      <c r="AS470" s="5">
        <v>5</v>
      </c>
      <c r="AT470" s="5">
        <v>3.56E-2</v>
      </c>
      <c r="AU470" s="5">
        <v>1E-3</v>
      </c>
      <c r="AV470" s="5">
        <v>0.05</v>
      </c>
      <c r="AW470" s="5">
        <v>0.05</v>
      </c>
      <c r="AX470" s="5">
        <v>544</v>
      </c>
      <c r="AY470" s="5">
        <v>0.5</v>
      </c>
    </row>
    <row r="471" spans="1:51" x14ac:dyDescent="0.25">
      <c r="A471" s="5" t="s">
        <v>52</v>
      </c>
      <c r="B471" s="5" t="s">
        <v>82</v>
      </c>
      <c r="C471" s="5" t="s">
        <v>77</v>
      </c>
      <c r="F471" s="5" t="s">
        <v>55</v>
      </c>
      <c r="G471" s="5" t="s">
        <v>65</v>
      </c>
      <c r="H471" s="5" t="s">
        <v>57</v>
      </c>
      <c r="I471" s="5">
        <v>32</v>
      </c>
      <c r="J471" s="5" t="str">
        <f>IFERROR(VLOOKUP(I471,[1]INFO_LOCALES!$B:$C,2,FALSE),"")</f>
        <v>CHAÑARCILLO</v>
      </c>
      <c r="K471" s="5" t="str">
        <f>IFERROR(VLOOKUP(Tabla2[[#This Row],[TIENDA]],[1]INFO_LOCALES!$B:$D,3,FALSE),"")</f>
        <v>III - Atacama</v>
      </c>
      <c r="L471" s="5" t="str">
        <f>IFERROR(VLOOKUP(I471,[1]INFO_LOCALES!$B:$I,8,FALSE),"")</f>
        <v>Copiapó</v>
      </c>
      <c r="M471" s="5" t="str">
        <f>IFERROR(VLOOKUP(I471,[1]INFO_LOCALES!$B:$H,7,FALSE),"")</f>
        <v>Chacabuco Nº 231</v>
      </c>
      <c r="N471" s="5">
        <f>IFERROR(VLOOKUP(I471,[1]INFO_LOCALES!$B:$E,4,FALSE),"")</f>
        <v>0</v>
      </c>
      <c r="O471" s="5" t="str">
        <f>VLOOKUP(Tabla2[[#This Row],[TIENDA]],[1]INFO_LOCALES!$B:$J,9,0)</f>
        <v>CONVENIO</v>
      </c>
      <c r="P471" s="5" t="str">
        <f>IFERROR(VLOOKUP(I471,[1]INFO_LOCALES!$B:$F,5,FALSE),"")</f>
        <v>NUEVA ATACAMA</v>
      </c>
      <c r="Q471" s="5" t="s">
        <v>85</v>
      </c>
      <c r="R471" s="5" t="s">
        <v>86</v>
      </c>
      <c r="S471" s="6"/>
      <c r="T471" s="5" t="str">
        <f>UPPER(IF(Tabla2[[#This Row],[FECHA DE MUESTREO ]]=0,"",TEXT(Tabla2[[#This Row],[FECHA DE MUESTREO ]],("MMMM"))))</f>
        <v>MARZO</v>
      </c>
      <c r="U471" s="6">
        <v>45736</v>
      </c>
      <c r="V471" s="5" t="s">
        <v>59</v>
      </c>
      <c r="W4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71" s="7">
        <f t="shared" si="18"/>
        <v>1</v>
      </c>
      <c r="Y471" s="5">
        <v>7.2</v>
      </c>
      <c r="Z471" s="5">
        <v>7.4</v>
      </c>
      <c r="AA471" s="5">
        <v>4</v>
      </c>
      <c r="AB471" s="5">
        <v>24.8</v>
      </c>
      <c r="AC471" s="5">
        <v>252</v>
      </c>
      <c r="AD471" s="5">
        <v>9.5</v>
      </c>
      <c r="AE471" s="5">
        <v>39.32</v>
      </c>
      <c r="AF471" s="5">
        <v>0.5</v>
      </c>
      <c r="AG471" s="5">
        <v>52</v>
      </c>
      <c r="AH471" s="5">
        <f ca="1">Tabla2[[#This Row],[VOLUMEN DE DESCARGA MENSUAL (M3/M)]]*30</f>
        <v>0</v>
      </c>
      <c r="AI471" s="5">
        <f t="shared" ca="1" si="17"/>
        <v>0</v>
      </c>
      <c r="AJ471" s="5">
        <v>0.1394</v>
      </c>
      <c r="AK471" s="5">
        <v>2E-3</v>
      </c>
      <c r="AL471" s="5">
        <v>1.4004000000000001</v>
      </c>
      <c r="AM471" s="5">
        <v>0.01</v>
      </c>
      <c r="AN471" s="5">
        <v>0.1</v>
      </c>
      <c r="AO471" s="5">
        <v>0.1076</v>
      </c>
      <c r="AP471" s="5">
        <v>0.05</v>
      </c>
      <c r="AQ471" s="5">
        <v>0.05</v>
      </c>
      <c r="AR471" s="5">
        <v>0.05</v>
      </c>
      <c r="AS471" s="5">
        <v>10</v>
      </c>
      <c r="AT471" s="5">
        <v>6.7599999999999993E-2</v>
      </c>
      <c r="AU471" s="5">
        <v>1E-3</v>
      </c>
      <c r="AV471" s="5">
        <v>0.05</v>
      </c>
      <c r="AW471" s="5">
        <v>0.05</v>
      </c>
      <c r="AX471" s="5">
        <v>17</v>
      </c>
      <c r="AY471" s="5">
        <v>0.5</v>
      </c>
    </row>
    <row r="472" spans="1:51" x14ac:dyDescent="0.25">
      <c r="A472" s="5" t="s">
        <v>52</v>
      </c>
      <c r="B472" s="5" t="s">
        <v>82</v>
      </c>
      <c r="C472" s="5" t="s">
        <v>77</v>
      </c>
      <c r="F472" s="5" t="s">
        <v>55</v>
      </c>
      <c r="G472" s="5" t="s">
        <v>65</v>
      </c>
      <c r="H472" s="5" t="s">
        <v>57</v>
      </c>
      <c r="I472" s="5">
        <v>14</v>
      </c>
      <c r="J472" s="5" t="str">
        <f>IFERROR(VLOOKUP(I472,[1]INFO_LOCALES!$B:$C,2,FALSE),"")</f>
        <v>COPIAPO</v>
      </c>
      <c r="K472" s="5" t="str">
        <f>IFERROR(VLOOKUP(Tabla2[[#This Row],[TIENDA]],[1]INFO_LOCALES!$B:$D,3,FALSE),"")</f>
        <v>III - Atacama</v>
      </c>
      <c r="L472" s="5" t="str">
        <f>IFERROR(VLOOKUP(I472,[1]INFO_LOCALES!$B:$I,8,FALSE),"")</f>
        <v>Copiapó</v>
      </c>
      <c r="M472" s="5" t="str">
        <f>IFERROR(VLOOKUP(I472,[1]INFO_LOCALES!$B:$H,7,FALSE),"")</f>
        <v>Av. Henrriquez N° 523</v>
      </c>
      <c r="N472" s="5">
        <f>IFERROR(VLOOKUP(I472,[1]INFO_LOCALES!$B:$E,4,FALSE),"")</f>
        <v>0</v>
      </c>
      <c r="O472" s="5" t="str">
        <f>VLOOKUP(Tabla2[[#This Row],[TIENDA]],[1]INFO_LOCALES!$B:$J,9,0)</f>
        <v>CONVENIO</v>
      </c>
      <c r="P472" s="5" t="str">
        <f>IFERROR(VLOOKUP(I472,[1]INFO_LOCALES!$B:$F,5,FALSE),"")</f>
        <v>NUEVA ATACAMA</v>
      </c>
      <c r="Q472" s="5" t="s">
        <v>85</v>
      </c>
      <c r="R472" s="5" t="s">
        <v>86</v>
      </c>
      <c r="S472" s="6"/>
      <c r="T472" s="5" t="str">
        <f>UPPER(IF(Tabla2[[#This Row],[FECHA DE MUESTREO ]]=0,"",TEXT(Tabla2[[#This Row],[FECHA DE MUESTREO ]],("MMMM"))))</f>
        <v>MARZO</v>
      </c>
      <c r="U472" s="6">
        <v>45737</v>
      </c>
      <c r="V472" s="5" t="s">
        <v>59</v>
      </c>
      <c r="W4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72" s="7">
        <f t="shared" si="18"/>
        <v>2</v>
      </c>
      <c r="Y472" s="5">
        <v>18.899999999999999</v>
      </c>
      <c r="Z472" s="5">
        <v>7.43</v>
      </c>
      <c r="AA472" s="5">
        <v>4</v>
      </c>
      <c r="AB472" s="5">
        <v>23.03</v>
      </c>
      <c r="AC472" s="5">
        <v>317</v>
      </c>
      <c r="AD472" s="5">
        <v>8.8000000000000007</v>
      </c>
      <c r="AE472" s="5">
        <v>25.31</v>
      </c>
      <c r="AF472" s="5">
        <v>0.5</v>
      </c>
      <c r="AG472" s="5">
        <v>45.7</v>
      </c>
      <c r="AH472" s="5">
        <v>0.7</v>
      </c>
      <c r="AI472" s="5">
        <f t="shared" si="17"/>
        <v>21</v>
      </c>
    </row>
    <row r="473" spans="1:51" ht="15.75" customHeight="1" x14ac:dyDescent="0.25">
      <c r="A473" s="5" t="s">
        <v>52</v>
      </c>
      <c r="B473" s="5" t="s">
        <v>76</v>
      </c>
      <c r="C473" s="5" t="s">
        <v>77</v>
      </c>
      <c r="F473" s="5" t="s">
        <v>55</v>
      </c>
      <c r="G473" s="5" t="s">
        <v>61</v>
      </c>
      <c r="H473" s="5" t="s">
        <v>57</v>
      </c>
      <c r="I473" s="5">
        <v>106</v>
      </c>
      <c r="J473" s="5" t="str">
        <f>IFERROR(VLOOKUP(I473,[1]INFO_LOCALES!$B:$C,2,FALSE),"")</f>
        <v>LOS MOLLES</v>
      </c>
      <c r="K473" s="5" t="str">
        <f>IFERROR(VLOOKUP(Tabla2[[#This Row],[TIENDA]],[1]INFO_LOCALES!$B:$D,3,FALSE),"")</f>
        <v>I - Tarapacá</v>
      </c>
      <c r="L473" s="5" t="str">
        <f>IFERROR(VLOOKUP(I473,[1]INFO_LOCALES!$B:$I,8,FALSE),"")</f>
        <v>Iquique</v>
      </c>
      <c r="M473" s="5" t="str">
        <f>IFERROR(VLOOKUP(I473,[1]INFO_LOCALES!$B:$H,7,FALSE),"")</f>
        <v>Santiago Polanco 2251</v>
      </c>
      <c r="N473" s="5">
        <f>IFERROR(VLOOKUP(I473,[1]INFO_LOCALES!$B:$E,4,FALSE),"")</f>
        <v>4050</v>
      </c>
      <c r="O473" s="5" t="str">
        <f>VLOOKUP(Tabla2[[#This Row],[TIENDA]],[1]INFO_LOCALES!$B:$J,9,0)</f>
        <v>CONVENIO</v>
      </c>
      <c r="P473" s="5" t="str">
        <f>IFERROR(VLOOKUP(I473,[1]INFO_LOCALES!$B:$F,5,FALSE),"")</f>
        <v>AGUAS DEL ALTIPLANO S.A.</v>
      </c>
      <c r="Q473" s="5" t="s">
        <v>85</v>
      </c>
      <c r="R473" s="5" t="s">
        <v>86</v>
      </c>
      <c r="S473" s="6"/>
      <c r="T473" s="5" t="str">
        <f>UPPER(IF(Tabla2[[#This Row],[FECHA DE MUESTREO ]]=0,"",TEXT(Tabla2[[#This Row],[FECHA DE MUESTREO ]],("MMMM"))))</f>
        <v>MARZO</v>
      </c>
      <c r="U473" s="6">
        <v>45741</v>
      </c>
      <c r="V473" s="5" t="s">
        <v>59</v>
      </c>
      <c r="W4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73" s="7">
        <f t="shared" si="18"/>
        <v>1</v>
      </c>
      <c r="Y473" s="5">
        <v>8.4</v>
      </c>
      <c r="Z473" s="5">
        <v>6.78</v>
      </c>
      <c r="AA473" s="5">
        <v>5</v>
      </c>
      <c r="AB473" s="5">
        <v>23.4</v>
      </c>
      <c r="AC473" s="5">
        <v>146</v>
      </c>
      <c r="AD473" s="5">
        <v>4.4000000000000004</v>
      </c>
      <c r="AE473" s="5">
        <v>35.28</v>
      </c>
      <c r="AF473" s="5">
        <v>0.5</v>
      </c>
      <c r="AG473" s="5">
        <v>54</v>
      </c>
      <c r="AH473" s="5">
        <v>0.41</v>
      </c>
      <c r="AI473" s="5">
        <f t="shared" si="17"/>
        <v>12.299999999999999</v>
      </c>
    </row>
    <row r="474" spans="1:51" ht="15.75" customHeight="1" x14ac:dyDescent="0.25">
      <c r="A474" s="5" t="s">
        <v>52</v>
      </c>
      <c r="B474" s="5" t="s">
        <v>112</v>
      </c>
      <c r="C474" s="5" t="s">
        <v>70</v>
      </c>
      <c r="F474" s="5" t="s">
        <v>55</v>
      </c>
      <c r="G474" s="5" t="s">
        <v>65</v>
      </c>
      <c r="H474" s="5" t="s">
        <v>57</v>
      </c>
      <c r="I474" s="5">
        <v>335</v>
      </c>
      <c r="J474" s="5" t="str">
        <f>IFERROR(VLOOKUP(I474,[1]INFO_LOCALES!$B:$C,2,FALSE),"")</f>
        <v>SANTA MARIA</v>
      </c>
      <c r="K474" s="5" t="str">
        <f>IFERROR(VLOOKUP(Tabla2[[#This Row],[TIENDA]],[1]INFO_LOCALES!$B:$D,3,FALSE),"")</f>
        <v>RM - Santiago</v>
      </c>
      <c r="L474" s="5" t="str">
        <f>IFERROR(VLOOKUP(I474,[1]INFO_LOCALES!$B:$I,8,FALSE),"")</f>
        <v>Vitacura</v>
      </c>
      <c r="M474" s="5" t="str">
        <f>IFERROR(VLOOKUP(I474,[1]INFO_LOCALES!$B:$H,7,FALSE),"")</f>
        <v>Santa Maria 6940</v>
      </c>
      <c r="N474" s="5">
        <f>IFERROR(VLOOKUP(I474,[1]INFO_LOCALES!$B:$E,4,FALSE),"")</f>
        <v>0</v>
      </c>
      <c r="O474" s="5" t="str">
        <f>VLOOKUP(Tabla2[[#This Row],[TIENDA]],[1]INFO_LOCALES!$B:$J,9,0)</f>
        <v>SIN CONVENIO</v>
      </c>
      <c r="P474" s="5" t="str">
        <f>IFERROR(VLOOKUP(I474,[1]INFO_LOCALES!$B:$F,5,FALSE),"")</f>
        <v>AGUAS MANQUEHUE SA</v>
      </c>
      <c r="Q474" s="5" t="s">
        <v>212</v>
      </c>
      <c r="R474" s="5" t="s">
        <v>58</v>
      </c>
      <c r="S474" s="6">
        <v>45776</v>
      </c>
      <c r="T474" s="5" t="str">
        <f>UPPER(IF(Tabla2[[#This Row],[FECHA DE MUESTREO ]]=0,"",TEXT(Tabla2[[#This Row],[FECHA DE MUESTREO ]],("MMMM"))))</f>
        <v>MARZO</v>
      </c>
      <c r="U474" s="6">
        <v>45742</v>
      </c>
      <c r="V474" s="5" t="s">
        <v>59</v>
      </c>
      <c r="W4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74" s="7">
        <f t="shared" si="18"/>
        <v>2</v>
      </c>
      <c r="Y474" s="5">
        <v>17</v>
      </c>
      <c r="AA474" s="5">
        <v>0.8</v>
      </c>
      <c r="AC474" s="5">
        <v>257</v>
      </c>
      <c r="AD474" s="5">
        <v>13.28</v>
      </c>
      <c r="AE474" s="5">
        <v>85.79</v>
      </c>
      <c r="AF474" s="5">
        <v>15</v>
      </c>
      <c r="AG474" s="5">
        <v>210</v>
      </c>
      <c r="AI474" s="5">
        <f t="shared" si="17"/>
        <v>0</v>
      </c>
    </row>
    <row r="475" spans="1:51" ht="15.75" customHeight="1" x14ac:dyDescent="0.25">
      <c r="A475" s="5" t="s">
        <v>52</v>
      </c>
      <c r="B475" s="5" t="s">
        <v>76</v>
      </c>
      <c r="C475" s="5" t="s">
        <v>77</v>
      </c>
      <c r="F475" s="5" t="s">
        <v>55</v>
      </c>
      <c r="G475" s="5" t="s">
        <v>61</v>
      </c>
      <c r="H475" s="5" t="s">
        <v>57</v>
      </c>
      <c r="I475" s="5">
        <v>105</v>
      </c>
      <c r="J475" s="5" t="str">
        <f>IFERROR(VLOOKUP(I475,[1]INFO_LOCALES!$B:$C,2,FALSE),"")</f>
        <v>IQUIQUE CENTRO</v>
      </c>
      <c r="K475" s="5" t="str">
        <f>IFERROR(VLOOKUP(Tabla2[[#This Row],[TIENDA]],[1]INFO_LOCALES!$B:$D,3,FALSE),"")</f>
        <v>I - Tarapacá</v>
      </c>
      <c r="L475" s="5" t="str">
        <f>IFERROR(VLOOKUP(I475,[1]INFO_LOCALES!$B:$I,8,FALSE),"")</f>
        <v>Iquique</v>
      </c>
      <c r="M475" s="5" t="str">
        <f>IFERROR(VLOOKUP(I475,[1]INFO_LOCALES!$B:$H,7,FALSE),"")</f>
        <v>Tarapaca 579</v>
      </c>
      <c r="N475" s="5">
        <f>IFERROR(VLOOKUP(I475,[1]INFO_LOCALES!$B:$E,4,FALSE),"")</f>
        <v>4051</v>
      </c>
      <c r="O475" s="5" t="str">
        <f>VLOOKUP(Tabla2[[#This Row],[TIENDA]],[1]INFO_LOCALES!$B:$J,9,0)</f>
        <v>TERMINADO</v>
      </c>
      <c r="P475" s="5" t="str">
        <f>IFERROR(VLOOKUP(I475,[1]INFO_LOCALES!$B:$F,5,FALSE),"")</f>
        <v>AGUAS DEL ALTIPLANO S.A.</v>
      </c>
      <c r="Q475" s="5" t="s">
        <v>85</v>
      </c>
      <c r="R475" s="5" t="s">
        <v>86</v>
      </c>
      <c r="S475" s="6"/>
      <c r="T475" s="5" t="str">
        <f>UPPER(IF(Tabla2[[#This Row],[FECHA DE MUESTREO ]]=0,"",TEXT(Tabla2[[#This Row],[FECHA DE MUESTREO ]],("MMMM"))))</f>
        <v>MARZO</v>
      </c>
      <c r="U475" s="6">
        <v>45742</v>
      </c>
      <c r="V475" s="5" t="s">
        <v>59</v>
      </c>
      <c r="W4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75" s="7">
        <f t="shared" si="18"/>
        <v>1</v>
      </c>
      <c r="Y475" s="5">
        <v>23.9</v>
      </c>
      <c r="Z475" s="5">
        <v>7</v>
      </c>
      <c r="AA475" s="5">
        <v>4</v>
      </c>
      <c r="AB475" s="5">
        <v>23.48</v>
      </c>
      <c r="AC475" s="5">
        <v>35</v>
      </c>
      <c r="AD475" s="5">
        <v>3.2</v>
      </c>
      <c r="AE475" s="5">
        <v>34.01</v>
      </c>
      <c r="AF475" s="5">
        <v>0.5</v>
      </c>
      <c r="AG475" s="5">
        <v>28.5</v>
      </c>
      <c r="AH475" s="5">
        <v>0.44</v>
      </c>
      <c r="AI475" s="5">
        <f t="shared" si="17"/>
        <v>13.2</v>
      </c>
    </row>
    <row r="476" spans="1:51" x14ac:dyDescent="0.25">
      <c r="A476" s="5" t="s">
        <v>52</v>
      </c>
      <c r="B476" s="5" t="s">
        <v>76</v>
      </c>
      <c r="C476" s="5" t="s">
        <v>77</v>
      </c>
      <c r="F476" s="5" t="s">
        <v>55</v>
      </c>
      <c r="G476" s="5" t="s">
        <v>61</v>
      </c>
      <c r="H476" s="5" t="s">
        <v>57</v>
      </c>
      <c r="I476" s="5">
        <v>86</v>
      </c>
      <c r="J476" s="5" t="str">
        <f>IFERROR(VLOOKUP(I476,[1]INFO_LOCALES!$B:$C,2,FALSE),"")</f>
        <v>BILBAO</v>
      </c>
      <c r="K476" s="5" t="str">
        <f>IFERROR(VLOOKUP(Tabla2[[#This Row],[TIENDA]],[1]INFO_LOCALES!$B:$D,3,FALSE),"")</f>
        <v>I - Tarapacá</v>
      </c>
      <c r="L476" s="5" t="str">
        <f>IFERROR(VLOOKUP(I476,[1]INFO_LOCALES!$B:$I,8,FALSE),"")</f>
        <v>Iquique</v>
      </c>
      <c r="M476" s="5" t="str">
        <f>IFERROR(VLOOKUP(I476,[1]INFO_LOCALES!$B:$H,7,FALSE),"")</f>
        <v>Fco.Bilbao 3545</v>
      </c>
      <c r="N476" s="5">
        <f>IFERROR(VLOOKUP(I476,[1]INFO_LOCALES!$B:$E,4,FALSE),"")</f>
        <v>4049</v>
      </c>
      <c r="O476" s="5" t="str">
        <f>VLOOKUP(Tabla2[[#This Row],[TIENDA]],[1]INFO_LOCALES!$B:$J,9,0)</f>
        <v>CONVENIO</v>
      </c>
      <c r="P476" s="5" t="str">
        <f>IFERROR(VLOOKUP(I476,[1]INFO_LOCALES!$B:$F,5,FALSE),"")</f>
        <v>AGUAS DEL ALTIPLANO S.A.</v>
      </c>
      <c r="Q476" s="5" t="s">
        <v>85</v>
      </c>
      <c r="R476" s="5" t="s">
        <v>86</v>
      </c>
      <c r="S476" s="6"/>
      <c r="T476" s="5" t="str">
        <f>UPPER(IF(Tabla2[[#This Row],[FECHA DE MUESTREO ]]=0,"",TEXT(Tabla2[[#This Row],[FECHA DE MUESTREO ]],("MMMM"))))</f>
        <v>MARZO</v>
      </c>
      <c r="U476" s="6">
        <v>45743</v>
      </c>
      <c r="V476" s="5" t="s">
        <v>59</v>
      </c>
      <c r="W4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76" s="7">
        <f t="shared" si="18"/>
        <v>3</v>
      </c>
      <c r="Y476" s="5">
        <v>20.100000000000001</v>
      </c>
      <c r="Z476" s="5">
        <v>7.42</v>
      </c>
      <c r="AA476" s="5">
        <v>5</v>
      </c>
      <c r="AB476" s="5">
        <v>18.29</v>
      </c>
      <c r="AC476" s="5">
        <v>165</v>
      </c>
      <c r="AD476" s="5">
        <v>5.6</v>
      </c>
      <c r="AE476" s="5">
        <v>12.38</v>
      </c>
      <c r="AF476" s="5">
        <v>0.5</v>
      </c>
      <c r="AG476" s="5">
        <v>875</v>
      </c>
      <c r="AH476" s="5">
        <v>0.43</v>
      </c>
      <c r="AI476" s="5">
        <f t="shared" si="17"/>
        <v>12.9</v>
      </c>
    </row>
    <row r="477" spans="1:51" x14ac:dyDescent="0.25">
      <c r="A477" s="5" t="s">
        <v>52</v>
      </c>
      <c r="B477" s="5" t="s">
        <v>82</v>
      </c>
      <c r="C477" s="5" t="s">
        <v>77</v>
      </c>
      <c r="F477" s="5" t="s">
        <v>55</v>
      </c>
      <c r="G477" s="5" t="s">
        <v>65</v>
      </c>
      <c r="H477" s="5" t="s">
        <v>57</v>
      </c>
      <c r="I477" s="5">
        <v>7</v>
      </c>
      <c r="J477" s="5" t="str">
        <f>IFERROR(VLOOKUP(I477,[1]INFO_LOCALES!$B:$C,2,FALSE),"")</f>
        <v>VALLENAR I</v>
      </c>
      <c r="K477" s="5" t="str">
        <f>IFERROR(VLOOKUP(Tabla2[[#This Row],[TIENDA]],[1]INFO_LOCALES!$B:$D,3,FALSE),"")</f>
        <v>III - Atacama</v>
      </c>
      <c r="L477" s="5" t="str">
        <f>IFERROR(VLOOKUP(I477,[1]INFO_LOCALES!$B:$I,8,FALSE),"")</f>
        <v>Vallenar</v>
      </c>
      <c r="M477" s="5" t="str">
        <f>IFERROR(VLOOKUP(I477,[1]INFO_LOCALES!$B:$H,7,FALSE),"")</f>
        <v>Brasil 663</v>
      </c>
      <c r="N477" s="5">
        <f>IFERROR(VLOOKUP(I477,[1]INFO_LOCALES!$B:$E,4,FALSE),"")</f>
        <v>0</v>
      </c>
      <c r="O477" s="5" t="str">
        <f>VLOOKUP(Tabla2[[#This Row],[TIENDA]],[1]INFO_LOCALES!$B:$J,9,0)</f>
        <v>CONVENIO</v>
      </c>
      <c r="P477" s="5" t="str">
        <f>IFERROR(VLOOKUP(I477,[1]INFO_LOCALES!$B:$F,5,FALSE),"")</f>
        <v>NUEVA ATACAMA</v>
      </c>
      <c r="Q477" s="5" t="s">
        <v>85</v>
      </c>
      <c r="R477" s="5" t="s">
        <v>86</v>
      </c>
      <c r="S477" s="6"/>
      <c r="T477" s="5" t="str">
        <f>UPPER(IF(Tabla2[[#This Row],[FECHA DE MUESTREO ]]=0,"",TEXT(Tabla2[[#This Row],[FECHA DE MUESTREO ]],("MMMM"))))</f>
        <v>MARZO</v>
      </c>
      <c r="U477" s="6">
        <v>45744</v>
      </c>
      <c r="V477" s="5" t="s">
        <v>59</v>
      </c>
      <c r="W4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77" s="7">
        <f t="shared" si="18"/>
        <v>3</v>
      </c>
      <c r="Y477" s="5">
        <v>114.6</v>
      </c>
      <c r="Z477" s="5">
        <v>8.08</v>
      </c>
      <c r="AA477" s="5">
        <v>45</v>
      </c>
      <c r="AB477" s="5">
        <v>22.75</v>
      </c>
      <c r="AC477" s="5">
        <v>2205</v>
      </c>
      <c r="AD477" s="5">
        <v>20.6</v>
      </c>
      <c r="AE477" s="5">
        <v>39.049999999999997</v>
      </c>
      <c r="AF477" s="5">
        <v>13</v>
      </c>
      <c r="AG477" s="5">
        <v>680</v>
      </c>
      <c r="AH477" s="5">
        <v>0.86</v>
      </c>
      <c r="AI477" s="5">
        <f t="shared" si="17"/>
        <v>25.8</v>
      </c>
    </row>
    <row r="478" spans="1:51" x14ac:dyDescent="0.25">
      <c r="A478" s="5" t="s">
        <v>52</v>
      </c>
      <c r="B478" s="5" t="s">
        <v>82</v>
      </c>
      <c r="C478" s="5" t="s">
        <v>77</v>
      </c>
      <c r="F478" s="5" t="s">
        <v>55</v>
      </c>
      <c r="G478" s="5" t="s">
        <v>65</v>
      </c>
      <c r="H478" s="5" t="s">
        <v>57</v>
      </c>
      <c r="I478" s="5">
        <v>16</v>
      </c>
      <c r="J478" s="5" t="str">
        <f>IFERROR(VLOOKUP(I478,[1]INFO_LOCALES!$B:$C,2,FALSE),"")</f>
        <v>VALLENAR II</v>
      </c>
      <c r="K478" s="5" t="str">
        <f>IFERROR(VLOOKUP(Tabla2[[#This Row],[TIENDA]],[1]INFO_LOCALES!$B:$D,3,FALSE),"")</f>
        <v>III - Atacama</v>
      </c>
      <c r="L478" s="5" t="str">
        <f>IFERROR(VLOOKUP(I478,[1]INFO_LOCALES!$B:$I,8,FALSE),"")</f>
        <v>Vallenar</v>
      </c>
      <c r="M478" s="5" t="str">
        <f>IFERROR(VLOOKUP(I478,[1]INFO_LOCALES!$B:$H,7,FALSE),"")</f>
        <v>Arturo Prat 2350</v>
      </c>
      <c r="N478" s="5">
        <f>IFERROR(VLOOKUP(I478,[1]INFO_LOCALES!$B:$E,4,FALSE),"")</f>
        <v>0</v>
      </c>
      <c r="O478" s="5" t="str">
        <f>VLOOKUP(Tabla2[[#This Row],[TIENDA]],[1]INFO_LOCALES!$B:$J,9,0)</f>
        <v>TERMINADO</v>
      </c>
      <c r="P478" s="5" t="str">
        <f>IFERROR(VLOOKUP(I478,[1]INFO_LOCALES!$B:$F,5,FALSE),"")</f>
        <v>NUEVA ATACAMA</v>
      </c>
      <c r="Q478" s="5" t="s">
        <v>85</v>
      </c>
      <c r="R478" s="5" t="s">
        <v>86</v>
      </c>
      <c r="S478" s="6"/>
      <c r="T478" s="5" t="str">
        <f>UPPER(IF(Tabla2[[#This Row],[FECHA DE MUESTREO ]]=0,"",TEXT(Tabla2[[#This Row],[FECHA DE MUESTREO ]],("MMMM"))))</f>
        <v>MARZO</v>
      </c>
      <c r="U478" s="6">
        <v>45744</v>
      </c>
      <c r="V478" s="5" t="s">
        <v>59</v>
      </c>
      <c r="W4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78" s="7">
        <f t="shared" si="18"/>
        <v>1</v>
      </c>
      <c r="Y478" s="5">
        <v>9.1999999999999993</v>
      </c>
      <c r="Z478" s="5">
        <v>7.75</v>
      </c>
      <c r="AA478" s="5">
        <v>2</v>
      </c>
      <c r="AB478" s="5">
        <v>24.73</v>
      </c>
      <c r="AC478" s="5">
        <v>13</v>
      </c>
      <c r="AD478" s="5">
        <v>3.4</v>
      </c>
      <c r="AE478" s="5">
        <v>5</v>
      </c>
      <c r="AF478" s="5">
        <v>0.5</v>
      </c>
      <c r="AG478" s="5">
        <v>10</v>
      </c>
      <c r="AH478" s="5">
        <v>0.38</v>
      </c>
      <c r="AI478" s="5">
        <f t="shared" si="17"/>
        <v>11.4</v>
      </c>
    </row>
    <row r="479" spans="1:51" x14ac:dyDescent="0.25">
      <c r="A479" s="5" t="s">
        <v>52</v>
      </c>
      <c r="B479" s="5" t="s">
        <v>82</v>
      </c>
      <c r="C479" s="5" t="s">
        <v>77</v>
      </c>
      <c r="F479" s="5" t="s">
        <v>55</v>
      </c>
      <c r="G479" s="5" t="s">
        <v>61</v>
      </c>
      <c r="H479" s="5" t="s">
        <v>57</v>
      </c>
      <c r="I479" s="5">
        <v>22</v>
      </c>
      <c r="J479" s="5" t="str">
        <f>IFERROR(VLOOKUP(I479,[1]INFO_LOCALES!$B:$C,2,FALSE),"")</f>
        <v>ATACAMA</v>
      </c>
      <c r="K479" s="5" t="str">
        <f>IFERROR(VLOOKUP(Tabla2[[#This Row],[TIENDA]],[1]INFO_LOCALES!$B:$D,3,FALSE),"")</f>
        <v>III - Atacama</v>
      </c>
      <c r="L479" s="5" t="str">
        <f>IFERROR(VLOOKUP(I479,[1]INFO_LOCALES!$B:$I,8,FALSE),"")</f>
        <v>Copiapó</v>
      </c>
      <c r="M479" s="5" t="str">
        <f>IFERROR(VLOOKUP(I479,[1]INFO_LOCALES!$B:$H,7,FALSE),"")</f>
        <v>Los Carreras 2242</v>
      </c>
      <c r="N479" s="5">
        <f>IFERROR(VLOOKUP(I479,[1]INFO_LOCALES!$B:$E,4,FALSE),"")</f>
        <v>2666</v>
      </c>
      <c r="O479" s="5" t="str">
        <f>VLOOKUP(Tabla2[[#This Row],[TIENDA]],[1]INFO_LOCALES!$B:$J,9,0)</f>
        <v>CONVENIO</v>
      </c>
      <c r="P479" s="5" t="str">
        <f>IFERROR(VLOOKUP(I479,[1]INFO_LOCALES!$B:$F,5,FALSE),"")</f>
        <v>NUEVA ATACAMA</v>
      </c>
      <c r="Q479" s="5" t="s">
        <v>85</v>
      </c>
      <c r="R479" s="5" t="s">
        <v>86</v>
      </c>
      <c r="S479" s="6"/>
      <c r="T479" s="5" t="str">
        <f>UPPER(IF(Tabla2[[#This Row],[FECHA DE MUESTREO ]]=0,"",TEXT(Tabla2[[#This Row],[FECHA DE MUESTREO ]],("MMMM"))))</f>
        <v>MARZO</v>
      </c>
      <c r="U479" s="6">
        <v>45747</v>
      </c>
      <c r="V479" s="5" t="s">
        <v>59</v>
      </c>
      <c r="W4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79" s="7">
        <f t="shared" si="18"/>
        <v>2</v>
      </c>
      <c r="Y479" s="5">
        <v>33.5</v>
      </c>
      <c r="Z479" s="5">
        <v>7.63</v>
      </c>
      <c r="AA479" s="5">
        <v>6</v>
      </c>
      <c r="AB479" s="5">
        <v>23.33</v>
      </c>
      <c r="AC479" s="5">
        <v>466</v>
      </c>
      <c r="AD479" s="5">
        <v>11</v>
      </c>
      <c r="AE479" s="5">
        <v>56.85</v>
      </c>
      <c r="AF479" s="5">
        <v>0.8</v>
      </c>
      <c r="AG479" s="5">
        <v>198</v>
      </c>
      <c r="AH479" s="5">
        <v>0.65</v>
      </c>
      <c r="AI479" s="5">
        <f t="shared" si="17"/>
        <v>19.5</v>
      </c>
    </row>
    <row r="480" spans="1:51" x14ac:dyDescent="0.25">
      <c r="A480" s="5" t="s">
        <v>52</v>
      </c>
      <c r="B480" s="5" t="s">
        <v>82</v>
      </c>
      <c r="C480" s="5" t="s">
        <v>77</v>
      </c>
      <c r="F480" s="5" t="s">
        <v>55</v>
      </c>
      <c r="G480" s="5" t="s">
        <v>61</v>
      </c>
      <c r="H480" s="5" t="s">
        <v>57</v>
      </c>
      <c r="I480" s="5">
        <v>22</v>
      </c>
      <c r="J480" s="5" t="str">
        <f>IFERROR(VLOOKUP(I480,[1]INFO_LOCALES!$B:$C,2,FALSE),"")</f>
        <v>ATACAMA</v>
      </c>
      <c r="K480" s="5" t="str">
        <f>IFERROR(VLOOKUP(Tabla2[[#This Row],[TIENDA]],[1]INFO_LOCALES!$B:$D,3,FALSE),"")</f>
        <v>III - Atacama</v>
      </c>
      <c r="L480" s="5" t="str">
        <f>IFERROR(VLOOKUP(I480,[1]INFO_LOCALES!$B:$I,8,FALSE),"")</f>
        <v>Copiapó</v>
      </c>
      <c r="M480" s="5" t="str">
        <f>IFERROR(VLOOKUP(I480,[1]INFO_LOCALES!$B:$H,7,FALSE),"")</f>
        <v>Los Carreras 2242</v>
      </c>
      <c r="N480" s="5">
        <f>IFERROR(VLOOKUP(I480,[1]INFO_LOCALES!$B:$E,4,FALSE),"")</f>
        <v>2666</v>
      </c>
      <c r="O480" s="5" t="str">
        <f>VLOOKUP(Tabla2[[#This Row],[TIENDA]],[1]INFO_LOCALES!$B:$J,9,0)</f>
        <v>CONVENIO</v>
      </c>
      <c r="P480" s="5" t="str">
        <f>IFERROR(VLOOKUP(I480,[1]INFO_LOCALES!$B:$F,5,FALSE),"")</f>
        <v>NUEVA ATACAMA</v>
      </c>
      <c r="Q480" s="5" t="s">
        <v>85</v>
      </c>
      <c r="R480" s="5" t="s">
        <v>86</v>
      </c>
      <c r="S480" s="6"/>
      <c r="T480" s="5" t="str">
        <f>UPPER(IF(Tabla2[[#This Row],[FECHA DE MUESTREO ]]=0,"",TEXT(Tabla2[[#This Row],[FECHA DE MUESTREO ]],("MMMM"))))</f>
        <v>MARZO</v>
      </c>
      <c r="U480" s="6">
        <v>45747</v>
      </c>
      <c r="V480" s="5" t="s">
        <v>59</v>
      </c>
      <c r="W4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80" s="7">
        <f t="shared" si="18"/>
        <v>2</v>
      </c>
      <c r="Y480" s="5">
        <v>33.5</v>
      </c>
      <c r="Z480" s="5">
        <v>7.1</v>
      </c>
      <c r="AA480" s="5">
        <v>6</v>
      </c>
      <c r="AB480" s="5">
        <v>26.85</v>
      </c>
      <c r="AC480" s="5">
        <v>466</v>
      </c>
      <c r="AD480" s="5">
        <v>11</v>
      </c>
      <c r="AE480" s="5">
        <v>56.85</v>
      </c>
      <c r="AF480" s="5">
        <v>0.8</v>
      </c>
      <c r="AG480" s="5">
        <v>198</v>
      </c>
      <c r="AH480" s="5">
        <v>0.73</v>
      </c>
      <c r="AI480" s="5">
        <f t="shared" si="17"/>
        <v>21.9</v>
      </c>
    </row>
    <row r="481" spans="1:51" x14ac:dyDescent="0.25">
      <c r="A481" s="5" t="s">
        <v>52</v>
      </c>
      <c r="B481" s="5" t="s">
        <v>82</v>
      </c>
      <c r="C481" s="5" t="s">
        <v>77</v>
      </c>
      <c r="F481" s="5" t="s">
        <v>55</v>
      </c>
      <c r="G481" s="5" t="s">
        <v>65</v>
      </c>
      <c r="H481" s="5" t="s">
        <v>57</v>
      </c>
      <c r="I481" s="5">
        <v>24</v>
      </c>
      <c r="J481" s="5" t="str">
        <f>IFERROR(VLOOKUP(I481,[1]INFO_LOCALES!$B:$C,2,FALSE),"")</f>
        <v>CHACABUCO</v>
      </c>
      <c r="K481" s="5" t="str">
        <f>IFERROR(VLOOKUP(Tabla2[[#This Row],[TIENDA]],[1]INFO_LOCALES!$B:$D,3,FALSE),"")</f>
        <v>III - Atacama</v>
      </c>
      <c r="L481" s="5" t="str">
        <f>IFERROR(VLOOKUP(I481,[1]INFO_LOCALES!$B:$I,8,FALSE),"")</f>
        <v>Copiapó</v>
      </c>
      <c r="M481" s="5" t="str">
        <f>IFERROR(VLOOKUP(I481,[1]INFO_LOCALES!$B:$H,7,FALSE),"")</f>
        <v>Los Carreras  586</v>
      </c>
      <c r="N481" s="5">
        <f>IFERROR(VLOOKUP(I481,[1]INFO_LOCALES!$B:$E,4,FALSE),"")</f>
        <v>0</v>
      </c>
      <c r="O481" s="5" t="str">
        <f>VLOOKUP(Tabla2[[#This Row],[TIENDA]],[1]INFO_LOCALES!$B:$J,9,0)</f>
        <v>SIN CONVENIO</v>
      </c>
      <c r="P481" s="5" t="str">
        <f>IFERROR(VLOOKUP(I481,[1]INFO_LOCALES!$B:$F,5,FALSE),"")</f>
        <v>NUEVA ATACAMA</v>
      </c>
      <c r="Q481" s="5" t="s">
        <v>85</v>
      </c>
      <c r="R481" s="5" t="s">
        <v>86</v>
      </c>
      <c r="S481" s="6"/>
      <c r="T481" s="5" t="str">
        <f>UPPER(IF(Tabla2[[#This Row],[FECHA DE MUESTREO ]]=0,"",TEXT(Tabla2[[#This Row],[FECHA DE MUESTREO ]],("MMMM"))))</f>
        <v>MARZO</v>
      </c>
      <c r="U481" s="6">
        <v>45747</v>
      </c>
      <c r="V481" s="5" t="s">
        <v>59</v>
      </c>
      <c r="W4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81" s="7">
        <f t="shared" si="18"/>
        <v>1</v>
      </c>
      <c r="Y481" s="5">
        <v>18.3</v>
      </c>
      <c r="Z481" s="5">
        <v>7.34</v>
      </c>
      <c r="AA481" s="5">
        <v>7</v>
      </c>
      <c r="AB481" s="5">
        <v>22.66</v>
      </c>
      <c r="AC481" s="5">
        <v>236</v>
      </c>
      <c r="AD481" s="5">
        <v>2.7</v>
      </c>
      <c r="AE481" s="5">
        <v>5</v>
      </c>
      <c r="AF481" s="5">
        <v>1.2</v>
      </c>
      <c r="AG481" s="5">
        <v>97.1</v>
      </c>
      <c r="AH481" s="5">
        <v>0.45</v>
      </c>
      <c r="AI481" s="5">
        <f t="shared" si="17"/>
        <v>13.5</v>
      </c>
    </row>
    <row r="482" spans="1:51" x14ac:dyDescent="0.25">
      <c r="A482" s="5" t="s">
        <v>52</v>
      </c>
      <c r="B482" s="5" t="s">
        <v>82</v>
      </c>
      <c r="C482" s="5" t="s">
        <v>77</v>
      </c>
      <c r="F482" s="5" t="s">
        <v>55</v>
      </c>
      <c r="G482" s="5" t="s">
        <v>65</v>
      </c>
      <c r="H482" s="5" t="s">
        <v>57</v>
      </c>
      <c r="I482" s="5">
        <v>472</v>
      </c>
      <c r="J482" s="5" t="str">
        <f>IFERROR(VLOOKUP(I482,[1]INFO_LOCALES!$B:$C,2,FALSE),"")</f>
        <v>CALDERA I</v>
      </c>
      <c r="K482" s="5" t="str">
        <f>IFERROR(VLOOKUP(Tabla2[[#This Row],[TIENDA]],[1]INFO_LOCALES!$B:$D,3,FALSE),"")</f>
        <v>III - Atacama</v>
      </c>
      <c r="L482" s="5" t="str">
        <f>IFERROR(VLOOKUP(I482,[1]INFO_LOCALES!$B:$I,8,FALSE),"")</f>
        <v>Caldera</v>
      </c>
      <c r="M482" s="5" t="str">
        <f>IFERROR(VLOOKUP(I482,[1]INFO_LOCALES!$B:$H,7,FALSE),"")</f>
        <v>Batallon Atacama 319</v>
      </c>
      <c r="N482" s="5">
        <f>IFERROR(VLOOKUP(I482,[1]INFO_LOCALES!$B:$E,4,FALSE),"")</f>
        <v>0</v>
      </c>
      <c r="O482" s="5" t="str">
        <f>VLOOKUP(Tabla2[[#This Row],[TIENDA]],[1]INFO_LOCALES!$B:$J,9,0)</f>
        <v>CONVENIO</v>
      </c>
      <c r="P482" s="5" t="str">
        <f>IFERROR(VLOOKUP(I482,[1]INFO_LOCALES!$B:$F,5,FALSE),"")</f>
        <v>NUEVA ATACAMA</v>
      </c>
      <c r="Q482" s="5" t="s">
        <v>85</v>
      </c>
      <c r="R482" s="5" t="s">
        <v>86</v>
      </c>
      <c r="S482" s="6"/>
      <c r="T482" s="5" t="str">
        <f>UPPER(IF(Tabla2[[#This Row],[FECHA DE MUESTREO ]]=0,"",TEXT(Tabla2[[#This Row],[FECHA DE MUESTREO ]],("MMMM"))))</f>
        <v>MARZO</v>
      </c>
      <c r="U482" s="6">
        <v>45747</v>
      </c>
      <c r="V482" s="5" t="s">
        <v>59</v>
      </c>
      <c r="W482" s="5" t="s">
        <v>213</v>
      </c>
      <c r="X482" s="7">
        <v>3</v>
      </c>
      <c r="Y482" s="5">
        <v>20.6</v>
      </c>
      <c r="Z482" s="5">
        <v>7.25</v>
      </c>
      <c r="AA482" s="5">
        <v>6</v>
      </c>
      <c r="AB482" s="5">
        <v>26.04</v>
      </c>
      <c r="AC482" s="5">
        <v>422</v>
      </c>
      <c r="AD482" s="5">
        <v>19.3</v>
      </c>
      <c r="AE482" s="5">
        <v>57.3</v>
      </c>
      <c r="AF482" s="5">
        <v>2</v>
      </c>
      <c r="AG482" s="5">
        <v>214</v>
      </c>
      <c r="AH482" s="5">
        <v>0.36</v>
      </c>
      <c r="AI482" s="5">
        <f t="shared" si="17"/>
        <v>10.799999999999999</v>
      </c>
    </row>
    <row r="483" spans="1:51" x14ac:dyDescent="0.25">
      <c r="A483" s="5" t="s">
        <v>52</v>
      </c>
      <c r="B483" s="5" t="s">
        <v>76</v>
      </c>
      <c r="C483" s="5" t="s">
        <v>77</v>
      </c>
      <c r="F483" s="5" t="s">
        <v>55</v>
      </c>
      <c r="G483" s="5" t="s">
        <v>61</v>
      </c>
      <c r="H483" s="5" t="s">
        <v>57</v>
      </c>
      <c r="I483" s="5">
        <v>103</v>
      </c>
      <c r="J483" s="5" t="str">
        <f>IFERROR(VLOOKUP(I483,[1]INFO_LOCALES!$B:$C,2,FALSE),"")</f>
        <v>VIVAR</v>
      </c>
      <c r="K483" s="5" t="str">
        <f>IFERROR(VLOOKUP(Tabla2[[#This Row],[TIENDA]],[1]INFO_LOCALES!$B:$D,3,FALSE),"")</f>
        <v>I - Tarapacá</v>
      </c>
      <c r="L483" s="5" t="str">
        <f>IFERROR(VLOOKUP(I483,[1]INFO_LOCALES!$B:$I,8,FALSE),"")</f>
        <v>Iquique</v>
      </c>
      <c r="M483" s="5" t="str">
        <f>IFERROR(VLOOKUP(I483,[1]INFO_LOCALES!$B:$H,7,FALSE),"")</f>
        <v>Vivar 786</v>
      </c>
      <c r="N483" s="5">
        <f>IFERROR(VLOOKUP(I483,[1]INFO_LOCALES!$B:$E,4,FALSE),"")</f>
        <v>4420</v>
      </c>
      <c r="O483" s="5" t="str">
        <f>VLOOKUP(Tabla2[[#This Row],[TIENDA]],[1]INFO_LOCALES!$B:$J,9,0)</f>
        <v>CONVENIO</v>
      </c>
      <c r="P483" s="5" t="str">
        <f>IFERROR(VLOOKUP(I483,[1]INFO_LOCALES!$B:$F,5,FALSE),"")</f>
        <v>AGUAS DEL ALTIPLANO S.A.</v>
      </c>
      <c r="Q483" s="5" t="s">
        <v>85</v>
      </c>
      <c r="R483" s="5" t="s">
        <v>86</v>
      </c>
      <c r="S483" s="6"/>
      <c r="T483" s="5" t="str">
        <f>UPPER(IF(Tabla2[[#This Row],[FECHA DE MUESTREO ]]=0,"",TEXT(Tabla2[[#This Row],[FECHA DE MUESTREO ]],("MMMM"))))</f>
        <v>MARZO</v>
      </c>
      <c r="U483" s="6">
        <v>45747</v>
      </c>
      <c r="V483" s="5" t="s">
        <v>59</v>
      </c>
      <c r="W4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83" s="7">
        <f t="shared" ref="X483:X536" si="19">IF(W483="CUMPLE",1,IF(W483="CUMPLE CON TOLERANCIA",2,IF(W483="NO CUMPLE",3)))</f>
        <v>3</v>
      </c>
      <c r="Y483" s="5">
        <v>2</v>
      </c>
      <c r="Z483" s="5">
        <v>7.23</v>
      </c>
      <c r="AA483" s="5">
        <v>62</v>
      </c>
      <c r="AB483" s="5">
        <v>21.53</v>
      </c>
      <c r="AC483" s="5">
        <v>125</v>
      </c>
      <c r="AD483" s="5">
        <v>1.8</v>
      </c>
      <c r="AE483" s="5">
        <v>5</v>
      </c>
      <c r="AF483" s="5">
        <v>0.5</v>
      </c>
      <c r="AG483" s="5">
        <v>95</v>
      </c>
      <c r="AH483" s="5">
        <v>0.33</v>
      </c>
      <c r="AI483" s="5">
        <f t="shared" si="17"/>
        <v>9.9</v>
      </c>
    </row>
    <row r="484" spans="1:51" x14ac:dyDescent="0.25">
      <c r="A484" s="5" t="s">
        <v>52</v>
      </c>
      <c r="B484" s="5" t="s">
        <v>82</v>
      </c>
      <c r="C484" s="5" t="s">
        <v>77</v>
      </c>
      <c r="F484" s="5" t="s">
        <v>55</v>
      </c>
      <c r="G484" s="5" t="s">
        <v>65</v>
      </c>
      <c r="H484" s="5" t="s">
        <v>57</v>
      </c>
      <c r="I484" s="5">
        <v>24</v>
      </c>
      <c r="J484" s="5" t="str">
        <f>IFERROR(VLOOKUP(I484,[1]INFO_LOCALES!$B:$C,2,FALSE),"")</f>
        <v>CHACABUCO</v>
      </c>
      <c r="K484" s="5" t="str">
        <f>IFERROR(VLOOKUP(Tabla2[[#This Row],[TIENDA]],[1]INFO_LOCALES!$B:$D,3,FALSE),"")</f>
        <v>III - Atacama</v>
      </c>
      <c r="L484" s="5" t="str">
        <f>IFERROR(VLOOKUP(I484,[1]INFO_LOCALES!$B:$I,8,FALSE),"")</f>
        <v>Copiapó</v>
      </c>
      <c r="M484" s="5" t="str">
        <f>IFERROR(VLOOKUP(I484,[1]INFO_LOCALES!$B:$H,7,FALSE),"")</f>
        <v>Los Carreras  586</v>
      </c>
      <c r="N484" s="5">
        <f>IFERROR(VLOOKUP(I484,[1]INFO_LOCALES!$B:$E,4,FALSE),"")</f>
        <v>0</v>
      </c>
      <c r="O484" s="5" t="str">
        <f>VLOOKUP(Tabla2[[#This Row],[TIENDA]],[1]INFO_LOCALES!$B:$J,9,0)</f>
        <v>SIN CONVENIO</v>
      </c>
      <c r="P484" s="5" t="str">
        <f>IFERROR(VLOOKUP(I484,[1]INFO_LOCALES!$B:$F,5,FALSE),"")</f>
        <v>NUEVA ATACAMA</v>
      </c>
      <c r="Q484" s="5" t="s">
        <v>85</v>
      </c>
      <c r="R484" s="5" t="s">
        <v>86</v>
      </c>
      <c r="S484" s="6"/>
      <c r="T484" s="5" t="str">
        <f>UPPER(IF(Tabla2[[#This Row],[FECHA DE MUESTREO ]]=0,"",TEXT(Tabla2[[#This Row],[FECHA DE MUESTREO ]],("MMMM"))))</f>
        <v>ABRIL</v>
      </c>
      <c r="U484" s="6">
        <v>45757</v>
      </c>
      <c r="V484" s="5" t="s">
        <v>59</v>
      </c>
      <c r="W4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84" s="7">
        <f t="shared" si="19"/>
        <v>1</v>
      </c>
      <c r="Y484" s="5">
        <v>14.3</v>
      </c>
      <c r="Z484" s="5">
        <v>7.49</v>
      </c>
      <c r="AA484" s="5">
        <v>4</v>
      </c>
      <c r="AB484" s="5">
        <v>23.66</v>
      </c>
      <c r="AC484" s="5">
        <v>174</v>
      </c>
      <c r="AD484" s="5">
        <v>3.1</v>
      </c>
      <c r="AE484" s="5">
        <v>10.74</v>
      </c>
      <c r="AF484" s="5">
        <v>0.5</v>
      </c>
      <c r="AG484" s="5">
        <v>58</v>
      </c>
      <c r="AH484" s="5">
        <v>0.68</v>
      </c>
      <c r="AI484" s="5">
        <f t="shared" si="17"/>
        <v>20.400000000000002</v>
      </c>
    </row>
    <row r="485" spans="1:51" x14ac:dyDescent="0.25">
      <c r="A485" s="5" t="s">
        <v>52</v>
      </c>
      <c r="B485" s="5" t="s">
        <v>82</v>
      </c>
      <c r="C485" s="5" t="s">
        <v>77</v>
      </c>
      <c r="F485" s="5" t="s">
        <v>55</v>
      </c>
      <c r="G485" s="5" t="s">
        <v>65</v>
      </c>
      <c r="H485" s="5" t="s">
        <v>57</v>
      </c>
      <c r="I485" s="5">
        <v>14</v>
      </c>
      <c r="J485" s="5" t="str">
        <f>IFERROR(VLOOKUP(I485,[1]INFO_LOCALES!$B:$C,2,FALSE),"")</f>
        <v>COPIAPO</v>
      </c>
      <c r="K485" s="5" t="str">
        <f>IFERROR(VLOOKUP(Tabla2[[#This Row],[TIENDA]],[1]INFO_LOCALES!$B:$D,3,FALSE),"")</f>
        <v>III - Atacama</v>
      </c>
      <c r="L485" s="5" t="str">
        <f>IFERROR(VLOOKUP(I485,[1]INFO_LOCALES!$B:$I,8,FALSE),"")</f>
        <v>Copiapó</v>
      </c>
      <c r="M485" s="5" t="str">
        <f>IFERROR(VLOOKUP(I485,[1]INFO_LOCALES!$B:$H,7,FALSE),"")</f>
        <v>Av. Henrriquez N° 523</v>
      </c>
      <c r="N485" s="5">
        <f>IFERROR(VLOOKUP(I485,[1]INFO_LOCALES!$B:$E,4,FALSE),"")</f>
        <v>0</v>
      </c>
      <c r="O485" s="5" t="str">
        <f>VLOOKUP(Tabla2[[#This Row],[TIENDA]],[1]INFO_LOCALES!$B:$J,9,0)</f>
        <v>CONVENIO</v>
      </c>
      <c r="P485" s="5" t="str">
        <f>IFERROR(VLOOKUP(I485,[1]INFO_LOCALES!$B:$F,5,FALSE),"")</f>
        <v>NUEVA ATACAMA</v>
      </c>
      <c r="Q485" s="5" t="s">
        <v>85</v>
      </c>
      <c r="R485" s="5" t="s">
        <v>86</v>
      </c>
      <c r="S485" s="6"/>
      <c r="T485" s="5" t="str">
        <f>UPPER(IF(Tabla2[[#This Row],[FECHA DE MUESTREO ]]=0,"",TEXT(Tabla2[[#This Row],[FECHA DE MUESTREO ]],("MMMM"))))</f>
        <v>ABRIL</v>
      </c>
      <c r="U485" s="6">
        <v>45758</v>
      </c>
      <c r="V485" s="5" t="s">
        <v>59</v>
      </c>
      <c r="W4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85" s="7">
        <f t="shared" si="19"/>
        <v>1</v>
      </c>
      <c r="Y485" s="5">
        <v>11.7</v>
      </c>
      <c r="Z485" s="5">
        <v>7.21</v>
      </c>
      <c r="AA485" s="5">
        <v>6</v>
      </c>
      <c r="AB485" s="5">
        <v>22.13</v>
      </c>
      <c r="AC485" s="5">
        <v>280</v>
      </c>
      <c r="AD485" s="5">
        <v>10</v>
      </c>
      <c r="AE485" s="5">
        <v>23.13</v>
      </c>
      <c r="AF485" s="5">
        <v>0.5</v>
      </c>
      <c r="AG485" s="5">
        <v>48.7</v>
      </c>
      <c r="AH485" s="5">
        <v>0.74</v>
      </c>
      <c r="AI485" s="5">
        <f t="shared" si="17"/>
        <v>22.2</v>
      </c>
    </row>
    <row r="486" spans="1:51" x14ac:dyDescent="0.25">
      <c r="A486" s="5" t="s">
        <v>52</v>
      </c>
      <c r="B486" s="5" t="s">
        <v>74</v>
      </c>
      <c r="C486" s="5" t="s">
        <v>74</v>
      </c>
      <c r="F486" s="5" t="s">
        <v>55</v>
      </c>
      <c r="G486" s="5" t="s">
        <v>61</v>
      </c>
      <c r="H486" s="5" t="s">
        <v>57</v>
      </c>
      <c r="I486" s="5">
        <v>465</v>
      </c>
      <c r="J486" s="5" t="str">
        <f>IFERROR(VLOOKUP(I486,[1]INFO_LOCALES!$B:$C,2,FALSE),"")</f>
        <v>PUERTO NATALES</v>
      </c>
      <c r="K486" s="5" t="str">
        <f>IFERROR(VLOOKUP(Tabla2[[#This Row],[TIENDA]],[1]INFO_LOCALES!$B:$D,3,FALSE),"")</f>
        <v>XII - Magallanes</v>
      </c>
      <c r="L486" s="5" t="str">
        <f>IFERROR(VLOOKUP(I486,[1]INFO_LOCALES!$B:$I,8,FALSE),"")</f>
        <v>Puerto Natales</v>
      </c>
      <c r="M486" s="5" t="str">
        <f>IFERROR(VLOOKUP(I486,[1]INFO_LOCALES!$B:$H,7,FALSE),"")</f>
        <v>Bulnes 742</v>
      </c>
      <c r="N486" s="5">
        <f>IFERROR(VLOOKUP(I486,[1]INFO_LOCALES!$B:$E,4,FALSE),"")</f>
        <v>1133</v>
      </c>
      <c r="O486" s="5" t="str">
        <f>VLOOKUP(Tabla2[[#This Row],[TIENDA]],[1]INFO_LOCALES!$B:$J,9,0)</f>
        <v>SIN CONVENIO</v>
      </c>
      <c r="P486" s="5" t="str">
        <f>IFERROR(VLOOKUP(I486,[1]INFO_LOCALES!$B:$F,5,FALSE),"")</f>
        <v>AGUAS MAGALLANES S.A.</v>
      </c>
      <c r="Q486" s="5" t="s">
        <v>85</v>
      </c>
      <c r="R486" s="5" t="s">
        <v>86</v>
      </c>
      <c r="S486" s="6"/>
      <c r="T486" s="5" t="str">
        <f>UPPER(IF(Tabla2[[#This Row],[FECHA DE MUESTREO ]]=0,"",TEXT(Tabla2[[#This Row],[FECHA DE MUESTREO ]],("MMMM"))))</f>
        <v>ABRIL</v>
      </c>
      <c r="U486" s="6">
        <v>45762</v>
      </c>
      <c r="V486" s="5" t="s">
        <v>135</v>
      </c>
      <c r="W4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86" s="7">
        <f t="shared" si="19"/>
        <v>1</v>
      </c>
      <c r="AH486" s="5">
        <v>1.04</v>
      </c>
      <c r="AI486" s="5">
        <f t="shared" si="17"/>
        <v>31.200000000000003</v>
      </c>
    </row>
    <row r="487" spans="1:51" x14ac:dyDescent="0.25">
      <c r="A487" s="5" t="s">
        <v>210</v>
      </c>
      <c r="B487" s="5" t="e">
        <v>#N/A</v>
      </c>
      <c r="C487" s="5" t="e">
        <v>#N/A</v>
      </c>
      <c r="F487" s="5" t="s">
        <v>55</v>
      </c>
      <c r="G487" s="5" t="s">
        <v>65</v>
      </c>
      <c r="H487" s="5" t="s">
        <v>57</v>
      </c>
      <c r="I487" s="5">
        <v>9051</v>
      </c>
      <c r="J487" s="5" t="str">
        <f>IFERROR(VLOOKUP(I487,[1]INFO_LOCALES!$B:$C,2,FALSE),"")</f>
        <v>CD NUEVO COQUIMBO</v>
      </c>
      <c r="K487" s="5" t="str">
        <f>IFERROR(VLOOKUP(Tabla2[[#This Row],[TIENDA]],[1]INFO_LOCALES!$B:$D,3,FALSE),"")</f>
        <v>IV - Coquimbo</v>
      </c>
      <c r="L487" s="5" t="str">
        <f>IFERROR(VLOOKUP(I487,[1]INFO_LOCALES!$B:$I,8,FALSE),"")</f>
        <v>Coquimbo</v>
      </c>
      <c r="M487" s="5" t="str">
        <f>IFERROR(VLOOKUP(I487,[1]INFO_LOCALES!$B:$H,7,FALSE),"")</f>
        <v>PAN DE AZUCAR S/N</v>
      </c>
      <c r="N487" s="5">
        <f>IFERROR(VLOOKUP(I487,[1]INFO_LOCALES!$B:$E,4,FALSE),"")</f>
        <v>0</v>
      </c>
      <c r="O487" s="5" t="str">
        <f>VLOOKUP(Tabla2[[#This Row],[TIENDA]],[1]INFO_LOCALES!$B:$J,9,0)</f>
        <v>SIN CONVENIO</v>
      </c>
      <c r="P487" s="5" t="str">
        <f>IFERROR(VLOOKUP(I487,[1]INFO_LOCALES!$B:$F,5,FALSE),"")</f>
        <v>RENTAS COQUIMBO SPA</v>
      </c>
      <c r="Q487" s="5" t="s">
        <v>85</v>
      </c>
      <c r="R487" s="5" t="s">
        <v>86</v>
      </c>
      <c r="S487" s="6"/>
      <c r="T487" s="5" t="str">
        <f>UPPER(IF(Tabla2[[#This Row],[FECHA DE MUESTREO ]]=0,"",TEXT(Tabla2[[#This Row],[FECHA DE MUESTREO ]],("MMMM"))))</f>
        <v>ABRIL</v>
      </c>
      <c r="U487" s="6">
        <v>45762</v>
      </c>
      <c r="V487" s="5" t="s">
        <v>118</v>
      </c>
      <c r="W4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87" s="7">
        <f t="shared" si="19"/>
        <v>1</v>
      </c>
      <c r="Y487" s="5">
        <v>10.7</v>
      </c>
      <c r="Z487" s="5">
        <v>7.6</v>
      </c>
      <c r="AA487" s="5">
        <v>2</v>
      </c>
      <c r="AB487" s="5">
        <v>18.899999999999999</v>
      </c>
      <c r="AC487" s="5">
        <v>20</v>
      </c>
      <c r="AD487" s="5">
        <v>3.2</v>
      </c>
      <c r="AG487" s="5">
        <v>10.4</v>
      </c>
      <c r="AH487" s="5">
        <f ca="1">Tabla2[[#This Row],[VOLUMEN DE DESCARGA MENSUAL (M3/M)]]*30</f>
        <v>0</v>
      </c>
      <c r="AI487" s="5">
        <f t="shared" ca="1" si="17"/>
        <v>0</v>
      </c>
      <c r="AJ487" s="5">
        <v>0.1</v>
      </c>
      <c r="AK487" s="5">
        <v>2E-3</v>
      </c>
      <c r="AL487" s="5">
        <v>0.3231</v>
      </c>
      <c r="AM487" s="5">
        <v>0.01</v>
      </c>
      <c r="AN487" s="5">
        <v>0.1</v>
      </c>
      <c r="AO487" s="5">
        <v>5.5399999999999998E-2</v>
      </c>
      <c r="AP487" s="5">
        <v>0.05</v>
      </c>
      <c r="AR487" s="5">
        <v>0.05</v>
      </c>
      <c r="AS487" s="5">
        <v>5</v>
      </c>
      <c r="AT487" s="5">
        <v>3.4500000000000003E-2</v>
      </c>
      <c r="AU487" s="5">
        <v>1E-3</v>
      </c>
      <c r="AV487" s="5">
        <v>0.05</v>
      </c>
      <c r="AW487" s="5">
        <v>1.7500000000000002E-2</v>
      </c>
      <c r="AX487" s="5">
        <v>178</v>
      </c>
      <c r="AY487" s="5">
        <v>0.5</v>
      </c>
    </row>
    <row r="488" spans="1:51" x14ac:dyDescent="0.25">
      <c r="A488" s="5" t="s">
        <v>52</v>
      </c>
      <c r="B488" s="5" t="s">
        <v>82</v>
      </c>
      <c r="C488" s="5" t="s">
        <v>77</v>
      </c>
      <c r="F488" s="5" t="s">
        <v>55</v>
      </c>
      <c r="G488" s="5" t="s">
        <v>65</v>
      </c>
      <c r="H488" s="5" t="s">
        <v>57</v>
      </c>
      <c r="I488" s="5">
        <v>24</v>
      </c>
      <c r="J488" s="5" t="str">
        <f>IFERROR(VLOOKUP(I488,[1]INFO_LOCALES!$B:$C,2,FALSE),"")</f>
        <v>CHACABUCO</v>
      </c>
      <c r="K488" s="5" t="str">
        <f>IFERROR(VLOOKUP(Tabla2[[#This Row],[TIENDA]],[1]INFO_LOCALES!$B:$D,3,FALSE),"")</f>
        <v>III - Atacama</v>
      </c>
      <c r="L488" s="5" t="str">
        <f>IFERROR(VLOOKUP(I488,[1]INFO_LOCALES!$B:$I,8,FALSE),"")</f>
        <v>Copiapó</v>
      </c>
      <c r="M488" s="5" t="str">
        <f>IFERROR(VLOOKUP(I488,[1]INFO_LOCALES!$B:$H,7,FALSE),"")</f>
        <v>Los Carreras  586</v>
      </c>
      <c r="N488" s="5">
        <f>IFERROR(VLOOKUP(I488,[1]INFO_LOCALES!$B:$E,4,FALSE),"")</f>
        <v>0</v>
      </c>
      <c r="O488" s="5" t="str">
        <f>VLOOKUP(Tabla2[[#This Row],[TIENDA]],[1]INFO_LOCALES!$B:$J,9,0)</f>
        <v>SIN CONVENIO</v>
      </c>
      <c r="P488" s="5" t="str">
        <f>IFERROR(VLOOKUP(I488,[1]INFO_LOCALES!$B:$F,5,FALSE),"")</f>
        <v>NUEVA ATACAMA</v>
      </c>
      <c r="Q488" s="5" t="s">
        <v>85</v>
      </c>
      <c r="R488" s="5" t="s">
        <v>86</v>
      </c>
      <c r="S488" s="6"/>
      <c r="T488" s="5" t="str">
        <f>UPPER(IF(Tabla2[[#This Row],[FECHA DE MUESTREO ]]=0,"",TEXT(Tabla2[[#This Row],[FECHA DE MUESTREO ]],("MMMM"))))</f>
        <v>ABRIL</v>
      </c>
      <c r="U488" s="6">
        <v>45763</v>
      </c>
      <c r="V488" s="5" t="s">
        <v>59</v>
      </c>
      <c r="W4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88" s="7">
        <f t="shared" si="19"/>
        <v>3</v>
      </c>
      <c r="Y488" s="5">
        <v>24.3</v>
      </c>
      <c r="Z488" s="5">
        <v>7.23</v>
      </c>
      <c r="AA488" s="5">
        <v>47</v>
      </c>
      <c r="AB488" s="5">
        <v>22.43</v>
      </c>
      <c r="AC488" s="5">
        <v>205</v>
      </c>
      <c r="AD488" s="5">
        <v>6.3</v>
      </c>
      <c r="AE488" s="5">
        <v>7.14</v>
      </c>
      <c r="AF488" s="5">
        <v>0.6</v>
      </c>
      <c r="AG488" s="5">
        <v>78</v>
      </c>
      <c r="AH488" s="5">
        <v>0.36</v>
      </c>
      <c r="AI488" s="5">
        <f t="shared" si="17"/>
        <v>10.799999999999999</v>
      </c>
    </row>
    <row r="489" spans="1:51" x14ac:dyDescent="0.25">
      <c r="A489" s="5" t="s">
        <v>52</v>
      </c>
      <c r="B489" s="5" t="s">
        <v>104</v>
      </c>
      <c r="C489" s="5" t="s">
        <v>54</v>
      </c>
      <c r="F489" s="5" t="s">
        <v>55</v>
      </c>
      <c r="G489" s="5" t="s">
        <v>61</v>
      </c>
      <c r="H489" s="5" t="s">
        <v>57</v>
      </c>
      <c r="I489" s="5">
        <v>555</v>
      </c>
      <c r="J489" s="5" t="str">
        <f>IFERROR(VLOOKUP(I489,[1]INFO_LOCALES!$B:$C,2,FALSE),"")</f>
        <v>GRANEROS</v>
      </c>
      <c r="K489" s="5" t="str">
        <f>IFERROR(VLOOKUP(Tabla2[[#This Row],[TIENDA]],[1]INFO_LOCALES!$B:$D,3,FALSE),"")</f>
        <v>VI - O'Higgins</v>
      </c>
      <c r="L489" s="5" t="str">
        <f>IFERROR(VLOOKUP(I489,[1]INFO_LOCALES!$B:$I,8,FALSE),"")</f>
        <v>Graneros</v>
      </c>
      <c r="M489" s="5" t="str">
        <f>IFERROR(VLOOKUP(I489,[1]INFO_LOCALES!$B:$H,7,FALSE),"")</f>
        <v>Obispo Rafael Lira 042</v>
      </c>
      <c r="N489" s="5">
        <f>IFERROR(VLOOKUP(I489,[1]INFO_LOCALES!$B:$E,4,FALSE),"")</f>
        <v>4574</v>
      </c>
      <c r="O489" s="5" t="str">
        <f>VLOOKUP(Tabla2[[#This Row],[TIENDA]],[1]INFO_LOCALES!$B:$J,9,0)</f>
        <v>SIN CONVENIO</v>
      </c>
      <c r="P489" s="5" t="str">
        <f>IFERROR(VLOOKUP(I489,[1]INFO_LOCALES!$B:$F,5,FALSE),"")</f>
        <v>ESSBIO S.A.</v>
      </c>
      <c r="Q489" s="5" t="s">
        <v>85</v>
      </c>
      <c r="R489" s="5" t="s">
        <v>86</v>
      </c>
      <c r="S489" s="6"/>
      <c r="T489" s="5" t="str">
        <f>UPPER(IF(Tabla2[[#This Row],[FECHA DE MUESTREO ]]=0,"",TEXT(Tabla2[[#This Row],[FECHA DE MUESTREO ]],("MMMM"))))</f>
        <v>ABRIL</v>
      </c>
      <c r="U489" s="6">
        <v>45764</v>
      </c>
      <c r="V489" s="5" t="s">
        <v>59</v>
      </c>
      <c r="W4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89" s="7">
        <f t="shared" si="19"/>
        <v>1</v>
      </c>
      <c r="Y489" s="5">
        <v>17.8</v>
      </c>
      <c r="Z489" s="5">
        <v>7.66</v>
      </c>
      <c r="AA489" s="5">
        <v>2</v>
      </c>
      <c r="AB489" s="5">
        <v>21.96</v>
      </c>
      <c r="AC489" s="5">
        <v>190</v>
      </c>
      <c r="AD489" s="5">
        <v>5.5</v>
      </c>
      <c r="AE489" s="5">
        <v>16.239999999999998</v>
      </c>
      <c r="AF489" s="5">
        <v>3</v>
      </c>
      <c r="AG489" s="5">
        <v>115</v>
      </c>
      <c r="AH489" s="5">
        <v>0.75</v>
      </c>
      <c r="AI489" s="5">
        <f t="shared" si="17"/>
        <v>22.5</v>
      </c>
    </row>
    <row r="490" spans="1:51" x14ac:dyDescent="0.25">
      <c r="A490" s="5" t="s">
        <v>52</v>
      </c>
      <c r="B490" s="5" t="s">
        <v>82</v>
      </c>
      <c r="C490" s="5" t="s">
        <v>77</v>
      </c>
      <c r="F490" s="5" t="s">
        <v>55</v>
      </c>
      <c r="G490" s="5" t="s">
        <v>61</v>
      </c>
      <c r="H490" s="5" t="s">
        <v>57</v>
      </c>
      <c r="I490" s="5">
        <v>25</v>
      </c>
      <c r="J490" s="5" t="str">
        <f>IFERROR(VLOOKUP(I490,[1]INFO_LOCALES!$B:$C,2,FALSE),"")</f>
        <v>EL PALOMAR</v>
      </c>
      <c r="K490" s="5" t="str">
        <f>IFERROR(VLOOKUP(Tabla2[[#This Row],[TIENDA]],[1]INFO_LOCALES!$B:$D,3,FALSE),"")</f>
        <v>III - Atacama</v>
      </c>
      <c r="L490" s="5" t="str">
        <f>IFERROR(VLOOKUP(I490,[1]INFO_LOCALES!$B:$I,8,FALSE),"")</f>
        <v>Copiapó</v>
      </c>
      <c r="M490" s="5" t="str">
        <f>IFERROR(VLOOKUP(I490,[1]INFO_LOCALES!$B:$H,7,FALSE),"")</f>
        <v>Av. Palomar 1525</v>
      </c>
      <c r="N490" s="5">
        <f>IFERROR(VLOOKUP(I490,[1]INFO_LOCALES!$B:$E,4,FALSE),"")</f>
        <v>3868</v>
      </c>
      <c r="O490" s="5" t="str">
        <f>VLOOKUP(Tabla2[[#This Row],[TIENDA]],[1]INFO_LOCALES!$B:$J,9,0)</f>
        <v>TERMINADO</v>
      </c>
      <c r="P490" s="5" t="str">
        <f>IFERROR(VLOOKUP(I490,[1]INFO_LOCALES!$B:$F,5,FALSE),"")</f>
        <v>NUEVA ATACAMA</v>
      </c>
      <c r="Q490" s="5" t="s">
        <v>85</v>
      </c>
      <c r="R490" s="5" t="s">
        <v>86</v>
      </c>
      <c r="S490" s="6"/>
      <c r="T490" s="5" t="str">
        <f>UPPER(IF(Tabla2[[#This Row],[FECHA DE MUESTREO ]]=0,"",TEXT(Tabla2[[#This Row],[FECHA DE MUESTREO ]],("MMMM"))))</f>
        <v>ABRIL</v>
      </c>
      <c r="U490" s="6">
        <v>45770</v>
      </c>
      <c r="V490" s="5" t="s">
        <v>59</v>
      </c>
      <c r="W4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90" s="7">
        <f t="shared" si="19"/>
        <v>1</v>
      </c>
      <c r="Y490" s="5">
        <v>28.8</v>
      </c>
      <c r="Z490" s="5">
        <v>7.34</v>
      </c>
      <c r="AA490" s="5">
        <v>5</v>
      </c>
      <c r="AB490" s="5">
        <v>21.74</v>
      </c>
      <c r="AC490" s="5">
        <v>143</v>
      </c>
      <c r="AD490" s="5">
        <v>6.1</v>
      </c>
      <c r="AE490" s="5">
        <v>65.62</v>
      </c>
      <c r="AF490" s="5">
        <v>0.5</v>
      </c>
      <c r="AG490" s="5">
        <v>40</v>
      </c>
      <c r="AH490" s="5">
        <v>0.6</v>
      </c>
      <c r="AI490" s="5">
        <f t="shared" si="17"/>
        <v>18</v>
      </c>
    </row>
    <row r="491" spans="1:51" x14ac:dyDescent="0.25">
      <c r="A491" s="5" t="s">
        <v>52</v>
      </c>
      <c r="B491" s="5" t="s">
        <v>82</v>
      </c>
      <c r="C491" s="5" t="s">
        <v>77</v>
      </c>
      <c r="F491" s="5" t="s">
        <v>55</v>
      </c>
      <c r="G491" s="5" t="s">
        <v>65</v>
      </c>
      <c r="H491" s="5" t="s">
        <v>57</v>
      </c>
      <c r="I491" s="5">
        <v>32</v>
      </c>
      <c r="J491" s="5" t="str">
        <f>IFERROR(VLOOKUP(I491,[1]INFO_LOCALES!$B:$C,2,FALSE),"")</f>
        <v>CHAÑARCILLO</v>
      </c>
      <c r="K491" s="5" t="str">
        <f>IFERROR(VLOOKUP(Tabla2[[#This Row],[TIENDA]],[1]INFO_LOCALES!$B:$D,3,FALSE),"")</f>
        <v>III - Atacama</v>
      </c>
      <c r="L491" s="5" t="str">
        <f>IFERROR(VLOOKUP(I491,[1]INFO_LOCALES!$B:$I,8,FALSE),"")</f>
        <v>Copiapó</v>
      </c>
      <c r="M491" s="5" t="str">
        <f>IFERROR(VLOOKUP(I491,[1]INFO_LOCALES!$B:$H,7,FALSE),"")</f>
        <v>Chacabuco Nº 231</v>
      </c>
      <c r="N491" s="5">
        <f>IFERROR(VLOOKUP(I491,[1]INFO_LOCALES!$B:$E,4,FALSE),"")</f>
        <v>0</v>
      </c>
      <c r="O491" s="5" t="str">
        <f>VLOOKUP(Tabla2[[#This Row],[TIENDA]],[1]INFO_LOCALES!$B:$J,9,0)</f>
        <v>CONVENIO</v>
      </c>
      <c r="P491" s="5" t="str">
        <f>IFERROR(VLOOKUP(I491,[1]INFO_LOCALES!$B:$F,5,FALSE),"")</f>
        <v>NUEVA ATACAMA</v>
      </c>
      <c r="Q491" s="5" t="s">
        <v>85</v>
      </c>
      <c r="R491" s="5" t="s">
        <v>86</v>
      </c>
      <c r="S491" s="6"/>
      <c r="T491" s="5" t="str">
        <f>UPPER(IF(Tabla2[[#This Row],[FECHA DE MUESTREO ]]=0,"",TEXT(Tabla2[[#This Row],[FECHA DE MUESTREO ]],("MMMM"))))</f>
        <v>ABRIL</v>
      </c>
      <c r="U491" s="6">
        <v>45770</v>
      </c>
      <c r="V491" s="5" t="s">
        <v>59</v>
      </c>
      <c r="W4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91" s="7">
        <f t="shared" si="19"/>
        <v>3</v>
      </c>
      <c r="Y491" s="5">
        <v>357.2</v>
      </c>
      <c r="Z491" s="5">
        <v>7.6</v>
      </c>
      <c r="AA491" s="5">
        <v>2</v>
      </c>
      <c r="AB491" s="5">
        <v>22.1</v>
      </c>
      <c r="AC491" s="5">
        <v>334</v>
      </c>
      <c r="AD491" s="5">
        <v>9.1999999999999993</v>
      </c>
      <c r="AE491" s="5">
        <v>56.97</v>
      </c>
      <c r="AF491" s="5">
        <v>2.5</v>
      </c>
      <c r="AG491" s="5">
        <v>182</v>
      </c>
      <c r="AH491" s="5">
        <f ca="1">Tabla2[[#This Row],[VOLUMEN DE DESCARGA MENSUAL (M3/M)]]*30</f>
        <v>0</v>
      </c>
      <c r="AI491" s="5">
        <f t="shared" ca="1" si="17"/>
        <v>0</v>
      </c>
    </row>
    <row r="492" spans="1:51" x14ac:dyDescent="0.25">
      <c r="A492" s="5" t="s">
        <v>52</v>
      </c>
      <c r="B492" s="5" t="s">
        <v>82</v>
      </c>
      <c r="C492" s="5" t="s">
        <v>77</v>
      </c>
      <c r="F492" s="5" t="s">
        <v>55</v>
      </c>
      <c r="G492" s="5" t="s">
        <v>65</v>
      </c>
      <c r="H492" s="5" t="s">
        <v>57</v>
      </c>
      <c r="I492" s="5">
        <v>472</v>
      </c>
      <c r="J492" s="5" t="str">
        <f>IFERROR(VLOOKUP(I492,[1]INFO_LOCALES!$B:$C,2,FALSE),"")</f>
        <v>CALDERA I</v>
      </c>
      <c r="K492" s="5" t="str">
        <f>IFERROR(VLOOKUP(Tabla2[[#This Row],[TIENDA]],[1]INFO_LOCALES!$B:$D,3,FALSE),"")</f>
        <v>III - Atacama</v>
      </c>
      <c r="L492" s="5" t="str">
        <f>IFERROR(VLOOKUP(I492,[1]INFO_LOCALES!$B:$I,8,FALSE),"")</f>
        <v>Caldera</v>
      </c>
      <c r="M492" s="5" t="str">
        <f>IFERROR(VLOOKUP(I492,[1]INFO_LOCALES!$B:$H,7,FALSE),"")</f>
        <v>Batallon Atacama 319</v>
      </c>
      <c r="N492" s="5">
        <f>IFERROR(VLOOKUP(I492,[1]INFO_LOCALES!$B:$E,4,FALSE),"")</f>
        <v>0</v>
      </c>
      <c r="O492" s="5" t="str">
        <f>VLOOKUP(Tabla2[[#This Row],[TIENDA]],[1]INFO_LOCALES!$B:$J,9,0)</f>
        <v>CONVENIO</v>
      </c>
      <c r="P492" s="5" t="str">
        <f>IFERROR(VLOOKUP(I492,[1]INFO_LOCALES!$B:$F,5,FALSE),"")</f>
        <v>NUEVA ATACAMA</v>
      </c>
      <c r="Q492" s="5" t="s">
        <v>85</v>
      </c>
      <c r="R492" s="5" t="s">
        <v>86</v>
      </c>
      <c r="S492" s="6"/>
      <c r="T492" s="5" t="str">
        <f>UPPER(IF(Tabla2[[#This Row],[FECHA DE MUESTREO ]]=0,"",TEXT(Tabla2[[#This Row],[FECHA DE MUESTREO ]],("MMMM"))))</f>
        <v>ABRIL</v>
      </c>
      <c r="U492" s="6">
        <v>45771</v>
      </c>
      <c r="V492" s="5" t="s">
        <v>59</v>
      </c>
      <c r="W4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92" s="7">
        <f t="shared" si="19"/>
        <v>2</v>
      </c>
      <c r="Y492" s="5">
        <v>5.8</v>
      </c>
      <c r="Z492" s="5">
        <v>7.16</v>
      </c>
      <c r="AA492" s="5">
        <v>11</v>
      </c>
      <c r="AB492" s="5">
        <v>24.41</v>
      </c>
      <c r="AC492" s="5">
        <v>64</v>
      </c>
      <c r="AD492" s="5">
        <v>3.3</v>
      </c>
      <c r="AE492" s="5">
        <v>5</v>
      </c>
      <c r="AF492" s="5">
        <v>0.5</v>
      </c>
      <c r="AG492" s="5">
        <v>43.3</v>
      </c>
      <c r="AH492" s="5">
        <v>0.38</v>
      </c>
      <c r="AI492" s="5">
        <f t="shared" si="17"/>
        <v>11.4</v>
      </c>
    </row>
    <row r="493" spans="1:51" x14ac:dyDescent="0.25">
      <c r="A493" s="5" t="s">
        <v>52</v>
      </c>
      <c r="B493" s="5" t="s">
        <v>82</v>
      </c>
      <c r="C493" s="5" t="s">
        <v>77</v>
      </c>
      <c r="F493" s="5" t="s">
        <v>55</v>
      </c>
      <c r="G493" s="5" t="s">
        <v>65</v>
      </c>
      <c r="H493" s="5" t="s">
        <v>57</v>
      </c>
      <c r="I493" s="5">
        <v>7</v>
      </c>
      <c r="J493" s="5" t="str">
        <f>IFERROR(VLOOKUP(I493,[1]INFO_LOCALES!$B:$C,2,FALSE),"")</f>
        <v>VALLENAR I</v>
      </c>
      <c r="K493" s="5" t="str">
        <f>IFERROR(VLOOKUP(Tabla2[[#This Row],[TIENDA]],[1]INFO_LOCALES!$B:$D,3,FALSE),"")</f>
        <v>III - Atacama</v>
      </c>
      <c r="L493" s="5" t="str">
        <f>IFERROR(VLOOKUP(I493,[1]INFO_LOCALES!$B:$I,8,FALSE),"")</f>
        <v>Vallenar</v>
      </c>
      <c r="M493" s="5" t="str">
        <f>IFERROR(VLOOKUP(I493,[1]INFO_LOCALES!$B:$H,7,FALSE),"")</f>
        <v>Brasil 663</v>
      </c>
      <c r="N493" s="5">
        <f>IFERROR(VLOOKUP(I493,[1]INFO_LOCALES!$B:$E,4,FALSE),"")</f>
        <v>0</v>
      </c>
      <c r="O493" s="5" t="str">
        <f>VLOOKUP(Tabla2[[#This Row],[TIENDA]],[1]INFO_LOCALES!$B:$J,9,0)</f>
        <v>CONVENIO</v>
      </c>
      <c r="P493" s="5" t="str">
        <f>IFERROR(VLOOKUP(I493,[1]INFO_LOCALES!$B:$F,5,FALSE),"")</f>
        <v>NUEVA ATACAMA</v>
      </c>
      <c r="Q493" s="5" t="s">
        <v>85</v>
      </c>
      <c r="R493" s="5" t="s">
        <v>86</v>
      </c>
      <c r="S493" s="6"/>
      <c r="T493" s="5" t="str">
        <f>UPPER(IF(Tabla2[[#This Row],[FECHA DE MUESTREO ]]=0,"",TEXT(Tabla2[[#This Row],[FECHA DE MUESTREO ]],("MMMM"))))</f>
        <v>ABRIL</v>
      </c>
      <c r="U493" s="6">
        <v>45772</v>
      </c>
      <c r="V493" s="5" t="s">
        <v>59</v>
      </c>
      <c r="W4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93" s="7">
        <f t="shared" si="19"/>
        <v>2</v>
      </c>
      <c r="Y493" s="5">
        <v>14.9</v>
      </c>
      <c r="Z493" s="5">
        <v>8.16</v>
      </c>
      <c r="AA493" s="5">
        <v>4</v>
      </c>
      <c r="AB493" s="5">
        <v>21.41</v>
      </c>
      <c r="AC493" s="5">
        <v>571</v>
      </c>
      <c r="AD493" s="5">
        <v>8.3000000000000007</v>
      </c>
      <c r="AE493" s="5">
        <v>59.37</v>
      </c>
      <c r="AF493" s="5">
        <v>0.8</v>
      </c>
      <c r="AG493" s="5">
        <v>184</v>
      </c>
      <c r="AH493" s="5">
        <v>0.68</v>
      </c>
      <c r="AI493" s="5">
        <f t="shared" si="17"/>
        <v>20.400000000000002</v>
      </c>
    </row>
    <row r="494" spans="1:51" x14ac:dyDescent="0.25">
      <c r="A494" s="5" t="s">
        <v>52</v>
      </c>
      <c r="B494" s="5" t="s">
        <v>82</v>
      </c>
      <c r="C494" s="5" t="s">
        <v>77</v>
      </c>
      <c r="F494" s="5" t="s">
        <v>55</v>
      </c>
      <c r="G494" s="5" t="s">
        <v>65</v>
      </c>
      <c r="H494" s="5" t="s">
        <v>57</v>
      </c>
      <c r="I494" s="5">
        <v>16</v>
      </c>
      <c r="J494" s="5" t="str">
        <f>IFERROR(VLOOKUP(I494,[1]INFO_LOCALES!$B:$C,2,FALSE),"")</f>
        <v>VALLENAR II</v>
      </c>
      <c r="K494" s="5" t="str">
        <f>IFERROR(VLOOKUP(Tabla2[[#This Row],[TIENDA]],[1]INFO_LOCALES!$B:$D,3,FALSE),"")</f>
        <v>III - Atacama</v>
      </c>
      <c r="L494" s="5" t="str">
        <f>IFERROR(VLOOKUP(I494,[1]INFO_LOCALES!$B:$I,8,FALSE),"")</f>
        <v>Vallenar</v>
      </c>
      <c r="M494" s="5" t="str">
        <f>IFERROR(VLOOKUP(I494,[1]INFO_LOCALES!$B:$H,7,FALSE),"")</f>
        <v>Arturo Prat 2350</v>
      </c>
      <c r="N494" s="5">
        <f>IFERROR(VLOOKUP(I494,[1]INFO_LOCALES!$B:$E,4,FALSE),"")</f>
        <v>0</v>
      </c>
      <c r="O494" s="5" t="str">
        <f>VLOOKUP(Tabla2[[#This Row],[TIENDA]],[1]INFO_LOCALES!$B:$J,9,0)</f>
        <v>TERMINADO</v>
      </c>
      <c r="P494" s="5" t="str">
        <f>IFERROR(VLOOKUP(I494,[1]INFO_LOCALES!$B:$F,5,FALSE),"")</f>
        <v>NUEVA ATACAMA</v>
      </c>
      <c r="Q494" s="5" t="s">
        <v>85</v>
      </c>
      <c r="R494" s="5" t="s">
        <v>86</v>
      </c>
      <c r="S494" s="6"/>
      <c r="T494" s="5" t="str">
        <f>UPPER(IF(Tabla2[[#This Row],[FECHA DE MUESTREO ]]=0,"",TEXT(Tabla2[[#This Row],[FECHA DE MUESTREO ]],("MMMM"))))</f>
        <v>ABRIL</v>
      </c>
      <c r="U494" s="6">
        <v>45772</v>
      </c>
      <c r="V494" s="5" t="s">
        <v>59</v>
      </c>
      <c r="W4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94" s="7">
        <f t="shared" si="19"/>
        <v>3</v>
      </c>
      <c r="Y494" s="5">
        <v>20.2</v>
      </c>
      <c r="Z494" s="5">
        <v>6.79</v>
      </c>
      <c r="AA494" s="5">
        <v>27</v>
      </c>
      <c r="AB494" s="5">
        <v>21.02</v>
      </c>
      <c r="AC494" s="5">
        <v>125</v>
      </c>
      <c r="AD494" s="5">
        <v>0.9</v>
      </c>
      <c r="AE494" s="5">
        <v>5</v>
      </c>
      <c r="AF494" s="5">
        <v>0.5</v>
      </c>
      <c r="AG494" s="5">
        <v>65.5</v>
      </c>
      <c r="AH494" s="5">
        <v>0.5</v>
      </c>
      <c r="AI494" s="5">
        <f t="shared" si="17"/>
        <v>15</v>
      </c>
    </row>
    <row r="495" spans="1:51" x14ac:dyDescent="0.25">
      <c r="A495" s="5" t="s">
        <v>52</v>
      </c>
      <c r="B495" s="5" t="s">
        <v>82</v>
      </c>
      <c r="C495" s="5" t="s">
        <v>77</v>
      </c>
      <c r="F495" s="5" t="s">
        <v>55</v>
      </c>
      <c r="G495" s="5" t="s">
        <v>65</v>
      </c>
      <c r="H495" s="5" t="s">
        <v>57</v>
      </c>
      <c r="I495" s="5">
        <v>23</v>
      </c>
      <c r="J495" s="5" t="str">
        <f>IFERROR(VLOOKUP(I495,[1]INFO_LOCALES!$B:$C,2,FALSE),"")</f>
        <v>LOS CARRERAS</v>
      </c>
      <c r="K495" s="5" t="str">
        <f>IFERROR(VLOOKUP(Tabla2[[#This Row],[TIENDA]],[1]INFO_LOCALES!$B:$D,3,FALSE),"")</f>
        <v>III - Atacama</v>
      </c>
      <c r="L495" s="5" t="str">
        <f>IFERROR(VLOOKUP(I495,[1]INFO_LOCALES!$B:$I,8,FALSE),"")</f>
        <v>Copiapó</v>
      </c>
      <c r="M495" s="5" t="str">
        <f>IFERROR(VLOOKUP(I495,[1]INFO_LOCALES!$B:$H,7,FALSE),"")</f>
        <v>Los Carrera 479</v>
      </c>
      <c r="N495" s="5">
        <f>IFERROR(VLOOKUP(I495,[1]INFO_LOCALES!$B:$E,4,FALSE),"")</f>
        <v>0</v>
      </c>
      <c r="O495" s="5" t="str">
        <f>VLOOKUP(Tabla2[[#This Row],[TIENDA]],[1]INFO_LOCALES!$B:$J,9,0)</f>
        <v>SIN CONVENIO</v>
      </c>
      <c r="P495" s="5" t="str">
        <f>IFERROR(VLOOKUP(I495,[1]INFO_LOCALES!$B:$F,5,FALSE),"")</f>
        <v>NUEVA ATACAMA</v>
      </c>
      <c r="Q495" s="5" t="s">
        <v>85</v>
      </c>
      <c r="R495" s="5" t="s">
        <v>86</v>
      </c>
      <c r="S495" s="6"/>
      <c r="T495" s="5" t="str">
        <f>UPPER(IF(Tabla2[[#This Row],[FECHA DE MUESTREO ]]=0,"",TEXT(Tabla2[[#This Row],[FECHA DE MUESTREO ]],("MMMM"))))</f>
        <v>ABRIL</v>
      </c>
      <c r="U495" s="6">
        <v>45775</v>
      </c>
      <c r="V495" s="5" t="s">
        <v>59</v>
      </c>
      <c r="W4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95" s="7">
        <f t="shared" si="19"/>
        <v>1</v>
      </c>
      <c r="Y495" s="5">
        <v>5.8</v>
      </c>
      <c r="Z495" s="5">
        <v>7.84</v>
      </c>
      <c r="AA495" s="5">
        <v>2</v>
      </c>
      <c r="AB495" s="5">
        <v>20.54</v>
      </c>
      <c r="AC495" s="5">
        <v>29</v>
      </c>
      <c r="AD495" s="5">
        <v>1.6</v>
      </c>
      <c r="AE495" s="5">
        <v>9.39</v>
      </c>
      <c r="AF495" s="5">
        <v>0.5</v>
      </c>
      <c r="AG495" s="5">
        <v>14</v>
      </c>
      <c r="AH495" s="5">
        <v>0.19</v>
      </c>
      <c r="AI495" s="5">
        <f t="shared" si="17"/>
        <v>5.7</v>
      </c>
    </row>
    <row r="496" spans="1:51" x14ac:dyDescent="0.25">
      <c r="A496" s="5" t="s">
        <v>52</v>
      </c>
      <c r="B496" s="5" t="s">
        <v>74</v>
      </c>
      <c r="C496" s="5" t="s">
        <v>74</v>
      </c>
      <c r="F496" s="5" t="s">
        <v>55</v>
      </c>
      <c r="G496" s="5" t="s">
        <v>61</v>
      </c>
      <c r="H496" s="5" t="s">
        <v>57</v>
      </c>
      <c r="I496" s="5">
        <v>465</v>
      </c>
      <c r="J496" s="5" t="str">
        <f>IFERROR(VLOOKUP(I496,[1]INFO_LOCALES!$B:$C,2,FALSE),"")</f>
        <v>PUERTO NATALES</v>
      </c>
      <c r="K496" s="5" t="str">
        <f>IFERROR(VLOOKUP(Tabla2[[#This Row],[TIENDA]],[1]INFO_LOCALES!$B:$D,3,FALSE),"")</f>
        <v>XII - Magallanes</v>
      </c>
      <c r="L496" s="5" t="str">
        <f>IFERROR(VLOOKUP(I496,[1]INFO_LOCALES!$B:$I,8,FALSE),"")</f>
        <v>Puerto Natales</v>
      </c>
      <c r="M496" s="5" t="str">
        <f>IFERROR(VLOOKUP(I496,[1]INFO_LOCALES!$B:$H,7,FALSE),"")</f>
        <v>Bulnes 742</v>
      </c>
      <c r="N496" s="5">
        <f>IFERROR(VLOOKUP(I496,[1]INFO_LOCALES!$B:$E,4,FALSE),"")</f>
        <v>1133</v>
      </c>
      <c r="O496" s="5" t="str">
        <f>VLOOKUP(Tabla2[[#This Row],[TIENDA]],[1]INFO_LOCALES!$B:$J,9,0)</f>
        <v>SIN CONVENIO</v>
      </c>
      <c r="P496" s="5" t="str">
        <f>IFERROR(VLOOKUP(I496,[1]INFO_LOCALES!$B:$F,5,FALSE),"")</f>
        <v>AGUAS MAGALLANES S.A.</v>
      </c>
      <c r="Q496" s="5" t="s">
        <v>85</v>
      </c>
      <c r="R496" s="5" t="s">
        <v>86</v>
      </c>
      <c r="S496" s="6"/>
      <c r="T496" s="5" t="str">
        <f>UPPER(IF(Tabla2[[#This Row],[FECHA DE MUESTREO ]]=0,"",TEXT(Tabla2[[#This Row],[FECHA DE MUESTREO ]],("MMMM"))))</f>
        <v>ABRIL</v>
      </c>
      <c r="U496" s="6">
        <v>45775</v>
      </c>
      <c r="V496" s="5" t="s">
        <v>135</v>
      </c>
      <c r="W4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96" s="7">
        <f t="shared" si="19"/>
        <v>1</v>
      </c>
      <c r="AH496" s="5">
        <v>0.38</v>
      </c>
      <c r="AI496" s="5">
        <f t="shared" si="17"/>
        <v>11.4</v>
      </c>
    </row>
    <row r="497" spans="1:51" x14ac:dyDescent="0.25">
      <c r="A497" s="5" t="s">
        <v>52</v>
      </c>
      <c r="B497" s="5" t="e">
        <v>#N/A</v>
      </c>
      <c r="C497" s="5" t="e">
        <v>#N/A</v>
      </c>
      <c r="F497" s="5" t="s">
        <v>55</v>
      </c>
      <c r="G497" s="5" t="s">
        <v>61</v>
      </c>
      <c r="H497" s="5" t="s">
        <v>57</v>
      </c>
      <c r="I497" s="5">
        <v>3014</v>
      </c>
      <c r="J497" s="5" t="str">
        <f>IFERROR(VLOOKUP(I497,[1]INFO_LOCALES!$B:$C,2,FALSE),"")</f>
        <v>M10 SAN FERNANDO</v>
      </c>
      <c r="K497" s="5" t="str">
        <f>IFERROR(VLOOKUP(Tabla2[[#This Row],[TIENDA]],[1]INFO_LOCALES!$B:$D,3,FALSE),"")</f>
        <v>VI - O'Higgins</v>
      </c>
      <c r="L497" s="5" t="str">
        <f>IFERROR(VLOOKUP(I497,[1]INFO_LOCALES!$B:$I,8,FALSE),"")</f>
        <v>San Fernando</v>
      </c>
      <c r="M497" s="5" t="str">
        <f>IFERROR(VLOOKUP(I497,[1]INFO_LOCALES!$B:$H,7,FALSE),"")</f>
        <v>Chillan 745</v>
      </c>
      <c r="N497" s="5">
        <f>IFERROR(VLOOKUP(I497,[1]INFO_LOCALES!$B:$E,4,FALSE),"")</f>
        <v>1298</v>
      </c>
      <c r="O497" s="5" t="str">
        <f>VLOOKUP(Tabla2[[#This Row],[TIENDA]],[1]INFO_LOCALES!$B:$J,9,0)</f>
        <v>TERMINADO</v>
      </c>
      <c r="P497" s="5" t="str">
        <f>IFERROR(VLOOKUP(I497,[1]INFO_LOCALES!$B:$F,5,FALSE),"")</f>
        <v>ESSBIO S.A.</v>
      </c>
      <c r="Q497" s="5" t="s">
        <v>85</v>
      </c>
      <c r="R497" s="5" t="s">
        <v>86</v>
      </c>
      <c r="S497" s="6"/>
      <c r="T497" s="5" t="str">
        <f>UPPER(IF(Tabla2[[#This Row],[FECHA DE MUESTREO ]]=0,"",TEXT(Tabla2[[#This Row],[FECHA DE MUESTREO ]],("MMMM"))))</f>
        <v>ABRIL</v>
      </c>
      <c r="U497" s="6">
        <v>45775</v>
      </c>
      <c r="V497" s="5" t="s">
        <v>59</v>
      </c>
      <c r="W4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497" s="7">
        <f t="shared" si="19"/>
        <v>2</v>
      </c>
      <c r="Y497" s="5">
        <v>50.4</v>
      </c>
      <c r="Z497" s="5">
        <v>7.55</v>
      </c>
      <c r="AA497" s="5">
        <v>3</v>
      </c>
      <c r="AB497" s="5">
        <v>16.05</v>
      </c>
      <c r="AC497" s="5">
        <v>476</v>
      </c>
      <c r="AD497" s="5">
        <v>11.1</v>
      </c>
      <c r="AE497" s="5">
        <v>26.51</v>
      </c>
      <c r="AF497" s="5">
        <v>3</v>
      </c>
      <c r="AG497" s="5">
        <v>182</v>
      </c>
      <c r="AH497" s="5">
        <v>0.91</v>
      </c>
      <c r="AI497" s="5">
        <f t="shared" si="17"/>
        <v>27.3</v>
      </c>
    </row>
    <row r="498" spans="1:51" x14ac:dyDescent="0.25">
      <c r="A498" s="5" t="s">
        <v>52</v>
      </c>
      <c r="B498" s="5" t="s">
        <v>116</v>
      </c>
      <c r="C498" s="5" t="s">
        <v>70</v>
      </c>
      <c r="F498" s="5" t="s">
        <v>55</v>
      </c>
      <c r="G498" s="5" t="s">
        <v>61</v>
      </c>
      <c r="H498" s="5" t="s">
        <v>57</v>
      </c>
      <c r="I498" s="5">
        <v>477</v>
      </c>
      <c r="J498" s="5" t="str">
        <f>IFERROR(VLOOKUP(I498,[1]INFO_LOCALES!$B:$C,2,FALSE),"")</f>
        <v>CURAUMA</v>
      </c>
      <c r="K498" s="5" t="str">
        <f>IFERROR(VLOOKUP(Tabla2[[#This Row],[TIENDA]],[1]INFO_LOCALES!$B:$D,3,FALSE),"")</f>
        <v>V - Valparaiso</v>
      </c>
      <c r="L498" s="5" t="str">
        <f>IFERROR(VLOOKUP(I498,[1]INFO_LOCALES!$B:$I,8,FALSE),"")</f>
        <v>Valparaíso</v>
      </c>
      <c r="M498" s="5" t="str">
        <f>IFERROR(VLOOKUP(I498,[1]INFO_LOCALES!$B:$H,7,FALSE),"")</f>
        <v>Obispo Valdes 1170</v>
      </c>
      <c r="N498" s="5">
        <f>IFERROR(VLOOKUP(I498,[1]INFO_LOCALES!$B:$E,4,FALSE),"")</f>
        <v>2721</v>
      </c>
      <c r="O498" s="5" t="str">
        <f>VLOOKUP(Tabla2[[#This Row],[TIENDA]],[1]INFO_LOCALES!$B:$J,9,0)</f>
        <v>SIN CONVENIO</v>
      </c>
      <c r="P498" s="5" t="str">
        <f>IFERROR(VLOOKUP(I498,[1]INFO_LOCALES!$B:$F,5,FALSE),"")</f>
        <v>ESVAL S.A.</v>
      </c>
      <c r="Q498" s="5" t="s">
        <v>85</v>
      </c>
      <c r="R498" s="5" t="s">
        <v>86</v>
      </c>
      <c r="S498" s="6"/>
      <c r="T498" s="5" t="str">
        <f>UPPER(IF(Tabla2[[#This Row],[FECHA DE MUESTREO ]]=0,"",TEXT(Tabla2[[#This Row],[FECHA DE MUESTREO ]],("MMMM"))))</f>
        <v>ABRIL</v>
      </c>
      <c r="U498" s="6">
        <v>45776</v>
      </c>
      <c r="V498" s="5" t="s">
        <v>59</v>
      </c>
      <c r="W4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498" s="7">
        <f t="shared" si="19"/>
        <v>1</v>
      </c>
      <c r="Y498" s="5">
        <v>21.5</v>
      </c>
      <c r="Z498" s="5">
        <v>7.57</v>
      </c>
      <c r="AA498" s="5">
        <v>2</v>
      </c>
      <c r="AB498" s="5">
        <v>18.14</v>
      </c>
      <c r="AC498" s="5">
        <v>231</v>
      </c>
      <c r="AD498" s="5">
        <v>3.1</v>
      </c>
      <c r="AE498" s="5">
        <v>10.77</v>
      </c>
      <c r="AF498" s="5">
        <v>2.5</v>
      </c>
      <c r="AG498" s="5">
        <v>100</v>
      </c>
      <c r="AH498" s="5">
        <f>0.89</f>
        <v>0.89</v>
      </c>
      <c r="AI498" s="5">
        <f t="shared" si="17"/>
        <v>26.7</v>
      </c>
    </row>
    <row r="499" spans="1:51" x14ac:dyDescent="0.25">
      <c r="A499" s="5" t="s">
        <v>52</v>
      </c>
      <c r="B499" s="5" t="s">
        <v>53</v>
      </c>
      <c r="C499" s="5" t="s">
        <v>54</v>
      </c>
      <c r="F499" s="5" t="s">
        <v>55</v>
      </c>
      <c r="G499" s="5" t="s">
        <v>61</v>
      </c>
      <c r="H499" s="5" t="s">
        <v>57</v>
      </c>
      <c r="I499" s="5">
        <v>344</v>
      </c>
      <c r="J499" s="5" t="str">
        <f>IFERROR(VLOOKUP(I499,[1]INFO_LOCALES!$B:$C,2,FALSE),"")</f>
        <v>CURICO ALAMEDA</v>
      </c>
      <c r="K499" s="5" t="str">
        <f>IFERROR(VLOOKUP(Tabla2[[#This Row],[TIENDA]],[1]INFO_LOCALES!$B:$D,3,FALSE),"")</f>
        <v>VII - Maule</v>
      </c>
      <c r="L499" s="5" t="str">
        <f>IFERROR(VLOOKUP(I499,[1]INFO_LOCALES!$B:$I,8,FALSE),"")</f>
        <v>Curicó</v>
      </c>
      <c r="M499" s="5" t="str">
        <f>IFERROR(VLOOKUP(I499,[1]INFO_LOCALES!$B:$H,7,FALSE),"")</f>
        <v>Estado 43</v>
      </c>
      <c r="N499" s="5">
        <f>IFERROR(VLOOKUP(I499,[1]INFO_LOCALES!$B:$E,4,FALSE),"")</f>
        <v>4530</v>
      </c>
      <c r="O499" s="5" t="str">
        <f>VLOOKUP(Tabla2[[#This Row],[TIENDA]],[1]INFO_LOCALES!$B:$J,9,0)</f>
        <v>SIN CONVENIO</v>
      </c>
      <c r="P499" s="5" t="str">
        <f>IFERROR(VLOOKUP(I499,[1]INFO_LOCALES!$B:$F,5,FALSE),"")</f>
        <v>NUEVOSUR S.A.</v>
      </c>
      <c r="Q499" s="5" t="s">
        <v>85</v>
      </c>
      <c r="R499" s="5" t="s">
        <v>86</v>
      </c>
      <c r="S499" s="6"/>
      <c r="T499" s="5" t="str">
        <f>UPPER(IF(Tabla2[[#This Row],[FECHA DE MUESTREO ]]=0,"",TEXT(Tabla2[[#This Row],[FECHA DE MUESTREO ]],("MMMM"))))</f>
        <v>MAYO</v>
      </c>
      <c r="U499" s="6">
        <v>45782</v>
      </c>
      <c r="V499" s="5" t="s">
        <v>59</v>
      </c>
      <c r="W4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499" s="7">
        <f t="shared" si="19"/>
        <v>3</v>
      </c>
      <c r="Y499" s="5">
        <v>13.8</v>
      </c>
      <c r="Z499" s="5">
        <v>7.68</v>
      </c>
      <c r="AA499" s="5">
        <v>8</v>
      </c>
      <c r="AB499" s="5">
        <v>20.03</v>
      </c>
      <c r="AC499" s="5">
        <v>741</v>
      </c>
      <c r="AD499" s="5">
        <v>5.46</v>
      </c>
      <c r="AE499" s="5">
        <v>24.1</v>
      </c>
      <c r="AF499" s="5">
        <v>1.4</v>
      </c>
      <c r="AG499" s="5">
        <v>130</v>
      </c>
      <c r="AH499" s="5">
        <f ca="1">Tabla2[[#This Row],[VOLUMEN DE DESCARGA MENSUAL (M3/M)]]*30</f>
        <v>0</v>
      </c>
      <c r="AI499" s="5">
        <f t="shared" ca="1" si="17"/>
        <v>0</v>
      </c>
    </row>
    <row r="500" spans="1:51" x14ac:dyDescent="0.25">
      <c r="A500" s="5" t="s">
        <v>52</v>
      </c>
      <c r="B500" s="5" t="e">
        <v>#N/A</v>
      </c>
      <c r="C500" s="5" t="e">
        <v>#N/A</v>
      </c>
      <c r="F500" s="5" t="s">
        <v>55</v>
      </c>
      <c r="G500" s="5" t="s">
        <v>61</v>
      </c>
      <c r="H500" s="5" t="s">
        <v>57</v>
      </c>
      <c r="I500" s="5">
        <v>3022</v>
      </c>
      <c r="J500" s="5" t="str">
        <f>IFERROR(VLOOKUP(I500,[1]INFO_LOCALES!$B:$C,2,FALSE),"")</f>
        <v>M10 TEMUCO II</v>
      </c>
      <c r="K500" s="5" t="str">
        <f>IFERROR(VLOOKUP(Tabla2[[#This Row],[TIENDA]],[1]INFO_LOCALES!$B:$D,3,FALSE),"")</f>
        <v>IX - Araucanía</v>
      </c>
      <c r="L500" s="5" t="str">
        <f>IFERROR(VLOOKUP(I500,[1]INFO_LOCALES!$B:$I,8,FALSE),"")</f>
        <v>Temuco</v>
      </c>
      <c r="M500" s="5" t="str">
        <f>IFERROR(VLOOKUP(I500,[1]INFO_LOCALES!$B:$H,7,FALSE),"")</f>
        <v>Pedro De Valdivia 2285</v>
      </c>
      <c r="N500" s="5">
        <f>IFERROR(VLOOKUP(I500,[1]INFO_LOCALES!$B:$E,4,FALSE),"")</f>
        <v>3721</v>
      </c>
      <c r="O500" s="5" t="str">
        <f>VLOOKUP(Tabla2[[#This Row],[TIENDA]],[1]INFO_LOCALES!$B:$J,9,0)</f>
        <v>CONVENIO</v>
      </c>
      <c r="P500" s="5" t="str">
        <f>IFERROR(VLOOKUP(I500,[1]INFO_LOCALES!$B:$F,5,FALSE),"")</f>
        <v>AGUAS ARAUCANIA S A</v>
      </c>
      <c r="Q500" s="5" t="s">
        <v>85</v>
      </c>
      <c r="R500" s="5" t="s">
        <v>86</v>
      </c>
      <c r="S500" s="6"/>
      <c r="T500" s="5" t="str">
        <f>UPPER(IF(Tabla2[[#This Row],[FECHA DE MUESTREO ]]=0,"",TEXT(Tabla2[[#This Row],[FECHA DE MUESTREO ]],("MMMM"))))</f>
        <v>MAYO</v>
      </c>
      <c r="U500" s="6">
        <v>45790</v>
      </c>
      <c r="V500" s="5" t="s">
        <v>59</v>
      </c>
      <c r="W5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00" s="7">
        <f t="shared" si="19"/>
        <v>1</v>
      </c>
      <c r="Y500" s="5">
        <v>23.8</v>
      </c>
      <c r="Z500" s="5">
        <v>7.7</v>
      </c>
      <c r="AA500" s="5">
        <v>2</v>
      </c>
      <c r="AB500" s="5">
        <v>15.5</v>
      </c>
      <c r="AC500" s="5">
        <v>77</v>
      </c>
      <c r="AD500" s="5">
        <v>2.67</v>
      </c>
      <c r="AE500" s="5">
        <v>5.3</v>
      </c>
      <c r="AF500" s="5">
        <v>1.6</v>
      </c>
      <c r="AG500" s="5">
        <v>155</v>
      </c>
      <c r="AH500" s="5">
        <f ca="1">Tabla2[[#This Row],[VOLUMEN DE DESCARGA MENSUAL (M3/M)]]*30</f>
        <v>0</v>
      </c>
      <c r="AI500" s="5">
        <f t="shared" ca="1" si="17"/>
        <v>0</v>
      </c>
    </row>
    <row r="501" spans="1:51" x14ac:dyDescent="0.25">
      <c r="A501" s="5" t="s">
        <v>52</v>
      </c>
      <c r="B501" s="5" t="s">
        <v>90</v>
      </c>
      <c r="C501" s="5" t="s">
        <v>81</v>
      </c>
      <c r="F501" s="5" t="s">
        <v>55</v>
      </c>
      <c r="G501" s="5" t="s">
        <v>61</v>
      </c>
      <c r="H501" s="5" t="s">
        <v>57</v>
      </c>
      <c r="I501" s="5">
        <v>375</v>
      </c>
      <c r="J501" s="5" t="str">
        <f>IFERROR(VLOOKUP(I501,[1]INFO_LOCALES!$B:$C,2,FALSE),"")</f>
        <v>ARAUCO</v>
      </c>
      <c r="K501" s="5" t="str">
        <f>IFERROR(VLOOKUP(Tabla2[[#This Row],[TIENDA]],[1]INFO_LOCALES!$B:$D,3,FALSE),"")</f>
        <v>XIV - Los Ríos</v>
      </c>
      <c r="L501" s="5" t="str">
        <f>IFERROR(VLOOKUP(I501,[1]INFO_LOCALES!$B:$I,8,FALSE),"")</f>
        <v>Valdivia</v>
      </c>
      <c r="M501" s="5" t="str">
        <f>IFERROR(VLOOKUP(I501,[1]INFO_LOCALES!$B:$H,7,FALSE),"")</f>
        <v>Arauco 697</v>
      </c>
      <c r="N501" s="5">
        <f>IFERROR(VLOOKUP(I501,[1]INFO_LOCALES!$B:$E,4,FALSE),"")</f>
        <v>3420</v>
      </c>
      <c r="O501" s="5" t="str">
        <f>VLOOKUP(Tabla2[[#This Row],[TIENDA]],[1]INFO_LOCALES!$B:$J,9,0)</f>
        <v>CONVENIO</v>
      </c>
      <c r="P501" s="5" t="str">
        <f>IFERROR(VLOOKUP(I501,[1]INFO_LOCALES!$B:$F,5,FALSE),"")</f>
        <v>AGUAS DECIMA S A</v>
      </c>
      <c r="Q501" s="5" t="s">
        <v>85</v>
      </c>
      <c r="R501" s="5" t="s">
        <v>86</v>
      </c>
      <c r="S501" s="6"/>
      <c r="T501" s="5" t="str">
        <f>UPPER(IF(Tabla2[[#This Row],[FECHA DE MUESTREO ]]=0,"",TEXT(Tabla2[[#This Row],[FECHA DE MUESTREO ]],("MMMM"))))</f>
        <v>MARZO</v>
      </c>
      <c r="U501" s="6">
        <v>45726</v>
      </c>
      <c r="V501" s="5" t="s">
        <v>59</v>
      </c>
      <c r="W5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01" s="7">
        <f t="shared" si="19"/>
        <v>1</v>
      </c>
      <c r="Y501" s="5">
        <v>15</v>
      </c>
      <c r="Z501" s="5">
        <v>6.61</v>
      </c>
      <c r="AA501" s="5">
        <v>5</v>
      </c>
      <c r="AB501" s="5">
        <v>16.260000000000002</v>
      </c>
      <c r="AC501" s="5">
        <v>155</v>
      </c>
      <c r="AD501" s="5">
        <v>6.83</v>
      </c>
      <c r="AE501" s="5">
        <v>6.2</v>
      </c>
      <c r="AF501" s="5">
        <v>3.5</v>
      </c>
      <c r="AG501" s="5">
        <v>95</v>
      </c>
      <c r="AH501" s="5">
        <v>18</v>
      </c>
      <c r="AI501" s="5">
        <f t="shared" si="17"/>
        <v>540</v>
      </c>
    </row>
    <row r="502" spans="1:51" x14ac:dyDescent="0.25">
      <c r="A502" s="5" t="s">
        <v>52</v>
      </c>
      <c r="B502" s="5" t="s">
        <v>90</v>
      </c>
      <c r="C502" s="5" t="s">
        <v>81</v>
      </c>
      <c r="F502" s="5" t="s">
        <v>55</v>
      </c>
      <c r="G502" s="5" t="s">
        <v>61</v>
      </c>
      <c r="H502" s="5" t="s">
        <v>57</v>
      </c>
      <c r="I502" s="5">
        <v>375</v>
      </c>
      <c r="J502" s="5" t="str">
        <f>IFERROR(VLOOKUP(I502,[1]INFO_LOCALES!$B:$C,2,FALSE),"")</f>
        <v>ARAUCO</v>
      </c>
      <c r="K502" s="5" t="str">
        <f>IFERROR(VLOOKUP(Tabla2[[#This Row],[TIENDA]],[1]INFO_LOCALES!$B:$D,3,FALSE),"")</f>
        <v>XIV - Los Ríos</v>
      </c>
      <c r="L502" s="5" t="str">
        <f>IFERROR(VLOOKUP(I502,[1]INFO_LOCALES!$B:$I,8,FALSE),"")</f>
        <v>Valdivia</v>
      </c>
      <c r="M502" s="5" t="str">
        <f>IFERROR(VLOOKUP(I502,[1]INFO_LOCALES!$B:$H,7,FALSE),"")</f>
        <v>Arauco 697</v>
      </c>
      <c r="N502" s="5">
        <f>IFERROR(VLOOKUP(I502,[1]INFO_LOCALES!$B:$E,4,FALSE),"")</f>
        <v>3420</v>
      </c>
      <c r="O502" s="5" t="str">
        <f>VLOOKUP(Tabla2[[#This Row],[TIENDA]],[1]INFO_LOCALES!$B:$J,9,0)</f>
        <v>CONVENIO</v>
      </c>
      <c r="P502" s="5" t="str">
        <f>IFERROR(VLOOKUP(I502,[1]INFO_LOCALES!$B:$F,5,FALSE),"")</f>
        <v>AGUAS DECIMA S A</v>
      </c>
      <c r="Q502" s="5" t="s">
        <v>85</v>
      </c>
      <c r="R502" s="5" t="s">
        <v>86</v>
      </c>
      <c r="S502" s="6"/>
      <c r="T502" s="5" t="str">
        <f>UPPER(IF(Tabla2[[#This Row],[FECHA DE MUESTREO ]]=0,"",TEXT(Tabla2[[#This Row],[FECHA DE MUESTREO ]],("MMMM"))))</f>
        <v>MARZO</v>
      </c>
      <c r="U502" s="6">
        <v>45726</v>
      </c>
      <c r="V502" s="5" t="s">
        <v>59</v>
      </c>
      <c r="W5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02" s="7">
        <f t="shared" si="19"/>
        <v>1</v>
      </c>
      <c r="Y502" s="5">
        <v>4.3</v>
      </c>
      <c r="Z502" s="5">
        <v>6.73</v>
      </c>
      <c r="AA502" s="5">
        <v>2</v>
      </c>
      <c r="AB502" s="5">
        <v>17.559999999999999</v>
      </c>
      <c r="AC502" s="5">
        <v>29</v>
      </c>
      <c r="AD502" s="5">
        <v>1.67</v>
      </c>
      <c r="AE502" s="5">
        <v>5</v>
      </c>
      <c r="AF502" s="5">
        <v>0.5</v>
      </c>
      <c r="AG502" s="5">
        <v>27.7</v>
      </c>
      <c r="AH502" s="5">
        <f ca="1">Tabla2[[#This Row],[VOLUMEN DE DESCARGA MENSUAL (M3/M)]]*30</f>
        <v>0</v>
      </c>
      <c r="AI502" s="5">
        <f t="shared" ca="1" si="17"/>
        <v>0</v>
      </c>
    </row>
    <row r="503" spans="1:51" x14ac:dyDescent="0.25">
      <c r="A503" s="5" t="s">
        <v>52</v>
      </c>
      <c r="B503" s="5" t="s">
        <v>73</v>
      </c>
      <c r="C503" s="5" t="s">
        <v>74</v>
      </c>
      <c r="F503" s="5" t="s">
        <v>55</v>
      </c>
      <c r="G503" s="5" t="s">
        <v>61</v>
      </c>
      <c r="H503" s="5" t="s">
        <v>57</v>
      </c>
      <c r="I503" s="5">
        <v>442</v>
      </c>
      <c r="J503" s="5" t="str">
        <f>IFERROR(VLOOKUP(I503,[1]INFO_LOCALES!$B:$C,2,FALSE),"")</f>
        <v>COYHAIQUE</v>
      </c>
      <c r="K503" s="5" t="str">
        <f>IFERROR(VLOOKUP(Tabla2[[#This Row],[TIENDA]],[1]INFO_LOCALES!$B:$D,3,FALSE),"")</f>
        <v>XI - Aysén</v>
      </c>
      <c r="L503" s="5" t="str">
        <f>IFERROR(VLOOKUP(I503,[1]INFO_LOCALES!$B:$I,8,FALSE),"")</f>
        <v>Coyhaique</v>
      </c>
      <c r="M503" s="5" t="str">
        <f>IFERROR(VLOOKUP(I503,[1]INFO_LOCALES!$B:$H,7,FALSE),"")</f>
        <v>Lautaro 331</v>
      </c>
      <c r="N503" s="5">
        <f>IFERROR(VLOOKUP(I503,[1]INFO_LOCALES!$B:$E,4,FALSE),"")</f>
        <v>1320</v>
      </c>
      <c r="O503" s="5" t="str">
        <f>VLOOKUP(Tabla2[[#This Row],[TIENDA]],[1]INFO_LOCALES!$B:$J,9,0)</f>
        <v>SIN CONVENIO</v>
      </c>
      <c r="P503" s="5" t="str">
        <f>IFERROR(VLOOKUP(I503,[1]INFO_LOCALES!$B:$F,5,FALSE),"")</f>
        <v>AGUAS PATAGONIA</v>
      </c>
      <c r="Q503" s="5" t="s">
        <v>85</v>
      </c>
      <c r="R503" s="5" t="s">
        <v>86</v>
      </c>
      <c r="S503" s="6"/>
      <c r="T503" s="5" t="str">
        <f>UPPER(IF(Tabla2[[#This Row],[FECHA DE MUESTREO ]]=0,"",TEXT(Tabla2[[#This Row],[FECHA DE MUESTREO ]],("MMMM"))))</f>
        <v>ABRIL</v>
      </c>
      <c r="U503" s="6">
        <v>45764</v>
      </c>
      <c r="V503" s="5" t="s">
        <v>59</v>
      </c>
      <c r="W5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03" s="7">
        <f t="shared" si="19"/>
        <v>2</v>
      </c>
      <c r="Y503" s="5">
        <v>3.3</v>
      </c>
      <c r="Z503" s="5">
        <v>6.85</v>
      </c>
      <c r="AA503" s="5">
        <v>2</v>
      </c>
      <c r="AB503" s="5">
        <v>10.95</v>
      </c>
      <c r="AC503" s="5">
        <v>435</v>
      </c>
      <c r="AD503" s="5">
        <v>12.8</v>
      </c>
      <c r="AE503" s="5">
        <v>91</v>
      </c>
      <c r="AF503" s="5">
        <v>1</v>
      </c>
      <c r="AG503" s="5">
        <v>89</v>
      </c>
      <c r="AH503" s="5">
        <v>4.3499999999999996</v>
      </c>
      <c r="AI503" s="5">
        <f t="shared" si="17"/>
        <v>130.5</v>
      </c>
    </row>
    <row r="504" spans="1:51" x14ac:dyDescent="0.25">
      <c r="A504" s="5" t="s">
        <v>52</v>
      </c>
      <c r="B504" s="5" t="s">
        <v>74</v>
      </c>
      <c r="C504" s="5" t="s">
        <v>74</v>
      </c>
      <c r="F504" s="5" t="s">
        <v>55</v>
      </c>
      <c r="G504" s="5" t="s">
        <v>61</v>
      </c>
      <c r="H504" s="5" t="s">
        <v>57</v>
      </c>
      <c r="I504" s="5">
        <v>463</v>
      </c>
      <c r="J504" s="5" t="str">
        <f>IFERROR(VLOOKUP(I504,[1]INFO_LOCALES!$B:$C,2,FALSE),"")</f>
        <v>BORIES AUSTRAL</v>
      </c>
      <c r="K504" s="5" t="str">
        <f>IFERROR(VLOOKUP(Tabla2[[#This Row],[TIENDA]],[1]INFO_LOCALES!$B:$D,3,FALSE),"")</f>
        <v>XII - Magallanes</v>
      </c>
      <c r="L504" s="5" t="str">
        <f>IFERROR(VLOOKUP(I504,[1]INFO_LOCALES!$B:$I,8,FALSE),"")</f>
        <v>Punta Arenas</v>
      </c>
      <c r="M504" s="5" t="str">
        <f>IFERROR(VLOOKUP(I504,[1]INFO_LOCALES!$B:$H,7,FALSE),"")</f>
        <v>Gobernador Bories 647</v>
      </c>
      <c r="N504" s="5">
        <f>IFERROR(VLOOKUP(I504,[1]INFO_LOCALES!$B:$E,4,FALSE),"")</f>
        <v>3739</v>
      </c>
      <c r="O504" s="5" t="str">
        <f>VLOOKUP(Tabla2[[#This Row],[TIENDA]],[1]INFO_LOCALES!$B:$J,9,0)</f>
        <v>SIN CONVENIO</v>
      </c>
      <c r="P504" s="5" t="str">
        <f>IFERROR(VLOOKUP(I504,[1]INFO_LOCALES!$B:$F,5,FALSE),"")</f>
        <v>AGUAS MAGALLANES S.A.</v>
      </c>
      <c r="Q504" s="5" t="s">
        <v>85</v>
      </c>
      <c r="R504" s="5" t="s">
        <v>86</v>
      </c>
      <c r="S504" s="6"/>
      <c r="T504" s="5" t="str">
        <f>UPPER(IF(Tabla2[[#This Row],[FECHA DE MUESTREO ]]=0,"",TEXT(Tabla2[[#This Row],[FECHA DE MUESTREO ]],("MMMM"))))</f>
        <v>MARZO</v>
      </c>
      <c r="U504" s="6">
        <v>45742</v>
      </c>
      <c r="V504" s="5" t="s">
        <v>59</v>
      </c>
      <c r="W5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04" s="7">
        <f t="shared" si="19"/>
        <v>1</v>
      </c>
      <c r="Y504" s="5">
        <v>12</v>
      </c>
      <c r="Z504" s="5">
        <v>6.68</v>
      </c>
      <c r="AA504" s="5">
        <v>2</v>
      </c>
      <c r="AB504" s="5">
        <v>15.81</v>
      </c>
      <c r="AC504" s="5">
        <v>77.099999999999994</v>
      </c>
      <c r="AD504" s="5">
        <v>14.3</v>
      </c>
      <c r="AE504" s="5">
        <v>9.3000000000000007</v>
      </c>
      <c r="AF504" s="5">
        <v>3</v>
      </c>
      <c r="AG504" s="5">
        <v>101</v>
      </c>
      <c r="AH504" s="5">
        <v>1.04</v>
      </c>
      <c r="AI504" s="5">
        <f t="shared" si="17"/>
        <v>31.200000000000003</v>
      </c>
    </row>
    <row r="505" spans="1:51" x14ac:dyDescent="0.25">
      <c r="A505" s="5" t="s">
        <v>52</v>
      </c>
      <c r="B505" s="5" t="s">
        <v>74</v>
      </c>
      <c r="C505" s="5" t="s">
        <v>74</v>
      </c>
      <c r="F505" s="5" t="s">
        <v>55</v>
      </c>
      <c r="G505" s="5" t="s">
        <v>61</v>
      </c>
      <c r="H505" s="5" t="s">
        <v>57</v>
      </c>
      <c r="I505" s="5">
        <v>465</v>
      </c>
      <c r="J505" s="5" t="str">
        <f>IFERROR(VLOOKUP(I505,[1]INFO_LOCALES!$B:$C,2,FALSE),"")</f>
        <v>PUERTO NATALES</v>
      </c>
      <c r="K505" s="5" t="str">
        <f>IFERROR(VLOOKUP(Tabla2[[#This Row],[TIENDA]],[1]INFO_LOCALES!$B:$D,3,FALSE),"")</f>
        <v>XII - Magallanes</v>
      </c>
      <c r="L505" s="5" t="str">
        <f>IFERROR(VLOOKUP(I505,[1]INFO_LOCALES!$B:$I,8,FALSE),"")</f>
        <v>Puerto Natales</v>
      </c>
      <c r="M505" s="5" t="str">
        <f>IFERROR(VLOOKUP(I505,[1]INFO_LOCALES!$B:$H,7,FALSE),"")</f>
        <v>Bulnes 742</v>
      </c>
      <c r="N505" s="5">
        <f>IFERROR(VLOOKUP(I505,[1]INFO_LOCALES!$B:$E,4,FALSE),"")</f>
        <v>1133</v>
      </c>
      <c r="O505" s="5" t="str">
        <f>VLOOKUP(Tabla2[[#This Row],[TIENDA]],[1]INFO_LOCALES!$B:$J,9,0)</f>
        <v>SIN CONVENIO</v>
      </c>
      <c r="P505" s="5" t="str">
        <f>IFERROR(VLOOKUP(I505,[1]INFO_LOCALES!$B:$F,5,FALSE),"")</f>
        <v>AGUAS MAGALLANES S.A.</v>
      </c>
      <c r="Q505" s="5" t="s">
        <v>85</v>
      </c>
      <c r="R505" s="5" t="s">
        <v>86</v>
      </c>
      <c r="S505" s="6"/>
      <c r="T505" s="5" t="str">
        <f>UPPER(IF(Tabla2[[#This Row],[FECHA DE MUESTREO ]]=0,"",TEXT(Tabla2[[#This Row],[FECHA DE MUESTREO ]],("MMMM"))))</f>
        <v>FEBRERO</v>
      </c>
      <c r="U505" s="6">
        <v>45702</v>
      </c>
      <c r="V505" s="5" t="s">
        <v>118</v>
      </c>
      <c r="W5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05" s="7">
        <f t="shared" si="19"/>
        <v>1</v>
      </c>
      <c r="Y505" s="5">
        <v>5.0999999999999996</v>
      </c>
      <c r="Z505" s="5">
        <v>7.23</v>
      </c>
      <c r="AA505" s="5">
        <v>2</v>
      </c>
      <c r="AB505" s="5">
        <v>16.329999999999998</v>
      </c>
      <c r="AC505" s="5">
        <v>37.299999999999997</v>
      </c>
      <c r="AD505" s="5">
        <v>2.2999999999999998</v>
      </c>
      <c r="AE505" s="5">
        <v>2.7</v>
      </c>
      <c r="AF505" s="5">
        <v>0.1</v>
      </c>
      <c r="AG505" s="5">
        <v>10</v>
      </c>
      <c r="AH505" s="5">
        <v>0.68</v>
      </c>
      <c r="AI505" s="5">
        <f t="shared" si="17"/>
        <v>20.400000000000002</v>
      </c>
      <c r="AJ505" s="5">
        <v>0.20799999999999999</v>
      </c>
      <c r="AK505" s="5">
        <v>1E-3</v>
      </c>
      <c r="AL505" s="5">
        <v>4.2000000000000003E-2</v>
      </c>
      <c r="AM505" s="5">
        <v>2E-3</v>
      </c>
      <c r="AN505" s="5">
        <v>0.02</v>
      </c>
      <c r="AP505" s="5">
        <v>0.10299999999999999</v>
      </c>
      <c r="AQ505" s="5">
        <v>5.0000000000000001E-3</v>
      </c>
      <c r="AR505" s="5">
        <v>0.02</v>
      </c>
      <c r="AS505" s="5">
        <v>0.5</v>
      </c>
      <c r="AT505" s="5">
        <v>2.9000000000000001E-2</v>
      </c>
      <c r="AU505" s="5">
        <v>1E-3</v>
      </c>
      <c r="AV505" s="5">
        <v>0.01</v>
      </c>
      <c r="AW505" s="5">
        <v>0.02</v>
      </c>
      <c r="AX505" s="5">
        <v>7.82</v>
      </c>
      <c r="AY505" s="5">
        <v>0.1</v>
      </c>
    </row>
    <row r="506" spans="1:51" x14ac:dyDescent="0.25">
      <c r="A506" s="5" t="s">
        <v>52</v>
      </c>
      <c r="B506" s="5" t="s">
        <v>93</v>
      </c>
      <c r="C506" s="5" t="s">
        <v>81</v>
      </c>
      <c r="F506" s="5" t="s">
        <v>55</v>
      </c>
      <c r="G506" s="5" t="s">
        <v>61</v>
      </c>
      <c r="H506" s="5" t="s">
        <v>57</v>
      </c>
      <c r="I506" s="5">
        <v>576</v>
      </c>
      <c r="J506" s="5" t="str">
        <f>IFERROR(VLOOKUP(I506,[1]INFO_LOCALES!$B:$C,2,FALSE),"")</f>
        <v>CASTRO I</v>
      </c>
      <c r="K506" s="5" t="str">
        <f>IFERROR(VLOOKUP(Tabla2[[#This Row],[TIENDA]],[1]INFO_LOCALES!$B:$D,3,FALSE),"")</f>
        <v>X - Los Lagos</v>
      </c>
      <c r="L506" s="5" t="str">
        <f>IFERROR(VLOOKUP(I506,[1]INFO_LOCALES!$B:$I,8,FALSE),"")</f>
        <v>Castro</v>
      </c>
      <c r="M506" s="5" t="str">
        <f>IFERROR(VLOOKUP(I506,[1]INFO_LOCALES!$B:$H,7,FALSE),"")</f>
        <v>O'Higgins 711</v>
      </c>
      <c r="N506" s="5">
        <f>IFERROR(VLOOKUP(I506,[1]INFO_LOCALES!$B:$E,4,FALSE),"")</f>
        <v>3875</v>
      </c>
      <c r="O506" s="5" t="str">
        <f>VLOOKUP(Tabla2[[#This Row],[TIENDA]],[1]INFO_LOCALES!$B:$J,9,0)</f>
        <v>SIN CONVENIO</v>
      </c>
      <c r="P506" s="5" t="str">
        <f>IFERROR(VLOOKUP(I506,[1]INFO_LOCALES!$B:$F,5,FALSE),"")</f>
        <v>SURALIS</v>
      </c>
      <c r="Q506" s="5" t="s">
        <v>85</v>
      </c>
      <c r="R506" s="5" t="s">
        <v>86</v>
      </c>
      <c r="S506" s="6"/>
      <c r="T506" s="5" t="str">
        <f>UPPER(IF(Tabla2[[#This Row],[FECHA DE MUESTREO ]]=0,"",TEXT(Tabla2[[#This Row],[FECHA DE MUESTREO ]],("MMMM"))))</f>
        <v>ABRIL</v>
      </c>
      <c r="U506" s="6">
        <v>45749</v>
      </c>
      <c r="V506" s="5" t="s">
        <v>59</v>
      </c>
      <c r="W5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06" s="7">
        <f t="shared" si="19"/>
        <v>3</v>
      </c>
      <c r="Y506" s="5">
        <v>28</v>
      </c>
      <c r="Z506" s="5">
        <v>6.58</v>
      </c>
      <c r="AA506" s="5">
        <v>18</v>
      </c>
      <c r="AB506" s="5">
        <v>19.23</v>
      </c>
      <c r="AC506" s="5">
        <v>153</v>
      </c>
      <c r="AD506" s="5">
        <v>16.600000000000001</v>
      </c>
      <c r="AE506" s="5">
        <v>62.3</v>
      </c>
      <c r="AF506" s="5">
        <v>0.5</v>
      </c>
      <c r="AG506" s="5">
        <v>151</v>
      </c>
      <c r="AH506" s="5">
        <v>6.1</v>
      </c>
      <c r="AI506" s="5">
        <f t="shared" si="17"/>
        <v>183</v>
      </c>
    </row>
    <row r="507" spans="1:51" x14ac:dyDescent="0.25">
      <c r="A507" s="5" t="s">
        <v>52</v>
      </c>
      <c r="B507" s="5" t="s">
        <v>149</v>
      </c>
      <c r="C507" s="5" t="s">
        <v>81</v>
      </c>
      <c r="F507" s="5" t="s">
        <v>55</v>
      </c>
      <c r="G507" s="5" t="s">
        <v>61</v>
      </c>
      <c r="H507" s="5" t="s">
        <v>57</v>
      </c>
      <c r="I507" s="5">
        <v>771</v>
      </c>
      <c r="J507" s="5" t="str">
        <f>IFERROR(VLOOKUP(I507,[1]INFO_LOCALES!$B:$C,2,FALSE),"")</f>
        <v>MIRASOL</v>
      </c>
      <c r="K507" s="5" t="str">
        <f>IFERROR(VLOOKUP(Tabla2[[#This Row],[TIENDA]],[1]INFO_LOCALES!$B:$D,3,FALSE),"")</f>
        <v>X - Los Lagos</v>
      </c>
      <c r="L507" s="5" t="str">
        <f>IFERROR(VLOOKUP(I507,[1]INFO_LOCALES!$B:$I,8,FALSE),"")</f>
        <v>Puerto Montt</v>
      </c>
      <c r="M507" s="5" t="str">
        <f>IFERROR(VLOOKUP(I507,[1]INFO_LOCALES!$B:$H,7,FALSE),"")</f>
        <v>Av. La Cruz 2006</v>
      </c>
      <c r="N507" s="5">
        <f>IFERROR(VLOOKUP(I507,[1]INFO_LOCALES!$B:$E,4,FALSE),"")</f>
        <v>3723</v>
      </c>
      <c r="O507" s="5" t="str">
        <f>VLOOKUP(Tabla2[[#This Row],[TIENDA]],[1]INFO_LOCALES!$B:$J,9,0)</f>
        <v>SIN CONVENIO</v>
      </c>
      <c r="P507" s="5" t="str">
        <f>IFERROR(VLOOKUP(I507,[1]INFO_LOCALES!$B:$F,5,FALSE),"")</f>
        <v>SURALIS</v>
      </c>
      <c r="Q507" s="5" t="s">
        <v>85</v>
      </c>
      <c r="R507" s="5" t="s">
        <v>86</v>
      </c>
      <c r="S507" s="6"/>
      <c r="T507" s="5" t="str">
        <f>UPPER(IF(Tabla2[[#This Row],[FECHA DE MUESTREO ]]=0,"",TEXT(Tabla2[[#This Row],[FECHA DE MUESTREO ]],("MMMM"))))</f>
        <v>MARZO</v>
      </c>
      <c r="U507" s="6">
        <v>45733</v>
      </c>
      <c r="V507" s="5" t="s">
        <v>59</v>
      </c>
      <c r="W5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07" s="7">
        <f t="shared" si="19"/>
        <v>1</v>
      </c>
      <c r="Y507" s="5">
        <v>24.8</v>
      </c>
      <c r="Z507" s="5">
        <v>7.39</v>
      </c>
      <c r="AA507" s="5">
        <v>5</v>
      </c>
      <c r="AB507" s="5">
        <v>17.579999999999998</v>
      </c>
      <c r="AC507" s="5">
        <v>67</v>
      </c>
      <c r="AD507" s="5">
        <v>4.97</v>
      </c>
      <c r="AE507" s="5">
        <v>16.7</v>
      </c>
      <c r="AF507" s="5">
        <v>3</v>
      </c>
      <c r="AG507" s="5">
        <v>157</v>
      </c>
      <c r="AH507" s="5">
        <v>4</v>
      </c>
      <c r="AI507" s="5">
        <f t="shared" si="17"/>
        <v>120</v>
      </c>
    </row>
    <row r="508" spans="1:51" x14ac:dyDescent="0.25">
      <c r="A508" s="5" t="s">
        <v>52</v>
      </c>
      <c r="B508" s="5" t="s">
        <v>90</v>
      </c>
      <c r="C508" s="5" t="s">
        <v>81</v>
      </c>
      <c r="F508" s="5" t="s">
        <v>55</v>
      </c>
      <c r="G508" s="5" t="s">
        <v>61</v>
      </c>
      <c r="H508" s="5" t="s">
        <v>57</v>
      </c>
      <c r="I508" s="5">
        <v>777</v>
      </c>
      <c r="J508" s="5" t="str">
        <f>IFERROR(VLOOKUP(I508,[1]INFO_LOCALES!$B:$C,2,FALSE),"")</f>
        <v>CENTRAL</v>
      </c>
      <c r="K508" s="5" t="str">
        <f>IFERROR(VLOOKUP(Tabla2[[#This Row],[TIENDA]],[1]INFO_LOCALES!$B:$D,3,FALSE),"")</f>
        <v>X - Los Lagos</v>
      </c>
      <c r="L508" s="5" t="str">
        <f>IFERROR(VLOOKUP(I508,[1]INFO_LOCALES!$B:$I,8,FALSE),"")</f>
        <v>Osorno</v>
      </c>
      <c r="M508" s="5" t="str">
        <f>IFERROR(VLOOKUP(I508,[1]INFO_LOCALES!$B:$H,7,FALSE),"")</f>
        <v>Patricio Lynch 1278</v>
      </c>
      <c r="N508" s="5">
        <f>IFERROR(VLOOKUP(I508,[1]INFO_LOCALES!$B:$E,4,FALSE),"")</f>
        <v>3684</v>
      </c>
      <c r="O508" s="5" t="str">
        <f>VLOOKUP(Tabla2[[#This Row],[TIENDA]],[1]INFO_LOCALES!$B:$J,9,0)</f>
        <v>CONVENIO</v>
      </c>
      <c r="P508" s="5" t="str">
        <f>IFERROR(VLOOKUP(I508,[1]INFO_LOCALES!$B:$F,5,FALSE),"")</f>
        <v>SURALIS</v>
      </c>
      <c r="Q508" s="5" t="s">
        <v>85</v>
      </c>
      <c r="R508" s="5" t="s">
        <v>86</v>
      </c>
      <c r="S508" s="6"/>
      <c r="T508" s="5" t="str">
        <f>UPPER(IF(Tabla2[[#This Row],[FECHA DE MUESTREO ]]=0,"",TEXT(Tabla2[[#This Row],[FECHA DE MUESTREO ]],("MMMM"))))</f>
        <v>MARZO</v>
      </c>
      <c r="U508" s="6">
        <v>45728</v>
      </c>
      <c r="V508" s="5" t="s">
        <v>59</v>
      </c>
      <c r="W5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08" s="7">
        <f t="shared" si="19"/>
        <v>1</v>
      </c>
      <c r="Y508" s="5">
        <v>9.39</v>
      </c>
      <c r="Z508" s="5">
        <v>7.41</v>
      </c>
      <c r="AA508" s="5">
        <v>7</v>
      </c>
      <c r="AB508" s="5">
        <v>19.809999999999999</v>
      </c>
      <c r="AC508" s="5">
        <v>76</v>
      </c>
      <c r="AD508" s="5">
        <v>4.76</v>
      </c>
      <c r="AE508" s="5">
        <v>12.3</v>
      </c>
      <c r="AF508" s="5">
        <v>0.5</v>
      </c>
      <c r="AG508" s="5">
        <v>33.5</v>
      </c>
      <c r="AH508" s="5">
        <v>2</v>
      </c>
      <c r="AI508" s="5">
        <f t="shared" si="17"/>
        <v>60</v>
      </c>
    </row>
    <row r="509" spans="1:51" x14ac:dyDescent="0.25">
      <c r="A509" s="5" t="s">
        <v>52</v>
      </c>
      <c r="B509" s="5" t="s">
        <v>90</v>
      </c>
      <c r="C509" s="5" t="s">
        <v>81</v>
      </c>
      <c r="F509" s="5" t="s">
        <v>55</v>
      </c>
      <c r="G509" s="5" t="s">
        <v>61</v>
      </c>
      <c r="H509" s="5" t="s">
        <v>57</v>
      </c>
      <c r="I509" s="5">
        <v>778</v>
      </c>
      <c r="J509" s="5" t="str">
        <f>IFERROR(VLOOKUP(I509,[1]INFO_LOCALES!$B:$C,2,FALSE),"")</f>
        <v>ORIENTE</v>
      </c>
      <c r="K509" s="5" t="str">
        <f>IFERROR(VLOOKUP(Tabla2[[#This Row],[TIENDA]],[1]INFO_LOCALES!$B:$D,3,FALSE),"")</f>
        <v>X - Los Lagos</v>
      </c>
      <c r="L509" s="5" t="str">
        <f>IFERROR(VLOOKUP(I509,[1]INFO_LOCALES!$B:$I,8,FALSE),"")</f>
        <v>Osorno</v>
      </c>
      <c r="M509" s="5" t="str">
        <f>IFERROR(VLOOKUP(I509,[1]INFO_LOCALES!$B:$H,7,FALSE),"")</f>
        <v>Julio Buschman 2223</v>
      </c>
      <c r="N509" s="5">
        <f>IFERROR(VLOOKUP(I509,[1]INFO_LOCALES!$B:$E,4,FALSE),"")</f>
        <v>2867</v>
      </c>
      <c r="O509" s="5" t="str">
        <f>VLOOKUP(Tabla2[[#This Row],[TIENDA]],[1]INFO_LOCALES!$B:$J,9,0)</f>
        <v>CONVENIO</v>
      </c>
      <c r="P509" s="5" t="str">
        <f>IFERROR(VLOOKUP(I509,[1]INFO_LOCALES!$B:$F,5,FALSE),"")</f>
        <v>SURALIS</v>
      </c>
      <c r="Q509" s="5" t="s">
        <v>85</v>
      </c>
      <c r="R509" s="5" t="s">
        <v>86</v>
      </c>
      <c r="S509" s="6"/>
      <c r="T509" s="5" t="str">
        <f>UPPER(IF(Tabla2[[#This Row],[FECHA DE MUESTREO ]]=0,"",TEXT(Tabla2[[#This Row],[FECHA DE MUESTREO ]],("MMMM"))))</f>
        <v>MARZO</v>
      </c>
      <c r="U509" s="6">
        <v>45728</v>
      </c>
      <c r="V509" s="5" t="s">
        <v>59</v>
      </c>
      <c r="W5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09" s="7">
        <f t="shared" si="19"/>
        <v>2</v>
      </c>
      <c r="Y509" s="5">
        <v>25.8</v>
      </c>
      <c r="Z509" s="5">
        <v>7.25</v>
      </c>
      <c r="AA509" s="5">
        <v>10</v>
      </c>
      <c r="AB509" s="5">
        <v>22.08</v>
      </c>
      <c r="AC509" s="5">
        <v>141</v>
      </c>
      <c r="AD509" s="5">
        <v>2.35</v>
      </c>
      <c r="AE509" s="5">
        <v>8.8000000000000007</v>
      </c>
      <c r="AF509" s="5">
        <v>2</v>
      </c>
      <c r="AG509" s="5">
        <v>140</v>
      </c>
      <c r="AH509" s="5">
        <v>2</v>
      </c>
      <c r="AI509" s="5">
        <f t="shared" ref="AI509:AI572" si="20">AH509*30</f>
        <v>60</v>
      </c>
    </row>
    <row r="510" spans="1:51" x14ac:dyDescent="0.25">
      <c r="A510" s="5" t="s">
        <v>52</v>
      </c>
      <c r="B510" s="5" t="s">
        <v>90</v>
      </c>
      <c r="C510" s="5" t="s">
        <v>81</v>
      </c>
      <c r="F510" s="5" t="s">
        <v>55</v>
      </c>
      <c r="G510" s="5" t="s">
        <v>61</v>
      </c>
      <c r="H510" s="5" t="s">
        <v>57</v>
      </c>
      <c r="I510" s="5">
        <v>780</v>
      </c>
      <c r="J510" s="5" t="str">
        <f>IFERROR(VLOOKUP(I510,[1]INFO_LOCALES!$B:$C,2,FALSE),"")</f>
        <v>VICTORIA</v>
      </c>
      <c r="K510" s="5" t="str">
        <f>IFERROR(VLOOKUP(Tabla2[[#This Row],[TIENDA]],[1]INFO_LOCALES!$B:$D,3,FALSE),"")</f>
        <v>X - Los Lagos</v>
      </c>
      <c r="L510" s="5" t="str">
        <f>IFERROR(VLOOKUP(I510,[1]INFO_LOCALES!$B:$I,8,FALSE),"")</f>
        <v>Osorno</v>
      </c>
      <c r="M510" s="5" t="str">
        <f>IFERROR(VLOOKUP(I510,[1]INFO_LOCALES!$B:$H,7,FALSE),"")</f>
        <v>Victoria 367 Rahue Bajo</v>
      </c>
      <c r="N510" s="5">
        <f>IFERROR(VLOOKUP(I510,[1]INFO_LOCALES!$B:$E,4,FALSE),"")</f>
        <v>1362</v>
      </c>
      <c r="O510" s="5" t="str">
        <f>VLOOKUP(Tabla2[[#This Row],[TIENDA]],[1]INFO_LOCALES!$B:$J,9,0)</f>
        <v>SIN CONVENIO</v>
      </c>
      <c r="P510" s="5" t="str">
        <f>IFERROR(VLOOKUP(I510,[1]INFO_LOCALES!$B:$F,5,FALSE),"")</f>
        <v>SURALIS</v>
      </c>
      <c r="Q510" s="5" t="s">
        <v>85</v>
      </c>
      <c r="R510" s="5" t="s">
        <v>86</v>
      </c>
      <c r="S510" s="6"/>
      <c r="T510" s="5" t="str">
        <f>UPPER(IF(Tabla2[[#This Row],[FECHA DE MUESTREO ]]=0,"",TEXT(Tabla2[[#This Row],[FECHA DE MUESTREO ]],("MMMM"))))</f>
        <v>MARZO</v>
      </c>
      <c r="U510" s="6">
        <v>45747</v>
      </c>
      <c r="V510" s="5" t="s">
        <v>59</v>
      </c>
      <c r="W5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10" s="7">
        <f t="shared" si="19"/>
        <v>3</v>
      </c>
      <c r="Y510" s="5">
        <v>18.399999999999999</v>
      </c>
      <c r="Z510" s="5">
        <v>6.71</v>
      </c>
      <c r="AA510" s="5">
        <v>45</v>
      </c>
      <c r="AB510" s="5">
        <v>17.61</v>
      </c>
      <c r="AC510" s="5">
        <v>267</v>
      </c>
      <c r="AD510" s="5">
        <v>15.5</v>
      </c>
      <c r="AE510" s="5">
        <v>10.4</v>
      </c>
      <c r="AF510" s="5">
        <v>14</v>
      </c>
      <c r="AG510" s="5">
        <v>145</v>
      </c>
      <c r="AH510" s="5">
        <v>1.3</v>
      </c>
      <c r="AI510" s="5">
        <f t="shared" si="20"/>
        <v>39</v>
      </c>
    </row>
    <row r="511" spans="1:51" x14ac:dyDescent="0.25">
      <c r="A511" s="5" t="s">
        <v>60</v>
      </c>
      <c r="B511" s="5" t="e">
        <v>#N/A</v>
      </c>
      <c r="C511" s="5" t="e">
        <v>#N/A</v>
      </c>
      <c r="F511" s="5" t="s">
        <v>55</v>
      </c>
      <c r="G511" s="5" t="s">
        <v>61</v>
      </c>
      <c r="H511" s="5" t="s">
        <v>57</v>
      </c>
      <c r="I511" s="5">
        <v>3014</v>
      </c>
      <c r="J511" s="5" t="str">
        <f>IFERROR(VLOOKUP(I511,[1]INFO_LOCALES!$B:$C,2,FALSE),"")</f>
        <v>M10 SAN FERNANDO</v>
      </c>
      <c r="K511" s="5" t="str">
        <f>IFERROR(VLOOKUP(Tabla2[[#This Row],[TIENDA]],[1]INFO_LOCALES!$B:$D,3,FALSE),"")</f>
        <v>VI - O'Higgins</v>
      </c>
      <c r="L511" s="5" t="str">
        <f>IFERROR(VLOOKUP(I511,[1]INFO_LOCALES!$B:$I,8,FALSE),"")</f>
        <v>San Fernando</v>
      </c>
      <c r="M511" s="5" t="str">
        <f>IFERROR(VLOOKUP(I511,[1]INFO_LOCALES!$B:$H,7,FALSE),"")</f>
        <v>Chillan 745</v>
      </c>
      <c r="N511" s="5">
        <f>IFERROR(VLOOKUP(I511,[1]INFO_LOCALES!$B:$E,4,FALSE),"")</f>
        <v>1298</v>
      </c>
      <c r="O511" s="5" t="str">
        <f>VLOOKUP(Tabla2[[#This Row],[TIENDA]],[1]INFO_LOCALES!$B:$J,9,0)</f>
        <v>TERMINADO</v>
      </c>
      <c r="P511" s="5" t="str">
        <f>IFERROR(VLOOKUP(I511,[1]INFO_LOCALES!$B:$F,5,FALSE),"")</f>
        <v>ESSBIO S.A.</v>
      </c>
      <c r="Q511" s="5" t="s">
        <v>85</v>
      </c>
      <c r="R511" s="5" t="s">
        <v>86</v>
      </c>
      <c r="S511" s="6"/>
      <c r="T511" s="5" t="str">
        <f>UPPER(IF(Tabla2[[#This Row],[FECHA DE MUESTREO ]]=0,"",TEXT(Tabla2[[#This Row],[FECHA DE MUESTREO ]],("MMMM"))))</f>
        <v>MARZO</v>
      </c>
      <c r="U511" s="6">
        <v>45740</v>
      </c>
      <c r="V511" s="5" t="s">
        <v>59</v>
      </c>
      <c r="W5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11" s="7">
        <f t="shared" si="19"/>
        <v>1</v>
      </c>
      <c r="Y511" s="5">
        <v>25.1</v>
      </c>
      <c r="Z511" s="5">
        <v>7.45</v>
      </c>
      <c r="AA511" s="5">
        <v>5</v>
      </c>
      <c r="AB511" s="5">
        <v>17.55</v>
      </c>
      <c r="AC511" s="5">
        <v>208</v>
      </c>
      <c r="AD511" s="5">
        <v>7.8</v>
      </c>
      <c r="AE511" s="5">
        <v>14.84</v>
      </c>
      <c r="AF511" s="5">
        <v>3</v>
      </c>
      <c r="AG511" s="5">
        <v>102</v>
      </c>
      <c r="AH511" s="5">
        <v>0.96</v>
      </c>
      <c r="AI511" s="5">
        <f t="shared" si="20"/>
        <v>28.799999999999997</v>
      </c>
    </row>
    <row r="512" spans="1:51" x14ac:dyDescent="0.25">
      <c r="A512" s="5" t="s">
        <v>60</v>
      </c>
      <c r="B512" s="5" t="e">
        <v>#N/A</v>
      </c>
      <c r="C512" s="5" t="e">
        <v>#N/A</v>
      </c>
      <c r="F512" s="5" t="s">
        <v>55</v>
      </c>
      <c r="G512" s="5" t="s">
        <v>61</v>
      </c>
      <c r="H512" s="5" t="s">
        <v>57</v>
      </c>
      <c r="I512" s="5">
        <v>3197</v>
      </c>
      <c r="J512" s="5" t="str">
        <f>IFERROR(VLOOKUP(I512,[1]INFO_LOCALES!$B:$C,2,FALSE),"")</f>
        <v>ALVI PICARTE VALDIVIA</v>
      </c>
      <c r="K512" s="5" t="str">
        <f>IFERROR(VLOOKUP(Tabla2[[#This Row],[TIENDA]],[1]INFO_LOCALES!$B:$D,3,FALSE),"")</f>
        <v>XIV - Los Ríos</v>
      </c>
      <c r="L512" s="5" t="str">
        <f>IFERROR(VLOOKUP(I512,[1]INFO_LOCALES!$B:$I,8,FALSE),"")</f>
        <v>Valdivia</v>
      </c>
      <c r="M512" s="5" t="str">
        <f>IFERROR(VLOOKUP(I512,[1]INFO_LOCALES!$B:$H,7,FALSE),"")</f>
        <v>Av. Ramon Picarte 2593</v>
      </c>
      <c r="N512" s="5">
        <f>IFERROR(VLOOKUP(I512,[1]INFO_LOCALES!$B:$E,4,FALSE),"")</f>
        <v>1961</v>
      </c>
      <c r="O512" s="5" t="str">
        <f>VLOOKUP(Tabla2[[#This Row],[TIENDA]],[1]INFO_LOCALES!$B:$J,9,0)</f>
        <v>CONVENIO</v>
      </c>
      <c r="P512" s="5" t="str">
        <f>IFERROR(VLOOKUP(I512,[1]INFO_LOCALES!$B:$F,5,FALSE),"")</f>
        <v>AGUAS DECIMA S A</v>
      </c>
      <c r="Q512" s="5" t="s">
        <v>85</v>
      </c>
      <c r="R512" s="5" t="s">
        <v>86</v>
      </c>
      <c r="S512" s="6"/>
      <c r="T512" s="5" t="str">
        <f>UPPER(IF(Tabla2[[#This Row],[FECHA DE MUESTREO ]]=0,"",TEXT(Tabla2[[#This Row],[FECHA DE MUESTREO ]],("MMMM"))))</f>
        <v>MARZO</v>
      </c>
      <c r="U512" s="6">
        <v>45729</v>
      </c>
      <c r="V512" s="5" t="s">
        <v>59</v>
      </c>
      <c r="W5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12" s="7">
        <f t="shared" si="19"/>
        <v>1</v>
      </c>
      <c r="Y512" s="5">
        <v>35.200000000000003</v>
      </c>
      <c r="Z512" s="5">
        <v>6.56</v>
      </c>
      <c r="AA512" s="5">
        <v>5</v>
      </c>
      <c r="AB512" s="5">
        <v>16.510000000000002</v>
      </c>
      <c r="AC512" s="5">
        <v>288</v>
      </c>
      <c r="AD512" s="5">
        <v>12.9</v>
      </c>
      <c r="AE512" s="5">
        <v>27.2</v>
      </c>
      <c r="AF512" s="5">
        <v>0.5</v>
      </c>
      <c r="AG512" s="5">
        <v>154</v>
      </c>
      <c r="AH512" s="5">
        <v>2.8</v>
      </c>
      <c r="AI512" s="5">
        <f t="shared" si="20"/>
        <v>84</v>
      </c>
    </row>
    <row r="513" spans="1:51" x14ac:dyDescent="0.25">
      <c r="A513" s="5" t="s">
        <v>60</v>
      </c>
      <c r="B513" s="5" t="e">
        <v>#N/A</v>
      </c>
      <c r="C513" s="5" t="e">
        <v>#N/A</v>
      </c>
      <c r="F513" s="5" t="s">
        <v>55</v>
      </c>
      <c r="G513" s="5" t="s">
        <v>61</v>
      </c>
      <c r="H513" s="5" t="s">
        <v>57</v>
      </c>
      <c r="I513" s="5">
        <v>3143</v>
      </c>
      <c r="J513" s="5" t="str">
        <f>IFERROR(VLOOKUP(I513,[1]INFO_LOCALES!$B:$C,2,FALSE),"")</f>
        <v>M10 TEMUCO IV</v>
      </c>
      <c r="K513" s="5" t="str">
        <f>IFERROR(VLOOKUP(Tabla2[[#This Row],[TIENDA]],[1]INFO_LOCALES!$B:$D,3,FALSE),"")</f>
        <v>IX - Araucanía</v>
      </c>
      <c r="L513" s="5" t="str">
        <f>IFERROR(VLOOKUP(I513,[1]INFO_LOCALES!$B:$I,8,FALSE),"")</f>
        <v>Temuco</v>
      </c>
      <c r="M513" s="5" t="str">
        <f>IFERROR(VLOOKUP(I513,[1]INFO_LOCALES!$B:$H,7,FALSE),"")</f>
        <v>Francisco Salazar 01650</v>
      </c>
      <c r="N513" s="5">
        <f>IFERROR(VLOOKUP(I513,[1]INFO_LOCALES!$B:$E,4,FALSE),"")</f>
        <v>4422</v>
      </c>
      <c r="O513" s="5" t="str">
        <f>VLOOKUP(Tabla2[[#This Row],[TIENDA]],[1]INFO_LOCALES!$B:$J,9,0)</f>
        <v>CONVENIO</v>
      </c>
      <c r="P513" s="5" t="str">
        <f>IFERROR(VLOOKUP(I513,[1]INFO_LOCALES!$B:$F,5,FALSE),"")</f>
        <v>AGUAS ARAUCANIA S A</v>
      </c>
      <c r="Q513" s="5" t="s">
        <v>85</v>
      </c>
      <c r="R513" s="5" t="s">
        <v>86</v>
      </c>
      <c r="S513" s="6"/>
      <c r="T513" s="5" t="str">
        <f>UPPER(IF(Tabla2[[#This Row],[FECHA DE MUESTREO ]]=0,"",TEXT(Tabla2[[#This Row],[FECHA DE MUESTREO ]],("MMMM"))))</f>
        <v>MARZO</v>
      </c>
      <c r="U513" s="6">
        <v>45747</v>
      </c>
      <c r="V513" s="5" t="s">
        <v>59</v>
      </c>
      <c r="W5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13" s="7">
        <f t="shared" si="19"/>
        <v>1</v>
      </c>
      <c r="Y513" s="5">
        <v>8.0500000000000007</v>
      </c>
      <c r="Z513" s="5">
        <v>6.8</v>
      </c>
      <c r="AA513" s="5">
        <v>2</v>
      </c>
      <c r="AB513" s="5">
        <v>17.600000000000001</v>
      </c>
      <c r="AC513" s="5">
        <v>39</v>
      </c>
      <c r="AD513" s="5">
        <v>3.65</v>
      </c>
      <c r="AE513" s="5">
        <v>19.8</v>
      </c>
      <c r="AF513" s="5">
        <v>0.5</v>
      </c>
      <c r="AG513" s="5">
        <v>46</v>
      </c>
      <c r="AH513" s="5">
        <f ca="1">Tabla2[[#This Row],[VOLUMEN DE DESCARGA MENSUAL (M3/M)]]*30</f>
        <v>0</v>
      </c>
      <c r="AI513" s="5">
        <f t="shared" ca="1" si="20"/>
        <v>0</v>
      </c>
    </row>
    <row r="514" spans="1:51" x14ac:dyDescent="0.25">
      <c r="A514" s="5" t="s">
        <v>210</v>
      </c>
      <c r="B514" s="5" t="e">
        <v>#N/A</v>
      </c>
      <c r="C514" s="5" t="e">
        <v>#N/A</v>
      </c>
      <c r="F514" s="5" t="s">
        <v>55</v>
      </c>
      <c r="G514" s="5" t="s">
        <v>65</v>
      </c>
      <c r="H514" s="5" t="s">
        <v>57</v>
      </c>
      <c r="I514" s="5">
        <v>9051</v>
      </c>
      <c r="J514" s="5" t="str">
        <f>IFERROR(VLOOKUP(I514,[1]INFO_LOCALES!$B:$C,2,FALSE),"")</f>
        <v>CD NUEVO COQUIMBO</v>
      </c>
      <c r="K514" s="5" t="str">
        <f>IFERROR(VLOOKUP(Tabla2[[#This Row],[TIENDA]],[1]INFO_LOCALES!$B:$D,3,FALSE),"")</f>
        <v>IV - Coquimbo</v>
      </c>
      <c r="L514" s="5" t="str">
        <f>IFERROR(VLOOKUP(I514,[1]INFO_LOCALES!$B:$I,8,FALSE),"")</f>
        <v>Coquimbo</v>
      </c>
      <c r="M514" s="5" t="str">
        <f>IFERROR(VLOOKUP(I514,[1]INFO_LOCALES!$B:$H,7,FALSE),"")</f>
        <v>PAN DE AZUCAR S/N</v>
      </c>
      <c r="N514" s="5">
        <f>IFERROR(VLOOKUP(I514,[1]INFO_LOCALES!$B:$E,4,FALSE),"")</f>
        <v>0</v>
      </c>
      <c r="O514" s="5" t="str">
        <f>VLOOKUP(Tabla2[[#This Row],[TIENDA]],[1]INFO_LOCALES!$B:$J,9,0)</f>
        <v>SIN CONVENIO</v>
      </c>
      <c r="P514" s="5" t="str">
        <f>IFERROR(VLOOKUP(I514,[1]INFO_LOCALES!$B:$F,5,FALSE),"")</f>
        <v>RENTAS COQUIMBO SPA</v>
      </c>
      <c r="Q514" s="5" t="s">
        <v>85</v>
      </c>
      <c r="R514" s="5" t="s">
        <v>86</v>
      </c>
      <c r="S514" s="6"/>
      <c r="T514" s="5" t="str">
        <f>UPPER(IF(Tabla2[[#This Row],[FECHA DE MUESTREO ]]=0,"",TEXT(Tabla2[[#This Row],[FECHA DE MUESTREO ]],("MMMM"))))</f>
        <v>MARZO</v>
      </c>
      <c r="U514" s="6">
        <v>45734</v>
      </c>
      <c r="V514" s="5" t="s">
        <v>118</v>
      </c>
      <c r="W5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14" s="7">
        <f t="shared" si="19"/>
        <v>1</v>
      </c>
      <c r="Y514" s="5">
        <v>6.7</v>
      </c>
      <c r="Z514" s="5">
        <v>8.1</v>
      </c>
      <c r="AA514" s="5">
        <v>2</v>
      </c>
      <c r="AB514" s="5">
        <v>18.100000000000001</v>
      </c>
      <c r="AC514" s="5">
        <v>31</v>
      </c>
      <c r="AD514" s="5">
        <v>3.4</v>
      </c>
      <c r="AG514" s="5">
        <v>22.8</v>
      </c>
      <c r="AH514" s="5">
        <f ca="1">Tabla2[[#This Row],[VOLUMEN DE DESCARGA MENSUAL (M3/M)]]*30</f>
        <v>0</v>
      </c>
      <c r="AI514" s="5">
        <f t="shared" ca="1" si="20"/>
        <v>0</v>
      </c>
      <c r="AJ514" s="5">
        <v>0.1</v>
      </c>
      <c r="AK514" s="5">
        <v>2E-3</v>
      </c>
      <c r="AL514" s="5">
        <v>0.2334</v>
      </c>
      <c r="AM514" s="5">
        <v>0.01</v>
      </c>
      <c r="AN514" s="5">
        <v>0.1</v>
      </c>
      <c r="AO514" s="5">
        <v>8.6300000000000002E-2</v>
      </c>
      <c r="AP514" s="5">
        <v>0.05</v>
      </c>
      <c r="AR514" s="5">
        <v>0.05</v>
      </c>
      <c r="AT514" s="5">
        <v>3.4799999999999998E-2</v>
      </c>
      <c r="AU514" s="5">
        <v>1E-3</v>
      </c>
      <c r="AV514" s="5">
        <v>0.05</v>
      </c>
      <c r="AW514" s="5">
        <v>0.01</v>
      </c>
      <c r="AX514" s="5">
        <v>212</v>
      </c>
      <c r="AY514" s="5">
        <v>0.5</v>
      </c>
    </row>
    <row r="515" spans="1:51" x14ac:dyDescent="0.25">
      <c r="A515" s="5" t="s">
        <v>52</v>
      </c>
      <c r="B515" s="5" t="s">
        <v>74</v>
      </c>
      <c r="C515" s="5" t="s">
        <v>74</v>
      </c>
      <c r="F515" s="5" t="s">
        <v>55</v>
      </c>
      <c r="G515" s="5" t="s">
        <v>61</v>
      </c>
      <c r="H515" s="5" t="s">
        <v>57</v>
      </c>
      <c r="I515" s="5">
        <v>461</v>
      </c>
      <c r="J515" s="5" t="str">
        <f>IFERROR(VLOOKUP(I515,[1]INFO_LOCALES!$B:$C,2,FALSE),"")</f>
        <v>ZENTENO AUSTRAL</v>
      </c>
      <c r="K515" s="5" t="str">
        <f>IFERROR(VLOOKUP(Tabla2[[#This Row],[TIENDA]],[1]INFO_LOCALES!$B:$D,3,FALSE),"")</f>
        <v>XII - Magallanes</v>
      </c>
      <c r="L515" s="5" t="str">
        <f>IFERROR(VLOOKUP(I515,[1]INFO_LOCALES!$B:$I,8,FALSE),"")</f>
        <v>Punta Arenas</v>
      </c>
      <c r="M515" s="5" t="str">
        <f>IFERROR(VLOOKUP(I515,[1]INFO_LOCALES!$B:$H,7,FALSE),"")</f>
        <v>Capitan Guillermo 05</v>
      </c>
      <c r="N515" s="5">
        <f>IFERROR(VLOOKUP(I515,[1]INFO_LOCALES!$B:$E,4,FALSE),"")</f>
        <v>3736</v>
      </c>
      <c r="O515" s="5" t="str">
        <f>VLOOKUP(Tabla2[[#This Row],[TIENDA]],[1]INFO_LOCALES!$B:$J,9,0)</f>
        <v>SIN CONVENIO</v>
      </c>
      <c r="P515" s="5" t="str">
        <f>IFERROR(VLOOKUP(I515,[1]INFO_LOCALES!$B:$F,5,FALSE),"")</f>
        <v>AGUAS MAGALLANES S.A.</v>
      </c>
      <c r="Q515" s="5" t="s">
        <v>85</v>
      </c>
      <c r="R515" s="5" t="s">
        <v>86</v>
      </c>
      <c r="S515" s="6"/>
      <c r="T515" s="5" t="str">
        <f>UPPER(IF(Tabla2[[#This Row],[FECHA DE MUESTREO ]]=0,"",TEXT(Tabla2[[#This Row],[FECHA DE MUESTREO ]],("MMMM"))))</f>
        <v>MARZO</v>
      </c>
      <c r="U515" s="6">
        <v>45743</v>
      </c>
      <c r="V515" s="5" t="s">
        <v>59</v>
      </c>
      <c r="W5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15" s="7">
        <f t="shared" si="19"/>
        <v>1</v>
      </c>
      <c r="Y515" s="5">
        <v>3.3</v>
      </c>
      <c r="Z515" s="5">
        <v>6.14</v>
      </c>
      <c r="AA515" s="5">
        <v>2</v>
      </c>
      <c r="AB515" s="5">
        <v>14.7</v>
      </c>
      <c r="AC515" s="5">
        <v>118</v>
      </c>
      <c r="AD515" s="5">
        <v>4.3</v>
      </c>
      <c r="AE515" s="5">
        <v>4.3</v>
      </c>
      <c r="AF515" s="5">
        <v>0.2</v>
      </c>
      <c r="AG515" s="5">
        <v>30</v>
      </c>
      <c r="AH515" s="5">
        <v>0.85</v>
      </c>
      <c r="AI515" s="5">
        <f t="shared" si="20"/>
        <v>25.5</v>
      </c>
    </row>
    <row r="516" spans="1:51" x14ac:dyDescent="0.25">
      <c r="A516" s="5" t="s">
        <v>52</v>
      </c>
      <c r="B516" s="5" t="s">
        <v>74</v>
      </c>
      <c r="C516" s="5" t="s">
        <v>74</v>
      </c>
      <c r="F516" s="5" t="s">
        <v>55</v>
      </c>
      <c r="G516" s="5" t="s">
        <v>61</v>
      </c>
      <c r="H516" s="5" t="s">
        <v>57</v>
      </c>
      <c r="I516" s="5">
        <v>459</v>
      </c>
      <c r="J516" s="5" t="str">
        <f>IFERROR(VLOOKUP(I516,[1]INFO_LOCALES!$B:$C,2,FALSE),"")</f>
        <v>ALLENDE AUSTRAL</v>
      </c>
      <c r="K516" s="5" t="str">
        <f>IFERROR(VLOOKUP(Tabla2[[#This Row],[TIENDA]],[1]INFO_LOCALES!$B:$D,3,FALSE),"")</f>
        <v>XII - Magallanes</v>
      </c>
      <c r="L516" s="5" t="str">
        <f>IFERROR(VLOOKUP(I516,[1]INFO_LOCALES!$B:$I,8,FALSE),"")</f>
        <v>Punta Arenas</v>
      </c>
      <c r="M516" s="5" t="str">
        <f>IFERROR(VLOOKUP(I516,[1]INFO_LOCALES!$B:$H,7,FALSE),"")</f>
        <v>Salvador Allende 0399</v>
      </c>
      <c r="N516" s="5">
        <f>IFERROR(VLOOKUP(I516,[1]INFO_LOCALES!$B:$E,4,FALSE),"")</f>
        <v>3735</v>
      </c>
      <c r="O516" s="5" t="str">
        <f>VLOOKUP(Tabla2[[#This Row],[TIENDA]],[1]INFO_LOCALES!$B:$J,9,0)</f>
        <v>SIN CONVENIO</v>
      </c>
      <c r="P516" s="5" t="str">
        <f>IFERROR(VLOOKUP(I516,[1]INFO_LOCALES!$B:$F,5,FALSE),"")</f>
        <v>AGUAS MAGALLANES S.A.</v>
      </c>
      <c r="Q516" s="5" t="s">
        <v>85</v>
      </c>
      <c r="R516" s="5" t="s">
        <v>86</v>
      </c>
      <c r="S516" s="6"/>
      <c r="T516" s="5" t="str">
        <f>UPPER(IF(Tabla2[[#This Row],[FECHA DE MUESTREO ]]=0,"",TEXT(Tabla2[[#This Row],[FECHA DE MUESTREO ]],("MMMM"))))</f>
        <v>MARZO</v>
      </c>
      <c r="U516" s="6">
        <v>45743</v>
      </c>
      <c r="V516" s="5" t="s">
        <v>59</v>
      </c>
      <c r="W5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16" s="7">
        <f t="shared" si="19"/>
        <v>1</v>
      </c>
      <c r="Y516" s="5">
        <v>0.5</v>
      </c>
      <c r="Z516" s="5">
        <v>6.58</v>
      </c>
      <c r="AA516" s="5">
        <v>2</v>
      </c>
      <c r="AB516" s="5">
        <v>18.38</v>
      </c>
      <c r="AC516" s="5">
        <v>43</v>
      </c>
      <c r="AD516" s="5">
        <v>2.2000000000000002</v>
      </c>
      <c r="AE516" s="5">
        <v>1.3</v>
      </c>
      <c r="AF516" s="5">
        <v>0.1</v>
      </c>
      <c r="AG516" s="5">
        <v>17</v>
      </c>
      <c r="AH516" s="5">
        <v>0.94</v>
      </c>
      <c r="AI516" s="5">
        <f t="shared" si="20"/>
        <v>28.2</v>
      </c>
    </row>
    <row r="517" spans="1:51" x14ac:dyDescent="0.25">
      <c r="A517" s="5" t="s">
        <v>52</v>
      </c>
      <c r="B517" s="5" t="s">
        <v>74</v>
      </c>
      <c r="C517" s="5" t="s">
        <v>74</v>
      </c>
      <c r="F517" s="5" t="s">
        <v>55</v>
      </c>
      <c r="G517" s="5" t="s">
        <v>61</v>
      </c>
      <c r="H517" s="5" t="s">
        <v>57</v>
      </c>
      <c r="I517" s="5">
        <v>458</v>
      </c>
      <c r="J517" s="5" t="str">
        <f>IFERROR(VLOOKUP(I517,[1]INFO_LOCALES!$B:$C,2,FALSE),"")</f>
        <v>ESPAÑA AUSTRAL</v>
      </c>
      <c r="K517" s="5" t="str">
        <f>IFERROR(VLOOKUP(Tabla2[[#This Row],[TIENDA]],[1]INFO_LOCALES!$B:$D,3,FALSE),"")</f>
        <v>XII - Magallanes</v>
      </c>
      <c r="L517" s="5" t="str">
        <f>IFERROR(VLOOKUP(I517,[1]INFO_LOCALES!$B:$I,8,FALSE),"")</f>
        <v>Punta Arenas</v>
      </c>
      <c r="M517" s="5" t="str">
        <f>IFERROR(VLOOKUP(I517,[1]INFO_LOCALES!$B:$H,7,FALSE),"")</f>
        <v>Av. España 01375</v>
      </c>
      <c r="N517" s="5">
        <f>IFERROR(VLOOKUP(I517,[1]INFO_LOCALES!$B:$E,4,FALSE),"")</f>
        <v>1306</v>
      </c>
      <c r="O517" s="5" t="str">
        <f>VLOOKUP(Tabla2[[#This Row],[TIENDA]],[1]INFO_LOCALES!$B:$J,9,0)</f>
        <v>SIN CONVENIO</v>
      </c>
      <c r="P517" s="5" t="str">
        <f>IFERROR(VLOOKUP(I517,[1]INFO_LOCALES!$B:$F,5,FALSE),"")</f>
        <v>AGUAS MAGALLANES S.A.</v>
      </c>
      <c r="Q517" s="5" t="s">
        <v>85</v>
      </c>
      <c r="R517" s="5" t="s">
        <v>86</v>
      </c>
      <c r="S517" s="6"/>
      <c r="T517" s="5" t="str">
        <f>UPPER(IF(Tabla2[[#This Row],[FECHA DE MUESTREO ]]=0,"",TEXT(Tabla2[[#This Row],[FECHA DE MUESTREO ]],("MMMM"))))</f>
        <v>MARZO</v>
      </c>
      <c r="U517" s="6">
        <v>45743</v>
      </c>
      <c r="V517" s="5" t="s">
        <v>59</v>
      </c>
      <c r="W5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17" s="7">
        <f t="shared" si="19"/>
        <v>1</v>
      </c>
      <c r="Y517" s="5">
        <v>7.4</v>
      </c>
      <c r="Z517" s="5">
        <v>8</v>
      </c>
      <c r="AA517" s="5">
        <v>2</v>
      </c>
      <c r="AB517" s="5">
        <v>16.3</v>
      </c>
      <c r="AC517" s="5">
        <v>276</v>
      </c>
      <c r="AD517" s="5">
        <v>14.4</v>
      </c>
      <c r="AE517" s="5">
        <v>23</v>
      </c>
      <c r="AF517" s="5">
        <v>1.5</v>
      </c>
      <c r="AG517" s="5">
        <v>99</v>
      </c>
      <c r="AH517" s="5">
        <v>1.46</v>
      </c>
      <c r="AI517" s="5">
        <f t="shared" si="20"/>
        <v>43.8</v>
      </c>
    </row>
    <row r="518" spans="1:51" x14ac:dyDescent="0.25">
      <c r="A518" s="5" t="s">
        <v>52</v>
      </c>
      <c r="B518" s="5" t="s">
        <v>74</v>
      </c>
      <c r="C518" s="5" t="s">
        <v>74</v>
      </c>
      <c r="F518" s="5" t="s">
        <v>55</v>
      </c>
      <c r="G518" s="5" t="s">
        <v>61</v>
      </c>
      <c r="H518" s="5" t="s">
        <v>57</v>
      </c>
      <c r="I518" s="5">
        <v>465</v>
      </c>
      <c r="J518" s="5" t="str">
        <f>IFERROR(VLOOKUP(I518,[1]INFO_LOCALES!$B:$C,2,FALSE),"")</f>
        <v>PUERTO NATALES</v>
      </c>
      <c r="K518" s="5" t="str">
        <f>IFERROR(VLOOKUP(Tabla2[[#This Row],[TIENDA]],[1]INFO_LOCALES!$B:$D,3,FALSE),"")</f>
        <v>XII - Magallanes</v>
      </c>
      <c r="L518" s="5" t="str">
        <f>IFERROR(VLOOKUP(I518,[1]INFO_LOCALES!$B:$I,8,FALSE),"")</f>
        <v>Puerto Natales</v>
      </c>
      <c r="M518" s="5" t="str">
        <f>IFERROR(VLOOKUP(I518,[1]INFO_LOCALES!$B:$H,7,FALSE),"")</f>
        <v>Bulnes 742</v>
      </c>
      <c r="N518" s="5">
        <f>IFERROR(VLOOKUP(I518,[1]INFO_LOCALES!$B:$E,4,FALSE),"")</f>
        <v>1133</v>
      </c>
      <c r="O518" s="5" t="str">
        <f>VLOOKUP(Tabla2[[#This Row],[TIENDA]],[1]INFO_LOCALES!$B:$J,9,0)</f>
        <v>SIN CONVENIO</v>
      </c>
      <c r="P518" s="5" t="str">
        <f>IFERROR(VLOOKUP(I518,[1]INFO_LOCALES!$B:$F,5,FALSE),"")</f>
        <v>AGUAS MAGALLANES S.A.</v>
      </c>
      <c r="Q518" s="5" t="s">
        <v>85</v>
      </c>
      <c r="R518" s="5" t="s">
        <v>86</v>
      </c>
      <c r="S518" s="6"/>
      <c r="T518" s="5" t="str">
        <f>UPPER(IF(Tabla2[[#This Row],[FECHA DE MUESTREO ]]=0,"",TEXT(Tabla2[[#This Row],[FECHA DE MUESTREO ]],("MMMM"))))</f>
        <v>MARZO</v>
      </c>
      <c r="U518" s="6">
        <v>45743</v>
      </c>
      <c r="V518" s="5" t="s">
        <v>59</v>
      </c>
      <c r="W5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18" s="7">
        <f t="shared" si="19"/>
        <v>1</v>
      </c>
      <c r="Y518" s="5">
        <v>3.3</v>
      </c>
      <c r="AA518" s="5">
        <v>2</v>
      </c>
      <c r="AC518" s="5">
        <v>118</v>
      </c>
      <c r="AD518" s="5">
        <v>4.3</v>
      </c>
      <c r="AE518" s="5">
        <v>4.3</v>
      </c>
      <c r="AF518" s="5">
        <v>0.2</v>
      </c>
      <c r="AG518" s="5">
        <v>30</v>
      </c>
      <c r="AH518" s="5">
        <v>0.38</v>
      </c>
      <c r="AI518" s="5">
        <f t="shared" si="20"/>
        <v>11.4</v>
      </c>
    </row>
    <row r="519" spans="1:51" x14ac:dyDescent="0.25">
      <c r="A519" s="5" t="s">
        <v>52</v>
      </c>
      <c r="B519" s="5" t="s">
        <v>90</v>
      </c>
      <c r="C519" s="5" t="s">
        <v>81</v>
      </c>
      <c r="F519" s="5" t="s">
        <v>55</v>
      </c>
      <c r="G519" s="5" t="s">
        <v>56</v>
      </c>
      <c r="H519" s="5" t="s">
        <v>57</v>
      </c>
      <c r="I519" s="5">
        <v>780</v>
      </c>
      <c r="J519" s="5" t="str">
        <f>IFERROR(VLOOKUP(I519,[1]INFO_LOCALES!$B:$C,2,FALSE),"")</f>
        <v>VICTORIA</v>
      </c>
      <c r="K519" s="5" t="str">
        <f>IFERROR(VLOOKUP(Tabla2[[#This Row],[TIENDA]],[1]INFO_LOCALES!$B:$D,3,FALSE),"")</f>
        <v>X - Los Lagos</v>
      </c>
      <c r="L519" s="5" t="str">
        <f>IFERROR(VLOOKUP(I519,[1]INFO_LOCALES!$B:$I,8,FALSE),"")</f>
        <v>Osorno</v>
      </c>
      <c r="M519" s="5" t="str">
        <f>IFERROR(VLOOKUP(I519,[1]INFO_LOCALES!$B:$H,7,FALSE),"")</f>
        <v>Victoria 367 Rahue Bajo</v>
      </c>
      <c r="N519" s="5">
        <f>IFERROR(VLOOKUP(I519,[1]INFO_LOCALES!$B:$E,4,FALSE),"")</f>
        <v>1362</v>
      </c>
      <c r="O519" s="5" t="str">
        <f>VLOOKUP(Tabla2[[#This Row],[TIENDA]],[1]INFO_LOCALES!$B:$J,9,0)</f>
        <v>SIN CONVENIO</v>
      </c>
      <c r="P519" s="5" t="str">
        <f>IFERROR(VLOOKUP(I519,[1]INFO_LOCALES!$B:$F,5,FALSE),"")</f>
        <v>SURALIS</v>
      </c>
      <c r="Q519" s="5" t="s">
        <v>105</v>
      </c>
      <c r="R519" s="5" t="s">
        <v>58</v>
      </c>
      <c r="S519" s="6">
        <v>45807</v>
      </c>
      <c r="T519" s="5" t="str">
        <f>UPPER(IF(Tabla2[[#This Row],[FECHA DE MUESTREO ]]=0,"",TEXT(Tabla2[[#This Row],[FECHA DE MUESTREO ]],("MMMM"))))</f>
        <v>ABRIL</v>
      </c>
      <c r="U519" s="6">
        <v>45776</v>
      </c>
      <c r="V519" s="5" t="s">
        <v>59</v>
      </c>
      <c r="W5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19" s="7">
        <f t="shared" si="19"/>
        <v>3</v>
      </c>
      <c r="Y519" s="5">
        <v>14</v>
      </c>
      <c r="Z519" s="5">
        <v>7.19</v>
      </c>
      <c r="AA519" s="5">
        <v>26</v>
      </c>
      <c r="AB519" s="5">
        <v>14.2</v>
      </c>
      <c r="AC519" s="5">
        <v>259</v>
      </c>
      <c r="AD519" s="5">
        <v>0.5</v>
      </c>
      <c r="AE519" s="5">
        <v>61.92</v>
      </c>
      <c r="AF519" s="5">
        <v>0.5</v>
      </c>
      <c r="AG519" s="5">
        <v>110</v>
      </c>
      <c r="AH519" s="5">
        <f ca="1">Tabla2[[#This Row],[VOLUMEN DE DESCARGA MENSUAL (M3/M)]]*30</f>
        <v>0</v>
      </c>
      <c r="AI519" s="5">
        <f t="shared" ca="1" si="20"/>
        <v>0</v>
      </c>
    </row>
    <row r="520" spans="1:51" x14ac:dyDescent="0.25">
      <c r="A520" s="5" t="s">
        <v>52</v>
      </c>
      <c r="B520" s="5" t="s">
        <v>149</v>
      </c>
      <c r="C520" s="5" t="s">
        <v>81</v>
      </c>
      <c r="F520" s="5" t="s">
        <v>55</v>
      </c>
      <c r="G520" s="5" t="s">
        <v>65</v>
      </c>
      <c r="H520" s="5" t="s">
        <v>57</v>
      </c>
      <c r="I520" s="5">
        <v>773</v>
      </c>
      <c r="J520" s="5" t="str">
        <f>IFERROR(VLOOKUP(I520,[1]INFO_LOCALES!$B:$C,2,FALSE),"")</f>
        <v>LLANQUIHUE</v>
      </c>
      <c r="K520" s="5" t="str">
        <f>IFERROR(VLOOKUP(Tabla2[[#This Row],[TIENDA]],[1]INFO_LOCALES!$B:$D,3,FALSE),"")</f>
        <v>X - Los Lagos</v>
      </c>
      <c r="L520" s="5" t="str">
        <f>IFERROR(VLOOKUP(I520,[1]INFO_LOCALES!$B:$I,8,FALSE),"")</f>
        <v>Llanquihue</v>
      </c>
      <c r="M520" s="5" t="str">
        <f>IFERROR(VLOOKUP(I520,[1]INFO_LOCALES!$B:$H,7,FALSE),"")</f>
        <v>Baquedano 612</v>
      </c>
      <c r="N520" s="5">
        <f>IFERROR(VLOOKUP(I520,[1]INFO_LOCALES!$B:$E,4,FALSE),"")</f>
        <v>0</v>
      </c>
      <c r="O520" s="5" t="str">
        <f>VLOOKUP(Tabla2[[#This Row],[TIENDA]],[1]INFO_LOCALES!$B:$J,9,0)</f>
        <v>SIN CONVENIO</v>
      </c>
      <c r="P520" s="5" t="str">
        <f>IFERROR(VLOOKUP(I520,[1]INFO_LOCALES!$B:$F,5,FALSE),"")</f>
        <v>SURALIS</v>
      </c>
      <c r="Q520" s="5" t="s">
        <v>105</v>
      </c>
      <c r="R520" s="5" t="s">
        <v>58</v>
      </c>
      <c r="S520" s="6">
        <v>45807</v>
      </c>
      <c r="T520" s="5" t="str">
        <f>UPPER(IF(Tabla2[[#This Row],[FECHA DE MUESTREO ]]=0,"",TEXT(Tabla2[[#This Row],[FECHA DE MUESTREO ]],("MMMM"))))</f>
        <v>ABRIL</v>
      </c>
      <c r="U520" s="6">
        <v>45776</v>
      </c>
      <c r="V520" s="5" t="s">
        <v>59</v>
      </c>
      <c r="W5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20" s="7">
        <f t="shared" si="19"/>
        <v>1</v>
      </c>
      <c r="Y520" s="5">
        <v>14</v>
      </c>
      <c r="Z520" s="5">
        <v>7.4</v>
      </c>
      <c r="AA520" s="5">
        <v>2</v>
      </c>
      <c r="AB520" s="5">
        <v>13.8</v>
      </c>
      <c r="AC520" s="5">
        <v>185</v>
      </c>
      <c r="AD520" s="5">
        <v>3.4</v>
      </c>
      <c r="AE520" s="5">
        <v>9.4</v>
      </c>
      <c r="AF520" s="5">
        <v>3.4</v>
      </c>
      <c r="AG520" s="5">
        <v>32</v>
      </c>
      <c r="AH520" s="5">
        <v>6</v>
      </c>
      <c r="AI520" s="5">
        <f t="shared" si="20"/>
        <v>180</v>
      </c>
    </row>
    <row r="521" spans="1:51" x14ac:dyDescent="0.25">
      <c r="A521" s="5" t="s">
        <v>52</v>
      </c>
      <c r="B521" s="5" t="s">
        <v>90</v>
      </c>
      <c r="C521" s="5" t="s">
        <v>81</v>
      </c>
      <c r="F521" s="5" t="s">
        <v>55</v>
      </c>
      <c r="G521" s="5" t="s">
        <v>61</v>
      </c>
      <c r="H521" s="5" t="s">
        <v>57</v>
      </c>
      <c r="I521" s="5">
        <v>778</v>
      </c>
      <c r="J521" s="5" t="str">
        <f>IFERROR(VLOOKUP(I521,[1]INFO_LOCALES!$B:$C,2,FALSE),"")</f>
        <v>ORIENTE</v>
      </c>
      <c r="K521" s="5" t="str">
        <f>IFERROR(VLOOKUP(Tabla2[[#This Row],[TIENDA]],[1]INFO_LOCALES!$B:$D,3,FALSE),"")</f>
        <v>X - Los Lagos</v>
      </c>
      <c r="L521" s="5" t="str">
        <f>IFERROR(VLOOKUP(I521,[1]INFO_LOCALES!$B:$I,8,FALSE),"")</f>
        <v>Osorno</v>
      </c>
      <c r="M521" s="5" t="str">
        <f>IFERROR(VLOOKUP(I521,[1]INFO_LOCALES!$B:$H,7,FALSE),"")</f>
        <v>Julio Buschman 2223</v>
      </c>
      <c r="N521" s="5">
        <f>IFERROR(VLOOKUP(I521,[1]INFO_LOCALES!$B:$E,4,FALSE),"")</f>
        <v>2867</v>
      </c>
      <c r="O521" s="5" t="str">
        <f>VLOOKUP(Tabla2[[#This Row],[TIENDA]],[1]INFO_LOCALES!$B:$J,9,0)</f>
        <v>CONVENIO</v>
      </c>
      <c r="P521" s="5" t="str">
        <f>IFERROR(VLOOKUP(I521,[1]INFO_LOCALES!$B:$F,5,FALSE),"")</f>
        <v>SURALIS</v>
      </c>
      <c r="Q521" s="5" t="s">
        <v>105</v>
      </c>
      <c r="R521" s="5" t="s">
        <v>58</v>
      </c>
      <c r="S521" s="6">
        <v>45807</v>
      </c>
      <c r="T521" s="5" t="str">
        <f>UPPER(IF(Tabla2[[#This Row],[FECHA DE MUESTREO ]]=0,"",TEXT(Tabla2[[#This Row],[FECHA DE MUESTREO ]],("MMMM"))))</f>
        <v>ABRIL</v>
      </c>
      <c r="U521" s="6">
        <v>45758</v>
      </c>
      <c r="V521" s="5" t="s">
        <v>59</v>
      </c>
      <c r="W5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21" s="7">
        <f t="shared" si="19"/>
        <v>2</v>
      </c>
      <c r="Y521" s="5">
        <v>14</v>
      </c>
      <c r="Z521" s="5">
        <v>7.3</v>
      </c>
      <c r="AA521" s="5">
        <v>2</v>
      </c>
      <c r="AB521" s="5">
        <v>12.4</v>
      </c>
      <c r="AC521" s="5">
        <v>130</v>
      </c>
      <c r="AD521" s="5">
        <v>4.4000000000000004</v>
      </c>
      <c r="AE521" s="5">
        <v>42.6</v>
      </c>
      <c r="AF521" s="5">
        <v>33</v>
      </c>
      <c r="AG521" s="5">
        <v>108</v>
      </c>
      <c r="AH521" s="5">
        <v>11</v>
      </c>
      <c r="AI521" s="5">
        <f t="shared" si="20"/>
        <v>330</v>
      </c>
    </row>
    <row r="522" spans="1:51" x14ac:dyDescent="0.25">
      <c r="A522" s="5" t="s">
        <v>52</v>
      </c>
      <c r="B522" s="5" t="s">
        <v>90</v>
      </c>
      <c r="C522" s="5" t="s">
        <v>81</v>
      </c>
      <c r="F522" s="5" t="s">
        <v>55</v>
      </c>
      <c r="G522" s="5" t="s">
        <v>61</v>
      </c>
      <c r="H522" s="5" t="s">
        <v>57</v>
      </c>
      <c r="I522" s="5">
        <v>777</v>
      </c>
      <c r="J522" s="5" t="str">
        <f>IFERROR(VLOOKUP(I522,[1]INFO_LOCALES!$B:$C,2,FALSE),"")</f>
        <v>CENTRAL</v>
      </c>
      <c r="K522" s="5" t="str">
        <f>IFERROR(VLOOKUP(Tabla2[[#This Row],[TIENDA]],[1]INFO_LOCALES!$B:$D,3,FALSE),"")</f>
        <v>X - Los Lagos</v>
      </c>
      <c r="L522" s="5" t="str">
        <f>IFERROR(VLOOKUP(I522,[1]INFO_LOCALES!$B:$I,8,FALSE),"")</f>
        <v>Osorno</v>
      </c>
      <c r="M522" s="5" t="str">
        <f>IFERROR(VLOOKUP(I522,[1]INFO_LOCALES!$B:$H,7,FALSE),"")</f>
        <v>Patricio Lynch 1278</v>
      </c>
      <c r="N522" s="5">
        <f>IFERROR(VLOOKUP(I522,[1]INFO_LOCALES!$B:$E,4,FALSE),"")</f>
        <v>3684</v>
      </c>
      <c r="O522" s="5" t="str">
        <f>VLOOKUP(Tabla2[[#This Row],[TIENDA]],[1]INFO_LOCALES!$B:$J,9,0)</f>
        <v>CONVENIO</v>
      </c>
      <c r="P522" s="5" t="str">
        <f>IFERROR(VLOOKUP(I522,[1]INFO_LOCALES!$B:$F,5,FALSE),"")</f>
        <v>SURALIS</v>
      </c>
      <c r="Q522" s="5" t="s">
        <v>105</v>
      </c>
      <c r="R522" s="5" t="s">
        <v>58</v>
      </c>
      <c r="S522" s="6">
        <v>45807</v>
      </c>
      <c r="T522" s="5" t="str">
        <f>UPPER(IF(Tabla2[[#This Row],[FECHA DE MUESTREO ]]=0,"",TEXT(Tabla2[[#This Row],[FECHA DE MUESTREO ]],("MMMM"))))</f>
        <v>ABRIL</v>
      </c>
      <c r="U522" s="6">
        <v>45758</v>
      </c>
      <c r="V522" s="5" t="s">
        <v>59</v>
      </c>
      <c r="W5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22" s="7">
        <f t="shared" si="19"/>
        <v>1</v>
      </c>
      <c r="Y522" s="5">
        <v>14</v>
      </c>
      <c r="Z522" s="5">
        <v>7.3</v>
      </c>
      <c r="AA522" s="5">
        <v>5</v>
      </c>
      <c r="AB522" s="5">
        <v>14.2</v>
      </c>
      <c r="AC522" s="5">
        <v>193</v>
      </c>
      <c r="AD522" s="5">
        <v>6.3</v>
      </c>
      <c r="AE522" s="5">
        <v>4.0999999999999996</v>
      </c>
      <c r="AF522" s="5">
        <v>0.5</v>
      </c>
      <c r="AG522" s="5">
        <v>64</v>
      </c>
      <c r="AH522" s="5">
        <v>3</v>
      </c>
      <c r="AI522" s="5">
        <f t="shared" si="20"/>
        <v>90</v>
      </c>
    </row>
    <row r="523" spans="1:51" x14ac:dyDescent="0.25">
      <c r="A523" s="5" t="s">
        <v>60</v>
      </c>
      <c r="B523" s="5" t="e">
        <v>#N/A</v>
      </c>
      <c r="C523" s="5" t="e">
        <v>#N/A</v>
      </c>
      <c r="F523" s="5" t="s">
        <v>55</v>
      </c>
      <c r="G523" s="5" t="s">
        <v>56</v>
      </c>
      <c r="H523" s="5" t="s">
        <v>57</v>
      </c>
      <c r="I523" s="5">
        <v>3197</v>
      </c>
      <c r="J523" s="5" t="str">
        <f>IFERROR(VLOOKUP(I523,[1]INFO_LOCALES!$B:$C,2,FALSE),"")</f>
        <v>ALVI PICARTE VALDIVIA</v>
      </c>
      <c r="K523" s="5" t="str">
        <f>IFERROR(VLOOKUP(Tabla2[[#This Row],[TIENDA]],[1]INFO_LOCALES!$B:$D,3,FALSE),"")</f>
        <v>XIV - Los Ríos</v>
      </c>
      <c r="L523" s="5" t="str">
        <f>IFERROR(VLOOKUP(I523,[1]INFO_LOCALES!$B:$I,8,FALSE),"")</f>
        <v>Valdivia</v>
      </c>
      <c r="M523" s="5" t="str">
        <f>IFERROR(VLOOKUP(I523,[1]INFO_LOCALES!$B:$H,7,FALSE),"")</f>
        <v>Av. Ramon Picarte 2593</v>
      </c>
      <c r="N523" s="5">
        <f>IFERROR(VLOOKUP(I523,[1]INFO_LOCALES!$B:$E,4,FALSE),"")</f>
        <v>1961</v>
      </c>
      <c r="O523" s="5" t="str">
        <f>VLOOKUP(Tabla2[[#This Row],[TIENDA]],[1]INFO_LOCALES!$B:$J,9,0)</f>
        <v>CONVENIO</v>
      </c>
      <c r="P523" s="5" t="str">
        <f>IFERROR(VLOOKUP(I523,[1]INFO_LOCALES!$B:$F,5,FALSE),"")</f>
        <v>AGUAS DECIMA S A</v>
      </c>
      <c r="Q523" s="5" t="s">
        <v>105</v>
      </c>
      <c r="R523" s="5" t="s">
        <v>58</v>
      </c>
      <c r="S523" s="6">
        <v>45807</v>
      </c>
      <c r="T523" s="5" t="str">
        <f>UPPER(IF(Tabla2[[#This Row],[FECHA DE MUESTREO ]]=0,"",TEXT(Tabla2[[#This Row],[FECHA DE MUESTREO ]],("MMMM"))))</f>
        <v>ABRIL</v>
      </c>
      <c r="U523" s="6">
        <v>45751</v>
      </c>
      <c r="V523" s="5" t="s">
        <v>59</v>
      </c>
      <c r="W5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23" s="7">
        <f t="shared" si="19"/>
        <v>3</v>
      </c>
      <c r="Y523" s="5">
        <v>58</v>
      </c>
      <c r="Z523" s="5">
        <v>7.06</v>
      </c>
      <c r="AA523" s="5">
        <v>2</v>
      </c>
      <c r="AB523" s="5">
        <v>16.100000000000001</v>
      </c>
      <c r="AC523" s="5">
        <v>1134</v>
      </c>
      <c r="AD523" s="5">
        <v>13</v>
      </c>
      <c r="AE523" s="5">
        <v>83.85</v>
      </c>
      <c r="AF523" s="5">
        <v>0.5</v>
      </c>
      <c r="AG523" s="5">
        <v>390</v>
      </c>
      <c r="AH523" s="5">
        <v>0.7</v>
      </c>
      <c r="AI523" s="5">
        <f t="shared" si="20"/>
        <v>21</v>
      </c>
    </row>
    <row r="524" spans="1:51" x14ac:dyDescent="0.25">
      <c r="A524" s="5" t="s">
        <v>52</v>
      </c>
      <c r="B524" s="5" t="s">
        <v>80</v>
      </c>
      <c r="C524" s="5" t="s">
        <v>81</v>
      </c>
      <c r="F524" s="5" t="s">
        <v>55</v>
      </c>
      <c r="G524" s="5" t="s">
        <v>65</v>
      </c>
      <c r="H524" s="5" t="s">
        <v>57</v>
      </c>
      <c r="I524" s="5">
        <v>80</v>
      </c>
      <c r="J524" s="5" t="str">
        <f>IFERROR(VLOOKUP(I524,[1]INFO_LOCALES!$B:$C,2,FALSE),"")</f>
        <v>ANGOL I</v>
      </c>
      <c r="K524" s="5" t="str">
        <f>IFERROR(VLOOKUP(Tabla2[[#This Row],[TIENDA]],[1]INFO_LOCALES!$B:$D,3,FALSE),"")</f>
        <v>IX - Araucanía</v>
      </c>
      <c r="L524" s="5" t="str">
        <f>IFERROR(VLOOKUP(I524,[1]INFO_LOCALES!$B:$I,8,FALSE),"")</f>
        <v>Angol</v>
      </c>
      <c r="M524" s="5" t="str">
        <f>IFERROR(VLOOKUP(I524,[1]INFO_LOCALES!$B:$H,7,FALSE),"")</f>
        <v>Av. O'Higgins 1257</v>
      </c>
      <c r="N524" s="5">
        <f>IFERROR(VLOOKUP(I524,[1]INFO_LOCALES!$B:$E,4,FALSE),"")</f>
        <v>0</v>
      </c>
      <c r="O524" s="5" t="str">
        <f>VLOOKUP(Tabla2[[#This Row],[TIENDA]],[1]INFO_LOCALES!$B:$J,9,0)</f>
        <v>SIN CONVENIO</v>
      </c>
      <c r="P524" s="5" t="str">
        <f>IFERROR(VLOOKUP(I524,[1]INFO_LOCALES!$B:$F,5,FALSE),"")</f>
        <v>AGUAS ARAUCANIA S A</v>
      </c>
      <c r="Q524" s="5" t="s">
        <v>214</v>
      </c>
      <c r="R524" s="5" t="s">
        <v>58</v>
      </c>
      <c r="S524" s="6">
        <v>45799</v>
      </c>
      <c r="T524" s="5" t="str">
        <f>UPPER(IF(Tabla2[[#This Row],[FECHA DE MUESTREO ]]=0,"",TEXT(Tabla2[[#This Row],[FECHA DE MUESTREO ]],("MMMM"))))</f>
        <v>NOVIEMBRE</v>
      </c>
      <c r="U524" s="6">
        <v>45610</v>
      </c>
      <c r="V524" s="5" t="s">
        <v>59</v>
      </c>
      <c r="W5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24" s="7">
        <f t="shared" si="19"/>
        <v>1</v>
      </c>
      <c r="Y524" s="5">
        <v>2</v>
      </c>
      <c r="Z524" s="5">
        <v>7.21</v>
      </c>
      <c r="AA524" s="5">
        <v>1</v>
      </c>
      <c r="AB524" s="12">
        <f>(17.7+20.3)/2</f>
        <v>19</v>
      </c>
      <c r="AC524" s="5">
        <v>124</v>
      </c>
      <c r="AD524" s="5">
        <v>6.64</v>
      </c>
      <c r="AE524" s="5">
        <v>58.6</v>
      </c>
      <c r="AF524" s="5">
        <v>0.1</v>
      </c>
      <c r="AG524" s="5">
        <v>32</v>
      </c>
      <c r="AH524" s="5">
        <v>5.65</v>
      </c>
      <c r="AI524" s="5">
        <f t="shared" si="20"/>
        <v>169.5</v>
      </c>
    </row>
    <row r="525" spans="1:51" x14ac:dyDescent="0.25">
      <c r="A525" s="5" t="s">
        <v>52</v>
      </c>
      <c r="B525" s="5" t="s">
        <v>80</v>
      </c>
      <c r="C525" s="5" t="s">
        <v>81</v>
      </c>
      <c r="F525" s="5" t="s">
        <v>55</v>
      </c>
      <c r="G525" s="5" t="s">
        <v>65</v>
      </c>
      <c r="H525" s="5" t="s">
        <v>57</v>
      </c>
      <c r="I525" s="5">
        <v>80</v>
      </c>
      <c r="J525" s="5" t="str">
        <f>IFERROR(VLOOKUP(I525,[1]INFO_LOCALES!$B:$C,2,FALSE),"")</f>
        <v>ANGOL I</v>
      </c>
      <c r="K525" s="5" t="str">
        <f>IFERROR(VLOOKUP(Tabla2[[#This Row],[TIENDA]],[1]INFO_LOCALES!$B:$D,3,FALSE),"")</f>
        <v>IX - Araucanía</v>
      </c>
      <c r="L525" s="5" t="str">
        <f>IFERROR(VLOOKUP(I525,[1]INFO_LOCALES!$B:$I,8,FALSE),"")</f>
        <v>Angol</v>
      </c>
      <c r="M525" s="5" t="str">
        <f>IFERROR(VLOOKUP(I525,[1]INFO_LOCALES!$B:$H,7,FALSE),"")</f>
        <v>Av. O'Higgins 1257</v>
      </c>
      <c r="N525" s="5">
        <f>IFERROR(VLOOKUP(I525,[1]INFO_LOCALES!$B:$E,4,FALSE),"")</f>
        <v>0</v>
      </c>
      <c r="O525" s="5" t="str">
        <f>VLOOKUP(Tabla2[[#This Row],[TIENDA]],[1]INFO_LOCALES!$B:$J,9,0)</f>
        <v>SIN CONVENIO</v>
      </c>
      <c r="P525" s="5" t="str">
        <f>IFERROR(VLOOKUP(I525,[1]INFO_LOCALES!$B:$F,5,FALSE),"")</f>
        <v>AGUAS ARAUCANIA S A</v>
      </c>
      <c r="Q525" s="5" t="s">
        <v>214</v>
      </c>
      <c r="R525" s="5" t="s">
        <v>58</v>
      </c>
      <c r="S525" s="6">
        <v>45799</v>
      </c>
      <c r="T525" s="5" t="str">
        <f>UPPER(IF(Tabla2[[#This Row],[FECHA DE MUESTREO ]]=0,"",TEXT(Tabla2[[#This Row],[FECHA DE MUESTREO ]],("MMMM"))))</f>
        <v>FEBRERO</v>
      </c>
      <c r="U525" s="6">
        <v>45692</v>
      </c>
      <c r="V525" s="5" t="s">
        <v>59</v>
      </c>
      <c r="W5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25" s="7">
        <f t="shared" si="19"/>
        <v>2</v>
      </c>
      <c r="Y525" s="5">
        <v>2</v>
      </c>
      <c r="Z525" s="5">
        <f>(6.71+6.13+6.92+6.96)/4</f>
        <v>6.68</v>
      </c>
      <c r="AA525" s="5">
        <v>1</v>
      </c>
      <c r="AB525" s="5">
        <f>(19.7+20.7+20.9+20.1)/4</f>
        <v>20.350000000000001</v>
      </c>
      <c r="AC525" s="5">
        <v>125</v>
      </c>
      <c r="AD525" s="5">
        <v>7.68</v>
      </c>
      <c r="AE525" s="5">
        <v>111</v>
      </c>
      <c r="AF525" s="5">
        <v>0.3</v>
      </c>
      <c r="AG525" s="5">
        <v>60</v>
      </c>
      <c r="AH525" s="5">
        <v>0.5</v>
      </c>
      <c r="AI525" s="5">
        <f t="shared" si="20"/>
        <v>15</v>
      </c>
    </row>
    <row r="526" spans="1:51" x14ac:dyDescent="0.25">
      <c r="A526" s="5" t="s">
        <v>152</v>
      </c>
      <c r="B526" s="5" t="e">
        <v>#N/A</v>
      </c>
      <c r="C526" s="5" t="e">
        <v>#N/A</v>
      </c>
      <c r="F526" s="5" t="s">
        <v>58</v>
      </c>
      <c r="G526" s="5" t="s">
        <v>65</v>
      </c>
      <c r="H526" s="5" t="s">
        <v>57</v>
      </c>
      <c r="I526" s="5">
        <v>3086</v>
      </c>
      <c r="J526" s="5" t="str">
        <f>IFERROR(VLOOKUP(I526,[1]INFO_LOCALES!$B:$C,2,FALSE),"")</f>
        <v>ALVI TEMUCO</v>
      </c>
      <c r="K526" s="5" t="str">
        <f>IFERROR(VLOOKUP(Tabla2[[#This Row],[TIENDA]],[1]INFO_LOCALES!$B:$D,3,FALSE),"")</f>
        <v>IX - Araucanía</v>
      </c>
      <c r="L526" s="5" t="str">
        <f>IFERROR(VLOOKUP(I526,[1]INFO_LOCALES!$B:$I,8,FALSE),"")</f>
        <v>Temuco</v>
      </c>
      <c r="M526" s="5" t="str">
        <f>IFERROR(VLOOKUP(I526,[1]INFO_LOCALES!$B:$H,7,FALSE),"")</f>
        <v>Av. Balmaceda 1531</v>
      </c>
      <c r="N526" s="5">
        <f>IFERROR(VLOOKUP(I526,[1]INFO_LOCALES!$B:$E,4,FALSE),"")</f>
        <v>0</v>
      </c>
      <c r="O526" s="5" t="str">
        <f>VLOOKUP(Tabla2[[#This Row],[TIENDA]],[1]INFO_LOCALES!$B:$J,9,0)</f>
        <v>SIN CONVENIO</v>
      </c>
      <c r="P526" s="5" t="str">
        <f>IFERROR(VLOOKUP(I526,[1]INFO_LOCALES!$B:$F,5,FALSE),"")</f>
        <v>AGUAS ARAUCANIA S A</v>
      </c>
      <c r="Q526" s="5" t="s">
        <v>214</v>
      </c>
      <c r="R526" s="5" t="s">
        <v>58</v>
      </c>
      <c r="S526" s="6">
        <v>45799</v>
      </c>
      <c r="T526" s="5" t="str">
        <f>UPPER(IF(Tabla2[[#This Row],[FECHA DE MUESTREO ]]=0,"",TEXT(Tabla2[[#This Row],[FECHA DE MUESTREO ]],("MMMM"))))</f>
        <v>NOVIEMBRE</v>
      </c>
      <c r="U526" s="6">
        <v>45619</v>
      </c>
      <c r="V526" s="5" t="s">
        <v>59</v>
      </c>
      <c r="W5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26" s="7">
        <f t="shared" si="19"/>
        <v>2</v>
      </c>
      <c r="Y526" s="5">
        <v>20.2</v>
      </c>
      <c r="Z526" s="5">
        <v>7.61</v>
      </c>
      <c r="AA526" s="5">
        <v>1</v>
      </c>
      <c r="AB526" s="13">
        <f>(19.3+19.7+19.9+20.4+22.1+22.4+21.3)/7</f>
        <v>20.728571428571431</v>
      </c>
      <c r="AC526" s="5">
        <v>302</v>
      </c>
      <c r="AD526" s="5">
        <v>8.7200000000000006</v>
      </c>
      <c r="AE526" s="5">
        <v>60.7</v>
      </c>
      <c r="AF526" s="5">
        <v>6.5</v>
      </c>
      <c r="AG526" s="5">
        <v>220</v>
      </c>
      <c r="AH526" s="5">
        <v>2.88</v>
      </c>
      <c r="AI526" s="5">
        <f t="shared" si="20"/>
        <v>86.399999999999991</v>
      </c>
    </row>
    <row r="527" spans="1:51" x14ac:dyDescent="0.25">
      <c r="A527" s="5" t="s">
        <v>52</v>
      </c>
      <c r="B527" s="5" t="s">
        <v>80</v>
      </c>
      <c r="C527" s="5" t="s">
        <v>81</v>
      </c>
      <c r="D527" s="5">
        <v>2025</v>
      </c>
      <c r="F527" s="5" t="s">
        <v>58</v>
      </c>
      <c r="G527" s="5" t="s">
        <v>65</v>
      </c>
      <c r="H527" s="5" t="s">
        <v>57</v>
      </c>
      <c r="I527" s="5">
        <v>519</v>
      </c>
      <c r="J527" s="5" t="str">
        <f>IFERROR(VLOOKUP(I527,[1]INFO_LOCALES!$B:$C,2,FALSE),"")</f>
        <v>TRAIGUEN</v>
      </c>
      <c r="K527" s="5" t="str">
        <f>IFERROR(VLOOKUP(Tabla2[[#This Row],[TIENDA]],[1]INFO_LOCALES!$B:$D,3,FALSE),"")</f>
        <v>IX - Araucanía</v>
      </c>
      <c r="L527" s="5" t="str">
        <f>IFERROR(VLOOKUP(I527,[1]INFO_LOCALES!$B:$I,8,FALSE),"")</f>
        <v>Traiguén</v>
      </c>
      <c r="M527" s="5" t="str">
        <f>IFERROR(VLOOKUP(I527,[1]INFO_LOCALES!$B:$H,7,FALSE),"")</f>
        <v>Santa Cruz 1170</v>
      </c>
      <c r="N527" s="5">
        <f>IFERROR(VLOOKUP(I527,[1]INFO_LOCALES!$B:$E,4,FALSE),"")</f>
        <v>0</v>
      </c>
      <c r="O527" s="5" t="str">
        <f>VLOOKUP(Tabla2[[#This Row],[TIENDA]],[1]INFO_LOCALES!$B:$J,9,0)</f>
        <v>CONVENIO</v>
      </c>
      <c r="P527" s="5" t="str">
        <f>IFERROR(VLOOKUP(I527,[1]INFO_LOCALES!$B:$F,5,FALSE),"")</f>
        <v>AGUAS ARAUCANIA S A</v>
      </c>
      <c r="Q527" s="5" t="s">
        <v>214</v>
      </c>
      <c r="R527" s="5" t="s">
        <v>58</v>
      </c>
      <c r="S527" s="6">
        <v>45799</v>
      </c>
      <c r="T527" s="5" t="str">
        <f>UPPER(IF(Tabla2[[#This Row],[FECHA DE MUESTREO ]]=0,"",TEXT(Tabla2[[#This Row],[FECHA DE MUESTREO ]],("MMMM"))))</f>
        <v>DICIEMBRE</v>
      </c>
      <c r="U527" s="6">
        <v>45645</v>
      </c>
      <c r="V527" s="5" t="s">
        <v>59</v>
      </c>
      <c r="W5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27" s="7">
        <f t="shared" si="19"/>
        <v>1</v>
      </c>
      <c r="Y527" s="5">
        <v>30.1</v>
      </c>
      <c r="Z527" s="12">
        <f>(6.84+6+6.72+6.76+6.72+6.82+6.84+6.86)/8</f>
        <v>6.6950000000000003</v>
      </c>
      <c r="AA527" s="5">
        <v>2</v>
      </c>
      <c r="AB527" s="12">
        <f>(17.51+15.6+17.62+17.67+17.72+17.76+17.81+17.83)/8</f>
        <v>17.440000000000001</v>
      </c>
      <c r="AC527" s="5">
        <v>65.099999999999994</v>
      </c>
      <c r="AD527" s="5">
        <v>1.66</v>
      </c>
      <c r="AE527" s="5">
        <v>17.3</v>
      </c>
      <c r="AF527" s="5">
        <v>0.2</v>
      </c>
      <c r="AG527" s="5">
        <v>36</v>
      </c>
      <c r="AH527" s="5">
        <v>6.12</v>
      </c>
      <c r="AI527" s="5">
        <f t="shared" si="20"/>
        <v>183.6</v>
      </c>
    </row>
    <row r="528" spans="1:51" x14ac:dyDescent="0.25">
      <c r="A528" s="5" t="s">
        <v>52</v>
      </c>
      <c r="B528" s="5" t="s">
        <v>117</v>
      </c>
      <c r="C528" s="5" t="s">
        <v>81</v>
      </c>
      <c r="F528" s="5" t="s">
        <v>55</v>
      </c>
      <c r="G528" s="5" t="s">
        <v>65</v>
      </c>
      <c r="H528" s="5" t="s">
        <v>57</v>
      </c>
      <c r="I528" s="5">
        <v>959</v>
      </c>
      <c r="J528" s="5" t="str">
        <f>IFERROR(VLOOKUP(I528,[1]INFO_LOCALES!$B:$C,2,FALSE),"")</f>
        <v>PUCON</v>
      </c>
      <c r="K528" s="5" t="str">
        <f>IFERROR(VLOOKUP(Tabla2[[#This Row],[TIENDA]],[1]INFO_LOCALES!$B:$D,3,FALSE),"")</f>
        <v>IX - Araucanía</v>
      </c>
      <c r="L528" s="5" t="str">
        <f>IFERROR(VLOOKUP(I528,[1]INFO_LOCALES!$B:$I,8,FALSE),"")</f>
        <v>Pucon</v>
      </c>
      <c r="M528" s="5" t="str">
        <f>IFERROR(VLOOKUP(I528,[1]INFO_LOCALES!$B:$H,7,FALSE),"")</f>
        <v>Av. O´higgins 774</v>
      </c>
      <c r="N528" s="5">
        <f>IFERROR(VLOOKUP(I528,[1]INFO_LOCALES!$B:$E,4,FALSE),"")</f>
        <v>0</v>
      </c>
      <c r="O528" s="5" t="str">
        <f>VLOOKUP(Tabla2[[#This Row],[TIENDA]],[1]INFO_LOCALES!$B:$J,9,0)</f>
        <v>SIN CONVENIO</v>
      </c>
      <c r="P528" s="5" t="str">
        <f>IFERROR(VLOOKUP(I528,[1]INFO_LOCALES!$B:$F,5,FALSE),"")</f>
        <v>AGUAS ARAUCANIA S A</v>
      </c>
      <c r="Q528" s="5" t="s">
        <v>214</v>
      </c>
      <c r="R528" s="5" t="s">
        <v>58</v>
      </c>
      <c r="S528" s="6">
        <v>45799</v>
      </c>
      <c r="T528" s="5" t="str">
        <f>UPPER(IF(Tabla2[[#This Row],[FECHA DE MUESTREO ]]=0,"",TEXT(Tabla2[[#This Row],[FECHA DE MUESTREO ]],("MMMM"))))</f>
        <v>DICIEMBRE</v>
      </c>
      <c r="U528" s="6">
        <v>45640</v>
      </c>
      <c r="V528" s="5" t="s">
        <v>59</v>
      </c>
      <c r="W5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28" s="7">
        <f t="shared" si="19"/>
        <v>1</v>
      </c>
      <c r="Y528" s="5">
        <v>11.9</v>
      </c>
      <c r="Z528" s="12">
        <f>(8.06+8.03+7.94+7.9+8.16+8.01)/6</f>
        <v>8.0166666666666675</v>
      </c>
      <c r="AA528" s="5">
        <v>1</v>
      </c>
      <c r="AB528" s="12">
        <f>(16.9+17.3+17.6+17.9+18.1+18.6)/6</f>
        <v>17.733333333333334</v>
      </c>
      <c r="AC528" s="5">
        <v>52.1</v>
      </c>
      <c r="AD528" s="5">
        <v>3.48</v>
      </c>
      <c r="AE528" s="5">
        <v>13.5</v>
      </c>
      <c r="AF528" s="5">
        <v>0.1</v>
      </c>
      <c r="AG528" s="5">
        <v>52</v>
      </c>
      <c r="AH528" s="5">
        <v>5.4</v>
      </c>
      <c r="AI528" s="5">
        <f t="shared" si="20"/>
        <v>162</v>
      </c>
    </row>
    <row r="529" spans="1:51" x14ac:dyDescent="0.25">
      <c r="A529" s="5" t="s">
        <v>60</v>
      </c>
      <c r="B529" s="5" t="e">
        <v>#N/A</v>
      </c>
      <c r="C529" s="5" t="e">
        <v>#N/A</v>
      </c>
      <c r="F529" s="5" t="s">
        <v>55</v>
      </c>
      <c r="G529" s="5" t="s">
        <v>65</v>
      </c>
      <c r="H529" s="5" t="s">
        <v>57</v>
      </c>
      <c r="I529" s="5">
        <v>3019</v>
      </c>
      <c r="J529" s="5" t="str">
        <f>IFERROR(VLOOKUP(I529,[1]INFO_LOCALES!$B:$C,2,FALSE),"")</f>
        <v>M10 ANGOL</v>
      </c>
      <c r="K529" s="5" t="str">
        <f>IFERROR(VLOOKUP(Tabla2[[#This Row],[TIENDA]],[1]INFO_LOCALES!$B:$D,3,FALSE),"")</f>
        <v>IX - Araucanía</v>
      </c>
      <c r="L529" s="5" t="str">
        <f>IFERROR(VLOOKUP(I529,[1]INFO_LOCALES!$B:$I,8,FALSE),"")</f>
        <v>Angol</v>
      </c>
      <c r="M529" s="5" t="str">
        <f>IFERROR(VLOOKUP(I529,[1]INFO_LOCALES!$B:$H,7,FALSE),"")</f>
        <v>Av. O"Higgins 1815</v>
      </c>
      <c r="N529" s="5">
        <f>IFERROR(VLOOKUP(I529,[1]INFO_LOCALES!$B:$E,4,FALSE),"")</f>
        <v>0</v>
      </c>
      <c r="O529" s="5" t="str">
        <f>VLOOKUP(Tabla2[[#This Row],[TIENDA]],[1]INFO_LOCALES!$B:$J,9,0)</f>
        <v>SIN CONVENIO</v>
      </c>
      <c r="P529" s="5" t="str">
        <f>IFERROR(VLOOKUP(I529,[1]INFO_LOCALES!$B:$F,5,FALSE),"")</f>
        <v>AGUAS ARAUCANIA S A</v>
      </c>
      <c r="Q529" s="5" t="s">
        <v>214</v>
      </c>
      <c r="R529" s="5" t="s">
        <v>58</v>
      </c>
      <c r="S529" s="6">
        <v>45799</v>
      </c>
      <c r="T529" s="5" t="str">
        <f>UPPER(IF(Tabla2[[#This Row],[FECHA DE MUESTREO ]]=0,"",TEXT(Tabla2[[#This Row],[FECHA DE MUESTREO ]],("MMMM"))))</f>
        <v>NOVIEMBRE</v>
      </c>
      <c r="U529" s="6">
        <v>45625</v>
      </c>
      <c r="V529" s="5" t="s">
        <v>59</v>
      </c>
      <c r="W5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29" s="7">
        <f t="shared" si="19"/>
        <v>1</v>
      </c>
      <c r="Y529" s="5">
        <v>13.1</v>
      </c>
      <c r="Z529" s="12">
        <f>(7.24+7.32+7.33+7.2+7.19+7.22)/6</f>
        <v>7.25</v>
      </c>
      <c r="AA529" s="5">
        <v>3</v>
      </c>
      <c r="AB529" s="12">
        <f>(18.61+18.66+18.73+18.81+18.84+18.88)/6</f>
        <v>18.754999999999999</v>
      </c>
      <c r="AC529" s="5">
        <v>49.4</v>
      </c>
      <c r="AD529" s="5">
        <v>5.82</v>
      </c>
      <c r="AE529" s="5">
        <v>14.3</v>
      </c>
      <c r="AF529" s="5">
        <v>0.1</v>
      </c>
      <c r="AG529" s="5">
        <v>16</v>
      </c>
      <c r="AH529" s="5">
        <v>4.32</v>
      </c>
      <c r="AI529" s="5">
        <f t="shared" si="20"/>
        <v>129.60000000000002</v>
      </c>
    </row>
    <row r="530" spans="1:51" x14ac:dyDescent="0.25">
      <c r="A530" s="5" t="s">
        <v>60</v>
      </c>
      <c r="B530" s="5" t="e">
        <v>#N/A</v>
      </c>
      <c r="C530" s="5" t="e">
        <v>#N/A</v>
      </c>
      <c r="F530" s="5" t="s">
        <v>55</v>
      </c>
      <c r="G530" s="5" t="s">
        <v>61</v>
      </c>
      <c r="H530" s="5" t="s">
        <v>57</v>
      </c>
      <c r="I530" s="5">
        <v>3143</v>
      </c>
      <c r="J530" s="5" t="str">
        <f>IFERROR(VLOOKUP(I530,[1]INFO_LOCALES!$B:$C,2,FALSE),"")</f>
        <v>M10 TEMUCO IV</v>
      </c>
      <c r="K530" s="5" t="str">
        <f>IFERROR(VLOOKUP(Tabla2[[#This Row],[TIENDA]],[1]INFO_LOCALES!$B:$D,3,FALSE),"")</f>
        <v>IX - Araucanía</v>
      </c>
      <c r="L530" s="5" t="str">
        <f>IFERROR(VLOOKUP(I530,[1]INFO_LOCALES!$B:$I,8,FALSE),"")</f>
        <v>Temuco</v>
      </c>
      <c r="M530" s="5" t="str">
        <f>IFERROR(VLOOKUP(I530,[1]INFO_LOCALES!$B:$H,7,FALSE),"")</f>
        <v>Francisco Salazar 01650</v>
      </c>
      <c r="N530" s="5">
        <f>IFERROR(VLOOKUP(I530,[1]INFO_LOCALES!$B:$E,4,FALSE),"")</f>
        <v>4422</v>
      </c>
      <c r="O530" s="5" t="str">
        <f>VLOOKUP(Tabla2[[#This Row],[TIENDA]],[1]INFO_LOCALES!$B:$J,9,0)</f>
        <v>CONVENIO</v>
      </c>
      <c r="P530" s="5" t="str">
        <f>IFERROR(VLOOKUP(I530,[1]INFO_LOCALES!$B:$F,5,FALSE),"")</f>
        <v>AGUAS ARAUCANIA S A</v>
      </c>
      <c r="Q530" s="5" t="s">
        <v>214</v>
      </c>
      <c r="R530" s="5" t="s">
        <v>58</v>
      </c>
      <c r="S530" s="6">
        <v>45783</v>
      </c>
      <c r="T530" s="5" t="str">
        <f>UPPER(IF(Tabla2[[#This Row],[FECHA DE MUESTREO ]]=0,"",TEXT(Tabla2[[#This Row],[FECHA DE MUESTREO ]],("MMMM"))))</f>
        <v>FEBRERO</v>
      </c>
      <c r="U530" s="6">
        <v>45696</v>
      </c>
      <c r="V530" s="5" t="s">
        <v>59</v>
      </c>
      <c r="W5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30" s="7">
        <f t="shared" si="19"/>
        <v>1</v>
      </c>
      <c r="Y530" s="5">
        <v>2</v>
      </c>
      <c r="Z530" s="12">
        <f>(7.05+7.12+7.21+7.36+7.18+7.15+7.21)/7</f>
        <v>7.1828571428571433</v>
      </c>
      <c r="AA530" s="5">
        <v>1</v>
      </c>
      <c r="AB530" s="12">
        <f>(21.2+21.3+21.3+21.4+21.4+21.4+21.6)/7</f>
        <v>21.37142857142857</v>
      </c>
      <c r="AC530" s="5">
        <v>2</v>
      </c>
      <c r="AD530" s="5">
        <v>0.6</v>
      </c>
      <c r="AE530" s="5">
        <v>12.8</v>
      </c>
      <c r="AF530" s="5">
        <v>1</v>
      </c>
      <c r="AG530" s="5">
        <v>244</v>
      </c>
      <c r="AH530" s="5">
        <v>0.5</v>
      </c>
      <c r="AI530" s="5">
        <f t="shared" si="20"/>
        <v>15</v>
      </c>
    </row>
    <row r="531" spans="1:51" x14ac:dyDescent="0.25">
      <c r="A531" s="5" t="s">
        <v>60</v>
      </c>
      <c r="B531" s="5" t="e">
        <v>#N/A</v>
      </c>
      <c r="C531" s="5" t="e">
        <v>#N/A</v>
      </c>
      <c r="F531" s="5" t="s">
        <v>55</v>
      </c>
      <c r="G531" s="5" t="s">
        <v>61</v>
      </c>
      <c r="H531" s="5" t="s">
        <v>57</v>
      </c>
      <c r="I531" s="5">
        <v>3143</v>
      </c>
      <c r="J531" s="5" t="str">
        <f>IFERROR(VLOOKUP(I531,[1]INFO_LOCALES!$B:$C,2,FALSE),"")</f>
        <v>M10 TEMUCO IV</v>
      </c>
      <c r="K531" s="5" t="str">
        <f>IFERROR(VLOOKUP(Tabla2[[#This Row],[TIENDA]],[1]INFO_LOCALES!$B:$D,3,FALSE),"")</f>
        <v>IX - Araucanía</v>
      </c>
      <c r="L531" s="5" t="str">
        <f>IFERROR(VLOOKUP(I531,[1]INFO_LOCALES!$B:$I,8,FALSE),"")</f>
        <v>Temuco</v>
      </c>
      <c r="M531" s="5" t="str">
        <f>IFERROR(VLOOKUP(I531,[1]INFO_LOCALES!$B:$H,7,FALSE),"")</f>
        <v>Francisco Salazar 01650</v>
      </c>
      <c r="N531" s="5">
        <f>IFERROR(VLOOKUP(I531,[1]INFO_LOCALES!$B:$E,4,FALSE),"")</f>
        <v>4422</v>
      </c>
      <c r="O531" s="5" t="str">
        <f>VLOOKUP(Tabla2[[#This Row],[TIENDA]],[1]INFO_LOCALES!$B:$J,9,0)</f>
        <v>CONVENIO</v>
      </c>
      <c r="P531" s="5" t="str">
        <f>IFERROR(VLOOKUP(I531,[1]INFO_LOCALES!$B:$F,5,FALSE),"")</f>
        <v>AGUAS ARAUCANIA S A</v>
      </c>
      <c r="Q531" s="5" t="s">
        <v>214</v>
      </c>
      <c r="R531" s="5" t="s">
        <v>58</v>
      </c>
      <c r="S531" s="6">
        <v>45783</v>
      </c>
      <c r="T531" s="5" t="str">
        <f>UPPER(IF(Tabla2[[#This Row],[FECHA DE MUESTREO ]]=0,"",TEXT(Tabla2[[#This Row],[FECHA DE MUESTREO ]],("MMMM"))))</f>
        <v>ENERO</v>
      </c>
      <c r="U531" s="6">
        <v>45660</v>
      </c>
      <c r="V531" s="5" t="s">
        <v>59</v>
      </c>
      <c r="W5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31" s="7">
        <f t="shared" si="19"/>
        <v>1</v>
      </c>
      <c r="Y531" s="5">
        <v>3.78</v>
      </c>
      <c r="Z531" s="12">
        <f>(7.9+7.75+7.4+7.82+7.61+7.86+7.77+7.09)/8</f>
        <v>7.65</v>
      </c>
      <c r="AA531" s="5">
        <v>1</v>
      </c>
      <c r="AB531" s="12">
        <f>(23.9+23.9+23.9+24+24.3+24.3+24.3+24.7)/8</f>
        <v>24.162499999999998</v>
      </c>
      <c r="AC531" s="5">
        <v>131</v>
      </c>
      <c r="AD531" s="5">
        <v>8.42</v>
      </c>
      <c r="AE531" s="5">
        <v>8.42</v>
      </c>
      <c r="AF531" s="5">
        <v>1.2</v>
      </c>
      <c r="AG531" s="5">
        <v>84</v>
      </c>
      <c r="AH531" s="5">
        <v>0.72</v>
      </c>
      <c r="AI531" s="5">
        <f t="shared" si="20"/>
        <v>21.599999999999998</v>
      </c>
    </row>
    <row r="532" spans="1:51" x14ac:dyDescent="0.25">
      <c r="A532" s="5" t="s">
        <v>52</v>
      </c>
      <c r="B532" s="5" t="s">
        <v>117</v>
      </c>
      <c r="C532" s="5" t="s">
        <v>81</v>
      </c>
      <c r="F532" s="5" t="s">
        <v>58</v>
      </c>
      <c r="G532" s="5" t="s">
        <v>61</v>
      </c>
      <c r="H532" s="5" t="s">
        <v>57</v>
      </c>
      <c r="I532" s="5">
        <v>754</v>
      </c>
      <c r="J532" s="5" t="str">
        <f>IFERROR(VLOOKUP(I532,[1]INFO_LOCALES!$B:$C,2,FALSE),"")</f>
        <v>TEMUCO IV</v>
      </c>
      <c r="K532" s="5" t="str">
        <f>IFERROR(VLOOKUP(Tabla2[[#This Row],[TIENDA]],[1]INFO_LOCALES!$B:$D,3,FALSE),"")</f>
        <v>IX - Araucanía</v>
      </c>
      <c r="L532" s="5" t="str">
        <f>IFERROR(VLOOKUP(I532,[1]INFO_LOCALES!$B:$I,8,FALSE),"")</f>
        <v>Temuco</v>
      </c>
      <c r="M532" s="5" t="str">
        <f>IFERROR(VLOOKUP(I532,[1]INFO_LOCALES!$B:$H,7,FALSE),"")</f>
        <v>Avenida Javiera Carrera 1610</v>
      </c>
      <c r="N532" s="5">
        <f>IFERROR(VLOOKUP(I532,[1]INFO_LOCALES!$B:$E,4,FALSE),"")</f>
        <v>0</v>
      </c>
      <c r="O532" s="5" t="str">
        <f>VLOOKUP(Tabla2[[#This Row],[TIENDA]],[1]INFO_LOCALES!$B:$J,9,0)</f>
        <v>CONVENIO</v>
      </c>
      <c r="P532" s="5" t="str">
        <f>IFERROR(VLOOKUP(I532,[1]INFO_LOCALES!$B:$F,5,FALSE),"")</f>
        <v>AGUAS ARAUCANIA S A</v>
      </c>
      <c r="Q532" s="5" t="s">
        <v>214</v>
      </c>
      <c r="R532" s="5" t="s">
        <v>58</v>
      </c>
      <c r="S532" s="6">
        <v>45783</v>
      </c>
      <c r="T532" s="5" t="str">
        <f>UPPER(IF(Tabla2[[#This Row],[FECHA DE MUESTREO ]]=0,"",TEXT(Tabla2[[#This Row],[FECHA DE MUESTREO ]],("MMMM"))))</f>
        <v>FEBRERO</v>
      </c>
      <c r="U532" s="6">
        <v>45696</v>
      </c>
      <c r="V532" s="5" t="s">
        <v>59</v>
      </c>
      <c r="W5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32" s="7">
        <f t="shared" si="19"/>
        <v>3</v>
      </c>
      <c r="Y532" s="5">
        <v>31.8</v>
      </c>
      <c r="Z532" s="12">
        <f>(7.69+7.51+7.89+7.72)/4</f>
        <v>7.7024999999999997</v>
      </c>
      <c r="AA532" s="5">
        <v>1</v>
      </c>
      <c r="AB532" s="12">
        <f>(18.9+19.1+20.6+23.4)/4</f>
        <v>20.5</v>
      </c>
      <c r="AC532" s="5">
        <v>229</v>
      </c>
      <c r="AD532" s="5">
        <v>4.76</v>
      </c>
      <c r="AE532" s="5">
        <v>18.100000000000001</v>
      </c>
      <c r="AF532" s="5">
        <v>0.44</v>
      </c>
      <c r="AG532" s="5">
        <v>644</v>
      </c>
      <c r="AH532" s="5">
        <v>2.7</v>
      </c>
      <c r="AI532" s="5">
        <f t="shared" si="20"/>
        <v>81</v>
      </c>
    </row>
    <row r="533" spans="1:51" x14ac:dyDescent="0.25">
      <c r="A533" s="5" t="s">
        <v>52</v>
      </c>
      <c r="B533" s="5" t="s">
        <v>117</v>
      </c>
      <c r="C533" s="5" t="s">
        <v>81</v>
      </c>
      <c r="F533" s="5" t="s">
        <v>55</v>
      </c>
      <c r="G533" s="5" t="s">
        <v>65</v>
      </c>
      <c r="H533" s="5" t="s">
        <v>57</v>
      </c>
      <c r="I533" s="5">
        <v>909</v>
      </c>
      <c r="J533" s="5" t="str">
        <f>IFERROR(VLOOKUP(I533,[1]INFO_LOCALES!$B:$C,2,FALSE),"")</f>
        <v>TEMUCO SAN MARTIN</v>
      </c>
      <c r="K533" s="5" t="str">
        <f>IFERROR(VLOOKUP(Tabla2[[#This Row],[TIENDA]],[1]INFO_LOCALES!$B:$D,3,FALSE),"")</f>
        <v>IX - Araucanía</v>
      </c>
      <c r="L533" s="5" t="str">
        <f>IFERROR(VLOOKUP(I533,[1]INFO_LOCALES!$B:$I,8,FALSE),"")</f>
        <v>Temuco</v>
      </c>
      <c r="M533" s="5" t="str">
        <f>IFERROR(VLOOKUP(I533,[1]INFO_LOCALES!$B:$H,7,FALSE),"")</f>
        <v>SAN MARTIN ( L147)  0675</v>
      </c>
      <c r="N533" s="5">
        <f>IFERROR(VLOOKUP(I533,[1]INFO_LOCALES!$B:$E,4,FALSE),"")</f>
        <v>0</v>
      </c>
      <c r="O533" s="5" t="str">
        <f>VLOOKUP(Tabla2[[#This Row],[TIENDA]],[1]INFO_LOCALES!$B:$J,9,0)</f>
        <v>SIN CONVENIO</v>
      </c>
      <c r="P533" s="5" t="str">
        <f>IFERROR(VLOOKUP(I533,[1]INFO_LOCALES!$B:$F,5,FALSE),"")</f>
        <v>AGUAS ARAUCANIA S A</v>
      </c>
      <c r="Q533" s="5" t="s">
        <v>214</v>
      </c>
      <c r="R533" s="5" t="s">
        <v>58</v>
      </c>
      <c r="S533" s="6">
        <v>45783</v>
      </c>
      <c r="T533" s="5" t="str">
        <f>UPPER(IF(Tabla2[[#This Row],[FECHA DE MUESTREO ]]=0,"",TEXT(Tabla2[[#This Row],[FECHA DE MUESTREO ]],("MMMM"))))</f>
        <v>FEBRERO</v>
      </c>
      <c r="U533" s="6">
        <v>45710</v>
      </c>
      <c r="V533" s="5" t="s">
        <v>59</v>
      </c>
      <c r="W5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33" s="7">
        <f t="shared" si="19"/>
        <v>1</v>
      </c>
      <c r="Y533" s="5">
        <v>2</v>
      </c>
      <c r="Z533" s="12">
        <f>(6.03+6.1+6.15+6.06+6.04+6.08+6.15)/7</f>
        <v>6.0871428571428572</v>
      </c>
      <c r="AA533" s="5">
        <v>1</v>
      </c>
      <c r="AB533" s="12">
        <f>(19.2+19.5+19.7+20.1+20.3+21+21.7)/7</f>
        <v>20.214285714285715</v>
      </c>
      <c r="AC533" s="5">
        <v>131</v>
      </c>
      <c r="AD533" s="5">
        <v>0.6</v>
      </c>
      <c r="AE533" s="5">
        <v>1.22</v>
      </c>
      <c r="AF533" s="5">
        <v>0.2</v>
      </c>
      <c r="AG533" s="5">
        <v>128</v>
      </c>
      <c r="AH533" s="5">
        <v>9.6999999999999993</v>
      </c>
      <c r="AI533" s="5">
        <f t="shared" si="20"/>
        <v>291</v>
      </c>
    </row>
    <row r="534" spans="1:51" x14ac:dyDescent="0.25">
      <c r="A534" s="5" t="s">
        <v>52</v>
      </c>
      <c r="B534" s="5" t="s">
        <v>80</v>
      </c>
      <c r="C534" s="5" t="s">
        <v>81</v>
      </c>
      <c r="F534" s="5" t="s">
        <v>55</v>
      </c>
      <c r="G534" s="5" t="s">
        <v>65</v>
      </c>
      <c r="H534" s="5" t="s">
        <v>57</v>
      </c>
      <c r="I534" s="5">
        <v>532</v>
      </c>
      <c r="J534" s="5" t="str">
        <f>IFERROR(VLOOKUP(I534,[1]INFO_LOCALES!$B:$C,2,FALSE),"")</f>
        <v>CURACAUTIN</v>
      </c>
      <c r="K534" s="5" t="str">
        <f>IFERROR(VLOOKUP(Tabla2[[#This Row],[TIENDA]],[1]INFO_LOCALES!$B:$D,3,FALSE),"")</f>
        <v>IX - Araucanía</v>
      </c>
      <c r="L534" s="5" t="str">
        <f>IFERROR(VLOOKUP(I534,[1]INFO_LOCALES!$B:$I,8,FALSE),"")</f>
        <v>Curacautin</v>
      </c>
      <c r="M534" s="5" t="str">
        <f>IFERROR(VLOOKUP(I534,[1]INFO_LOCALES!$B:$H,7,FALSE),"")</f>
        <v>O"Higgins 515</v>
      </c>
      <c r="N534" s="5">
        <f>IFERROR(VLOOKUP(I534,[1]INFO_LOCALES!$B:$E,4,FALSE),"")</f>
        <v>0</v>
      </c>
      <c r="O534" s="5" t="str">
        <f>VLOOKUP(Tabla2[[#This Row],[TIENDA]],[1]INFO_LOCALES!$B:$J,9,0)</f>
        <v>CONVENIO</v>
      </c>
      <c r="P534" s="5" t="str">
        <f>IFERROR(VLOOKUP(I534,[1]INFO_LOCALES!$B:$F,5,FALSE),"")</f>
        <v>AGUAS ARAUCANIA S A</v>
      </c>
      <c r="Q534" s="5" t="s">
        <v>214</v>
      </c>
      <c r="R534" s="5" t="s">
        <v>58</v>
      </c>
      <c r="S534" s="6">
        <v>45783</v>
      </c>
      <c r="T534" s="5" t="str">
        <f>UPPER(IF(Tabla2[[#This Row],[FECHA DE MUESTREO ]]=0,"",TEXT(Tabla2[[#This Row],[FECHA DE MUESTREO ]],("MMMM"))))</f>
        <v>FEBRERO</v>
      </c>
      <c r="U534" s="6">
        <v>45705</v>
      </c>
      <c r="V534" s="5" t="s">
        <v>59</v>
      </c>
      <c r="W5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34" s="7">
        <f t="shared" si="19"/>
        <v>1</v>
      </c>
      <c r="Y534" s="5">
        <v>2</v>
      </c>
      <c r="Z534" s="12">
        <f>(7.36+7.61+7.88+7.89+8.15+8.26+7.9)/7</f>
        <v>7.8642857142857139</v>
      </c>
      <c r="AA534" s="5">
        <v>1</v>
      </c>
      <c r="AB534" s="12">
        <f>(19.5+19.9+19.9+19.9+20+20.3+20.5)/7</f>
        <v>20</v>
      </c>
      <c r="AC534" s="5">
        <v>4.25</v>
      </c>
      <c r="AD534" s="5">
        <v>2.9</v>
      </c>
      <c r="AE534" s="5">
        <v>38.5</v>
      </c>
      <c r="AF534" s="5">
        <v>0.1</v>
      </c>
      <c r="AG534" s="5">
        <v>29</v>
      </c>
      <c r="AH534" s="5">
        <v>1.08</v>
      </c>
      <c r="AI534" s="5">
        <f t="shared" si="20"/>
        <v>32.400000000000006</v>
      </c>
    </row>
    <row r="535" spans="1:51" x14ac:dyDescent="0.25">
      <c r="A535" s="5" t="s">
        <v>52</v>
      </c>
      <c r="B535" s="5" t="s">
        <v>103</v>
      </c>
      <c r="C535" s="5" t="s">
        <v>77</v>
      </c>
      <c r="F535" s="5" t="s">
        <v>55</v>
      </c>
      <c r="G535" s="5" t="s">
        <v>56</v>
      </c>
      <c r="H535" s="5" t="s">
        <v>57</v>
      </c>
      <c r="I535" s="5">
        <v>46</v>
      </c>
      <c r="J535" s="5" t="str">
        <f>IFERROR(VLOOKUP(I535,[1]INFO_LOCALES!$B:$C,2,FALSE),"")</f>
        <v>CALAMA I</v>
      </c>
      <c r="K535" s="5" t="str">
        <f>IFERROR(VLOOKUP(Tabla2[[#This Row],[TIENDA]],[1]INFO_LOCALES!$B:$D,3,FALSE),"")</f>
        <v>II - Antofagasta</v>
      </c>
      <c r="L535" s="5" t="str">
        <f>IFERROR(VLOOKUP(I535,[1]INFO_LOCALES!$B:$I,8,FALSE),"")</f>
        <v>Calama</v>
      </c>
      <c r="M535" s="5" t="str">
        <f>IFERROR(VLOOKUP(I535,[1]INFO_LOCALES!$B:$H,7,FALSE),"")</f>
        <v>Granaderos 3180</v>
      </c>
      <c r="N535" s="5">
        <f>IFERROR(VLOOKUP(I535,[1]INFO_LOCALES!$B:$E,4,FALSE),"")</f>
        <v>3035</v>
      </c>
      <c r="O535" s="5" t="str">
        <f>VLOOKUP(Tabla2[[#This Row],[TIENDA]],[1]INFO_LOCALES!$B:$J,9,0)</f>
        <v>SIN CONVENIO</v>
      </c>
      <c r="P535" s="5" t="str">
        <f>IFERROR(VLOOKUP(I535,[1]INFO_LOCALES!$B:$F,5,FALSE),"")</f>
        <v>AGUAS DE ANTOFAGASTA S A</v>
      </c>
      <c r="Q535" s="5" t="s">
        <v>105</v>
      </c>
      <c r="R535" s="5" t="s">
        <v>58</v>
      </c>
      <c r="S535" s="6">
        <v>45805</v>
      </c>
      <c r="T535" s="5" t="str">
        <f>UPPER(IF(Tabla2[[#This Row],[FECHA DE MUESTREO ]]=0,"",TEXT(Tabla2[[#This Row],[FECHA DE MUESTREO ]],("MMMM"))))</f>
        <v>ENERO</v>
      </c>
      <c r="U535" s="6">
        <v>45688</v>
      </c>
      <c r="V535" s="5" t="s">
        <v>59</v>
      </c>
      <c r="W5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35" s="7">
        <f t="shared" si="19"/>
        <v>3</v>
      </c>
      <c r="Y535" s="5">
        <v>61</v>
      </c>
      <c r="Z535" s="5">
        <v>7.46</v>
      </c>
      <c r="AA535" s="5">
        <v>0.8</v>
      </c>
      <c r="AB535" s="5">
        <v>16.600000000000001</v>
      </c>
      <c r="AC535" s="5">
        <v>1166</v>
      </c>
      <c r="AD535" s="5">
        <v>2.7</v>
      </c>
      <c r="AE535" s="5">
        <v>11.07</v>
      </c>
      <c r="AF535" s="5">
        <v>12</v>
      </c>
      <c r="AG535" s="5">
        <v>245</v>
      </c>
      <c r="AH535" s="5">
        <v>35.991999999999997</v>
      </c>
      <c r="AI535" s="5">
        <f t="shared" si="20"/>
        <v>1079.76</v>
      </c>
      <c r="AX535" s="5">
        <v>73</v>
      </c>
      <c r="AY535" s="5">
        <v>1.05</v>
      </c>
    </row>
    <row r="536" spans="1:51" x14ac:dyDescent="0.25">
      <c r="A536" s="5" t="s">
        <v>52</v>
      </c>
      <c r="B536" s="5" t="s">
        <v>82</v>
      </c>
      <c r="C536" s="5" t="s">
        <v>77</v>
      </c>
      <c r="F536" s="5" t="s">
        <v>55</v>
      </c>
      <c r="G536" s="5" t="s">
        <v>65</v>
      </c>
      <c r="H536" s="5" t="s">
        <v>57</v>
      </c>
      <c r="I536" s="5">
        <v>14</v>
      </c>
      <c r="J536" s="5" t="str">
        <f>IFERROR(VLOOKUP(I536,[1]INFO_LOCALES!$B:$C,2,FALSE),"")</f>
        <v>COPIAPO</v>
      </c>
      <c r="K536" s="5" t="str">
        <f>IFERROR(VLOOKUP(Tabla2[[#This Row],[TIENDA]],[1]INFO_LOCALES!$B:$D,3,FALSE),"")</f>
        <v>III - Atacama</v>
      </c>
      <c r="L536" s="5" t="str">
        <f>IFERROR(VLOOKUP(I536,[1]INFO_LOCALES!$B:$I,8,FALSE),"")</f>
        <v>Copiapó</v>
      </c>
      <c r="M536" s="5" t="str">
        <f>IFERROR(VLOOKUP(I536,[1]INFO_LOCALES!$B:$H,7,FALSE),"")</f>
        <v>Av. Henrriquez N° 523</v>
      </c>
      <c r="N536" s="5">
        <f>IFERROR(VLOOKUP(I536,[1]INFO_LOCALES!$B:$E,4,FALSE),"")</f>
        <v>0</v>
      </c>
      <c r="O536" s="5" t="str">
        <f>VLOOKUP(Tabla2[[#This Row],[TIENDA]],[1]INFO_LOCALES!$B:$J,9,0)</f>
        <v>CONVENIO</v>
      </c>
      <c r="P536" s="5" t="str">
        <f>IFERROR(VLOOKUP(I536,[1]INFO_LOCALES!$B:$F,5,FALSE),"")</f>
        <v>NUEVA ATACAMA</v>
      </c>
      <c r="Q536" s="5" t="s">
        <v>85</v>
      </c>
      <c r="R536" s="5" t="s">
        <v>86</v>
      </c>
      <c r="S536" s="6"/>
      <c r="T536" s="5" t="str">
        <f>UPPER(IF(Tabla2[[#This Row],[FECHA DE MUESTREO ]]=0,"",TEXT(Tabla2[[#This Row],[FECHA DE MUESTREO ]],("MMMM"))))</f>
        <v>MAYO</v>
      </c>
      <c r="U536" s="6">
        <v>45796</v>
      </c>
      <c r="V536" s="5" t="s">
        <v>59</v>
      </c>
      <c r="W5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36" s="7">
        <f t="shared" si="19"/>
        <v>1</v>
      </c>
      <c r="Y536" s="5">
        <v>11</v>
      </c>
      <c r="Z536" s="5">
        <v>7.08</v>
      </c>
      <c r="AA536" s="5">
        <v>5</v>
      </c>
      <c r="AB536" s="5">
        <v>23.1</v>
      </c>
      <c r="AC536" s="5">
        <v>266</v>
      </c>
      <c r="AD536" s="5">
        <v>8.6</v>
      </c>
      <c r="AE536" s="5">
        <v>23.65</v>
      </c>
      <c r="AF536" s="5">
        <v>0.5</v>
      </c>
      <c r="AG536" s="5">
        <v>31.6</v>
      </c>
      <c r="AH536" s="5">
        <v>0.57999999999999996</v>
      </c>
      <c r="AI536" s="5">
        <f t="shared" si="20"/>
        <v>17.399999999999999</v>
      </c>
    </row>
    <row r="537" spans="1:51" x14ac:dyDescent="0.25">
      <c r="A537" s="5" t="s">
        <v>52</v>
      </c>
      <c r="B537" s="5" t="s">
        <v>82</v>
      </c>
      <c r="C537" s="5" t="s">
        <v>77</v>
      </c>
      <c r="F537" s="5" t="s">
        <v>55</v>
      </c>
      <c r="G537" s="5" t="s">
        <v>65</v>
      </c>
      <c r="H537" s="5" t="s">
        <v>57</v>
      </c>
      <c r="I537" s="5">
        <v>23</v>
      </c>
      <c r="J537" s="5" t="str">
        <f>IFERROR(VLOOKUP(I537,[1]INFO_LOCALES!$B:$C,2,FALSE),"")</f>
        <v>LOS CARRERAS</v>
      </c>
      <c r="K537" s="5" t="str">
        <f>IFERROR(VLOOKUP(Tabla2[[#This Row],[TIENDA]],[1]INFO_LOCALES!$B:$D,3,FALSE),"")</f>
        <v>III - Atacama</v>
      </c>
      <c r="L537" s="5" t="str">
        <f>IFERROR(VLOOKUP(I537,[1]INFO_LOCALES!$B:$I,8,FALSE),"")</f>
        <v>Copiapó</v>
      </c>
      <c r="M537" s="5" t="str">
        <f>IFERROR(VLOOKUP(I537,[1]INFO_LOCALES!$B:$H,7,FALSE),"")</f>
        <v>Los Carrera 479</v>
      </c>
      <c r="N537" s="5">
        <f>IFERROR(VLOOKUP(I537,[1]INFO_LOCALES!$B:$E,4,FALSE),"")</f>
        <v>0</v>
      </c>
      <c r="O537" s="5" t="str">
        <f>VLOOKUP(Tabla2[[#This Row],[TIENDA]],[1]INFO_LOCALES!$B:$J,9,0)</f>
        <v>SIN CONVENIO</v>
      </c>
      <c r="P537" s="5" t="str">
        <f>IFERROR(VLOOKUP(I537,[1]INFO_LOCALES!$B:$F,5,FALSE),"")</f>
        <v>NUEVA ATACAMA</v>
      </c>
      <c r="Q537" s="5" t="s">
        <v>85</v>
      </c>
      <c r="R537" s="5" t="s">
        <v>86</v>
      </c>
      <c r="S537" s="6"/>
      <c r="T537" s="5" t="str">
        <f>UPPER(IF(Tabla2[[#This Row],[FECHA DE MUESTREO ]]=0,"",TEXT(Tabla2[[#This Row],[FECHA DE MUESTREO ]],("MMMM"))))</f>
        <v>MAYO</v>
      </c>
      <c r="U537" s="6">
        <v>45792</v>
      </c>
      <c r="V537" s="5" t="s">
        <v>59</v>
      </c>
      <c r="W537" s="5" t="s">
        <v>213</v>
      </c>
      <c r="X537" s="7">
        <v>3</v>
      </c>
      <c r="Y537" s="5">
        <v>7.5</v>
      </c>
      <c r="Z537" s="5">
        <v>7.69</v>
      </c>
      <c r="AA537" s="5">
        <v>14</v>
      </c>
      <c r="AB537" s="5">
        <v>10.199999999999999</v>
      </c>
      <c r="AC537" s="5">
        <v>327</v>
      </c>
      <c r="AD537" s="5">
        <v>8.1</v>
      </c>
      <c r="AE537" s="5">
        <v>12.75</v>
      </c>
      <c r="AF537" s="5">
        <v>1.2</v>
      </c>
      <c r="AG537" s="5">
        <v>185</v>
      </c>
      <c r="AH537" s="5">
        <v>0.38</v>
      </c>
      <c r="AI537" s="5">
        <f t="shared" si="20"/>
        <v>11.4</v>
      </c>
    </row>
    <row r="538" spans="1:51" x14ac:dyDescent="0.25">
      <c r="A538" s="5" t="s">
        <v>52</v>
      </c>
      <c r="B538" s="5" t="s">
        <v>82</v>
      </c>
      <c r="C538" s="5" t="s">
        <v>77</v>
      </c>
      <c r="F538" s="5" t="s">
        <v>55</v>
      </c>
      <c r="G538" s="5" t="s">
        <v>65</v>
      </c>
      <c r="H538" s="5" t="s">
        <v>57</v>
      </c>
      <c r="I538" s="5">
        <v>24</v>
      </c>
      <c r="J538" s="5" t="str">
        <f>IFERROR(VLOOKUP(I538,[1]INFO_LOCALES!$B:$C,2,FALSE),"")</f>
        <v>CHACABUCO</v>
      </c>
      <c r="K538" s="5" t="str">
        <f>IFERROR(VLOOKUP(Tabla2[[#This Row],[TIENDA]],[1]INFO_LOCALES!$B:$D,3,FALSE),"")</f>
        <v>III - Atacama</v>
      </c>
      <c r="L538" s="5" t="str">
        <f>IFERROR(VLOOKUP(I538,[1]INFO_LOCALES!$B:$I,8,FALSE),"")</f>
        <v>Copiapó</v>
      </c>
      <c r="M538" s="5" t="str">
        <f>IFERROR(VLOOKUP(I538,[1]INFO_LOCALES!$B:$H,7,FALSE),"")</f>
        <v>Los Carreras  586</v>
      </c>
      <c r="N538" s="5">
        <f>IFERROR(VLOOKUP(I538,[1]INFO_LOCALES!$B:$E,4,FALSE),"")</f>
        <v>0</v>
      </c>
      <c r="O538" s="5" t="str">
        <f>VLOOKUP(Tabla2[[#This Row],[TIENDA]],[1]INFO_LOCALES!$B:$J,9,0)</f>
        <v>SIN CONVENIO</v>
      </c>
      <c r="P538" s="5" t="str">
        <f>IFERROR(VLOOKUP(I538,[1]INFO_LOCALES!$B:$F,5,FALSE),"")</f>
        <v>NUEVA ATACAMA</v>
      </c>
      <c r="Q538" s="5" t="s">
        <v>85</v>
      </c>
      <c r="R538" s="5" t="s">
        <v>86</v>
      </c>
      <c r="S538" s="6"/>
      <c r="T538" s="5" t="str">
        <f>UPPER(IF(Tabla2[[#This Row],[FECHA DE MUESTREO ]]=0,"",TEXT(Tabla2[[#This Row],[FECHA DE MUESTREO ]],("MMMM"))))</f>
        <v>MAYO</v>
      </c>
      <c r="U538" s="6">
        <v>45793</v>
      </c>
      <c r="V538" s="5" t="s">
        <v>59</v>
      </c>
      <c r="W5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38" s="7">
        <f>IF(W538="CUMPLE",1,IF(W538="CUMPLE CON TOLERANCIA",2,IF(W538="NO CUMPLE",3)))</f>
        <v>3</v>
      </c>
      <c r="Y538" s="5">
        <v>5.4</v>
      </c>
      <c r="Z538" s="5">
        <v>7.16</v>
      </c>
      <c r="AA538" s="5">
        <v>33</v>
      </c>
      <c r="AB538" s="5">
        <v>18</v>
      </c>
      <c r="AC538" s="5">
        <v>175</v>
      </c>
      <c r="AD538" s="5">
        <v>2</v>
      </c>
      <c r="AE538" s="5">
        <v>7.88</v>
      </c>
      <c r="AF538" s="5">
        <v>0.5</v>
      </c>
      <c r="AG538" s="5">
        <v>41</v>
      </c>
      <c r="AH538" s="5">
        <v>0.45</v>
      </c>
      <c r="AI538" s="5">
        <f t="shared" si="20"/>
        <v>13.5</v>
      </c>
    </row>
    <row r="539" spans="1:51" x14ac:dyDescent="0.25">
      <c r="A539" s="5" t="s">
        <v>52</v>
      </c>
      <c r="B539" s="5" t="s">
        <v>82</v>
      </c>
      <c r="C539" s="5" t="s">
        <v>77</v>
      </c>
      <c r="F539" s="5" t="s">
        <v>55</v>
      </c>
      <c r="G539" s="5" t="s">
        <v>61</v>
      </c>
      <c r="H539" s="5" t="s">
        <v>57</v>
      </c>
      <c r="I539" s="5">
        <v>25</v>
      </c>
      <c r="J539" s="5" t="str">
        <f>IFERROR(VLOOKUP(I539,[1]INFO_LOCALES!$B:$C,2,FALSE),"")</f>
        <v>EL PALOMAR</v>
      </c>
      <c r="K539" s="5" t="str">
        <f>IFERROR(VLOOKUP(Tabla2[[#This Row],[TIENDA]],[1]INFO_LOCALES!$B:$D,3,FALSE),"")</f>
        <v>III - Atacama</v>
      </c>
      <c r="L539" s="5" t="str">
        <f>IFERROR(VLOOKUP(I539,[1]INFO_LOCALES!$B:$I,8,FALSE),"")</f>
        <v>Copiapó</v>
      </c>
      <c r="M539" s="5" t="str">
        <f>IFERROR(VLOOKUP(I539,[1]INFO_LOCALES!$B:$H,7,FALSE),"")</f>
        <v>Av. Palomar 1525</v>
      </c>
      <c r="N539" s="5">
        <f>IFERROR(VLOOKUP(I539,[1]INFO_LOCALES!$B:$E,4,FALSE),"")</f>
        <v>3868</v>
      </c>
      <c r="O539" s="5" t="str">
        <f>VLOOKUP(Tabla2[[#This Row],[TIENDA]],[1]INFO_LOCALES!$B:$J,9,0)</f>
        <v>TERMINADO</v>
      </c>
      <c r="P539" s="5" t="str">
        <f>IFERROR(VLOOKUP(I539,[1]INFO_LOCALES!$B:$F,5,FALSE),"")</f>
        <v>NUEVA ATACAMA</v>
      </c>
      <c r="Q539" s="5" t="s">
        <v>85</v>
      </c>
      <c r="R539" s="5" t="s">
        <v>86</v>
      </c>
      <c r="S539" s="6"/>
      <c r="T539" s="5" t="str">
        <f>UPPER(IF(Tabla2[[#This Row],[FECHA DE MUESTREO ]]=0,"",TEXT(Tabla2[[#This Row],[FECHA DE MUESTREO ]],("MMMM"))))</f>
        <v>MAYO</v>
      </c>
      <c r="U539" s="6">
        <v>45796</v>
      </c>
      <c r="V539" s="5" t="s">
        <v>59</v>
      </c>
      <c r="W5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39" s="7">
        <f>IF(W539="CUMPLE",1,IF(W539="CUMPLE CON TOLERANCIA",2,IF(W539="NO CUMPLE",3)))</f>
        <v>1</v>
      </c>
      <c r="Y539" s="5">
        <v>56.9</v>
      </c>
      <c r="Z539" s="5">
        <v>7.38</v>
      </c>
      <c r="AA539" s="5">
        <v>2</v>
      </c>
      <c r="AB539" s="5">
        <v>23.57</v>
      </c>
      <c r="AC539" s="5">
        <v>142</v>
      </c>
      <c r="AD539" s="5">
        <v>6.3</v>
      </c>
      <c r="AE539" s="5">
        <v>78.58</v>
      </c>
      <c r="AF539" s="5">
        <v>0.5</v>
      </c>
      <c r="AG539" s="5">
        <v>25.5</v>
      </c>
      <c r="AH539" s="5">
        <v>1.2</v>
      </c>
      <c r="AI539" s="5">
        <f t="shared" si="20"/>
        <v>36</v>
      </c>
    </row>
    <row r="540" spans="1:51" x14ac:dyDescent="0.25">
      <c r="A540" s="5" t="s">
        <v>52</v>
      </c>
      <c r="B540" s="5" t="s">
        <v>82</v>
      </c>
      <c r="C540" s="5" t="s">
        <v>77</v>
      </c>
      <c r="F540" s="5" t="s">
        <v>55</v>
      </c>
      <c r="G540" s="5" t="s">
        <v>65</v>
      </c>
      <c r="H540" s="5" t="s">
        <v>57</v>
      </c>
      <c r="I540" s="5">
        <v>32</v>
      </c>
      <c r="J540" s="5" t="str">
        <f>IFERROR(VLOOKUP(I540,[1]INFO_LOCALES!$B:$C,2,FALSE),"")</f>
        <v>CHAÑARCILLO</v>
      </c>
      <c r="K540" s="5" t="str">
        <f>IFERROR(VLOOKUP(Tabla2[[#This Row],[TIENDA]],[1]INFO_LOCALES!$B:$D,3,FALSE),"")</f>
        <v>III - Atacama</v>
      </c>
      <c r="L540" s="5" t="str">
        <f>IFERROR(VLOOKUP(I540,[1]INFO_LOCALES!$B:$I,8,FALSE),"")</f>
        <v>Copiapó</v>
      </c>
      <c r="M540" s="5" t="str">
        <f>IFERROR(VLOOKUP(I540,[1]INFO_LOCALES!$B:$H,7,FALSE),"")</f>
        <v>Chacabuco Nº 231</v>
      </c>
      <c r="N540" s="5">
        <f>IFERROR(VLOOKUP(I540,[1]INFO_LOCALES!$B:$E,4,FALSE),"")</f>
        <v>0</v>
      </c>
      <c r="O540" s="5" t="str">
        <f>VLOOKUP(Tabla2[[#This Row],[TIENDA]],[1]INFO_LOCALES!$B:$J,9,0)</f>
        <v>CONVENIO</v>
      </c>
      <c r="P540" s="5" t="str">
        <f>IFERROR(VLOOKUP(I540,[1]INFO_LOCALES!$B:$F,5,FALSE),"")</f>
        <v>NUEVA ATACAMA</v>
      </c>
      <c r="Q540" s="5" t="s">
        <v>85</v>
      </c>
      <c r="R540" s="5" t="s">
        <v>86</v>
      </c>
      <c r="S540" s="6"/>
      <c r="T540" s="5" t="str">
        <f>UPPER(IF(Tabla2[[#This Row],[FECHA DE MUESTREO ]]=0,"",TEXT(Tabla2[[#This Row],[FECHA DE MUESTREO ]],("MMMM"))))</f>
        <v>MAYO</v>
      </c>
      <c r="U540" s="6">
        <v>45796</v>
      </c>
      <c r="V540" s="5" t="s">
        <v>59</v>
      </c>
      <c r="W5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40" s="7">
        <f>IF(W540="CUMPLE",1,IF(W540="CUMPLE CON TOLERANCIA",2,IF(W540="NO CUMPLE",3)))</f>
        <v>1</v>
      </c>
      <c r="Y540" s="5">
        <v>20</v>
      </c>
      <c r="Z540" s="5">
        <v>7.6</v>
      </c>
      <c r="AA540" s="5">
        <v>4</v>
      </c>
      <c r="AB540" s="5">
        <v>21.2</v>
      </c>
      <c r="AC540" s="5">
        <v>236</v>
      </c>
      <c r="AD540" s="5">
        <v>8.3000000000000007</v>
      </c>
      <c r="AE540" s="5">
        <v>61.33</v>
      </c>
      <c r="AF540" s="5">
        <v>0.7</v>
      </c>
      <c r="AG540" s="5">
        <v>73.3</v>
      </c>
      <c r="AH540" s="5">
        <f ca="1">Tabla2[[#This Row],[VOLUMEN DE DESCARGA MENSUAL (M3/M)]]*30</f>
        <v>0</v>
      </c>
      <c r="AI540" s="5">
        <f t="shared" ca="1" si="20"/>
        <v>0</v>
      </c>
    </row>
    <row r="541" spans="1:51" x14ac:dyDescent="0.25">
      <c r="A541" s="5" t="s">
        <v>52</v>
      </c>
      <c r="B541" s="5" t="s">
        <v>76</v>
      </c>
      <c r="C541" s="5" t="s">
        <v>77</v>
      </c>
      <c r="F541" s="5" t="s">
        <v>55</v>
      </c>
      <c r="G541" s="5" t="s">
        <v>61</v>
      </c>
      <c r="H541" s="5" t="s">
        <v>57</v>
      </c>
      <c r="I541" s="5">
        <v>103</v>
      </c>
      <c r="J541" s="5" t="str">
        <f>IFERROR(VLOOKUP(I541,[1]INFO_LOCALES!$B:$C,2,FALSE),"")</f>
        <v>VIVAR</v>
      </c>
      <c r="K541" s="5" t="str">
        <f>IFERROR(VLOOKUP(Tabla2[[#This Row],[TIENDA]],[1]INFO_LOCALES!$B:$D,3,FALSE),"")</f>
        <v>I - Tarapacá</v>
      </c>
      <c r="L541" s="5" t="str">
        <f>IFERROR(VLOOKUP(I541,[1]INFO_LOCALES!$B:$I,8,FALSE),"")</f>
        <v>Iquique</v>
      </c>
      <c r="M541" s="5" t="str">
        <f>IFERROR(VLOOKUP(I541,[1]INFO_LOCALES!$B:$H,7,FALSE),"")</f>
        <v>Vivar 786</v>
      </c>
      <c r="N541" s="5">
        <f>IFERROR(VLOOKUP(I541,[1]INFO_LOCALES!$B:$E,4,FALSE),"")</f>
        <v>4420</v>
      </c>
      <c r="O541" s="5" t="str">
        <f>VLOOKUP(Tabla2[[#This Row],[TIENDA]],[1]INFO_LOCALES!$B:$J,9,0)</f>
        <v>CONVENIO</v>
      </c>
      <c r="P541" s="5" t="str">
        <f>IFERROR(VLOOKUP(I541,[1]INFO_LOCALES!$B:$F,5,FALSE),"")</f>
        <v>AGUAS DEL ALTIPLANO S.A.</v>
      </c>
      <c r="Q541" s="5" t="s">
        <v>85</v>
      </c>
      <c r="R541" s="5" t="s">
        <v>86</v>
      </c>
      <c r="S541" s="6"/>
      <c r="T541" s="5" t="str">
        <f>UPPER(IF(Tabla2[[#This Row],[FECHA DE MUESTREO ]]=0,"",TEXT(Tabla2[[#This Row],[FECHA DE MUESTREO ]],("MMMM"))))</f>
        <v>MAYO</v>
      </c>
      <c r="U541" s="6">
        <v>45790</v>
      </c>
      <c r="V541" s="5" t="s">
        <v>59</v>
      </c>
      <c r="W5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41" s="7">
        <v>3</v>
      </c>
      <c r="Y541" s="5">
        <v>32</v>
      </c>
      <c r="Z541" s="5">
        <v>6.8</v>
      </c>
      <c r="AA541" s="5">
        <v>9</v>
      </c>
      <c r="AB541" s="5">
        <v>21.88</v>
      </c>
      <c r="AC541" s="5">
        <v>529</v>
      </c>
      <c r="AD541" s="5">
        <v>12.5</v>
      </c>
      <c r="AE541" s="5">
        <v>60.88</v>
      </c>
      <c r="AF541" s="5">
        <v>0.5</v>
      </c>
      <c r="AG541" s="5">
        <v>147</v>
      </c>
      <c r="AH541" s="5">
        <v>0.34</v>
      </c>
      <c r="AI541" s="5">
        <f t="shared" si="20"/>
        <v>10.200000000000001</v>
      </c>
    </row>
    <row r="542" spans="1:51" x14ac:dyDescent="0.25">
      <c r="A542" s="5" t="s">
        <v>60</v>
      </c>
      <c r="B542" s="5" t="e">
        <v>#N/A</v>
      </c>
      <c r="C542" s="5" t="e">
        <v>#N/A</v>
      </c>
      <c r="F542" s="5" t="s">
        <v>55</v>
      </c>
      <c r="G542" s="5" t="s">
        <v>61</v>
      </c>
      <c r="H542" s="5" t="s">
        <v>57</v>
      </c>
      <c r="I542" s="5">
        <v>3014</v>
      </c>
      <c r="J542" s="5" t="str">
        <f>IFERROR(VLOOKUP(I542,[1]INFO_LOCALES!$B:$C,2,FALSE),"")</f>
        <v>M10 SAN FERNANDO</v>
      </c>
      <c r="K542" s="5" t="str">
        <f>IFERROR(VLOOKUP(Tabla2[[#This Row],[TIENDA]],[1]INFO_LOCALES!$B:$D,3,FALSE),"")</f>
        <v>VI - O'Higgins</v>
      </c>
      <c r="L542" s="5" t="str">
        <f>IFERROR(VLOOKUP(I542,[1]INFO_LOCALES!$B:$I,8,FALSE),"")</f>
        <v>San Fernando</v>
      </c>
      <c r="M542" s="5" t="str">
        <f>IFERROR(VLOOKUP(I542,[1]INFO_LOCALES!$B:$H,7,FALSE),"")</f>
        <v>Chillan 745</v>
      </c>
      <c r="N542" s="5">
        <f>IFERROR(VLOOKUP(I542,[1]INFO_LOCALES!$B:$E,4,FALSE),"")</f>
        <v>1298</v>
      </c>
      <c r="O542" s="5" t="str">
        <f>VLOOKUP(Tabla2[[#This Row],[TIENDA]],[1]INFO_LOCALES!$B:$J,9,0)</f>
        <v>TERMINADO</v>
      </c>
      <c r="P542" s="5" t="str">
        <f>IFERROR(VLOOKUP(I542,[1]INFO_LOCALES!$B:$F,5,FALSE),"")</f>
        <v>ESSBIO S.A.</v>
      </c>
      <c r="Q542" s="5" t="s">
        <v>85</v>
      </c>
      <c r="R542" s="5" t="s">
        <v>86</v>
      </c>
      <c r="S542" s="6"/>
      <c r="T542" s="5" t="str">
        <f>UPPER(IF(Tabla2[[#This Row],[FECHA DE MUESTREO ]]=0,"",TEXT(Tabla2[[#This Row],[FECHA DE MUESTREO ]],("MMMM"))))</f>
        <v>MAYO</v>
      </c>
      <c r="U542" s="6">
        <v>45785</v>
      </c>
      <c r="V542" s="5" t="s">
        <v>59</v>
      </c>
      <c r="W5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42" s="7">
        <f t="shared" ref="X542:X557" si="21">IF(W542="CUMPLE",1,IF(W542="CUMPLE CON TOLERANCIA",2,IF(W542="NO CUMPLE",3)))</f>
        <v>1</v>
      </c>
      <c r="Y542" s="5">
        <v>15.4</v>
      </c>
      <c r="Z542" s="5">
        <v>7.54</v>
      </c>
      <c r="AA542" s="5">
        <v>6</v>
      </c>
      <c r="AB542" s="5">
        <v>14.13</v>
      </c>
      <c r="AC542" s="5">
        <v>232</v>
      </c>
      <c r="AD542" s="5">
        <v>10.9</v>
      </c>
      <c r="AE542" s="5">
        <v>46.07</v>
      </c>
      <c r="AF542" s="5">
        <v>0.5</v>
      </c>
      <c r="AG542" s="5">
        <v>128</v>
      </c>
      <c r="AH542" s="5">
        <v>0.72</v>
      </c>
      <c r="AI542" s="5">
        <f t="shared" si="20"/>
        <v>21.599999999999998</v>
      </c>
    </row>
    <row r="543" spans="1:51" x14ac:dyDescent="0.25">
      <c r="A543" s="5" t="s">
        <v>52</v>
      </c>
      <c r="B543" s="5" t="s">
        <v>82</v>
      </c>
      <c r="C543" s="5" t="s">
        <v>77</v>
      </c>
      <c r="F543" s="5" t="s">
        <v>55</v>
      </c>
      <c r="G543" s="5" t="s">
        <v>61</v>
      </c>
      <c r="H543" s="5" t="s">
        <v>57</v>
      </c>
      <c r="I543" s="5">
        <v>22</v>
      </c>
      <c r="J543" s="5" t="str">
        <f>IFERROR(VLOOKUP(I543,[1]INFO_LOCALES!$B:$C,2,FALSE),"")</f>
        <v>ATACAMA</v>
      </c>
      <c r="K543" s="5" t="str">
        <f>IFERROR(VLOOKUP(Tabla2[[#This Row],[TIENDA]],[1]INFO_LOCALES!$B:$D,3,FALSE),"")</f>
        <v>III - Atacama</v>
      </c>
      <c r="L543" s="5" t="str">
        <f>IFERROR(VLOOKUP(I543,[1]INFO_LOCALES!$B:$I,8,FALSE),"")</f>
        <v>Copiapó</v>
      </c>
      <c r="M543" s="5" t="str">
        <f>IFERROR(VLOOKUP(I543,[1]INFO_LOCALES!$B:$H,7,FALSE),"")</f>
        <v>Los Carreras 2242</v>
      </c>
      <c r="N543" s="5">
        <f>IFERROR(VLOOKUP(I543,[1]INFO_LOCALES!$B:$E,4,FALSE),"")</f>
        <v>2666</v>
      </c>
      <c r="O543" s="5" t="str">
        <f>VLOOKUP(Tabla2[[#This Row],[TIENDA]],[1]INFO_LOCALES!$B:$J,9,0)</f>
        <v>CONVENIO</v>
      </c>
      <c r="P543" s="5" t="str">
        <f>IFERROR(VLOOKUP(I543,[1]INFO_LOCALES!$B:$F,5,FALSE),"")</f>
        <v>NUEVA ATACAMA</v>
      </c>
      <c r="Q543" s="5" t="s">
        <v>85</v>
      </c>
      <c r="R543" s="5" t="s">
        <v>86</v>
      </c>
      <c r="S543" s="6"/>
      <c r="T543" s="5" t="str">
        <f>UPPER(IF(Tabla2[[#This Row],[FECHA DE MUESTREO ]]=0,"",TEXT(Tabla2[[#This Row],[FECHA DE MUESTREO ]],("MMMM"))))</f>
        <v>MAYO</v>
      </c>
      <c r="U543" s="6">
        <v>45799</v>
      </c>
      <c r="V543" s="5" t="s">
        <v>59</v>
      </c>
      <c r="W5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43" s="7">
        <f t="shared" si="21"/>
        <v>2</v>
      </c>
      <c r="Y543" s="5">
        <v>30.3</v>
      </c>
      <c r="Z543" s="5">
        <v>7.33</v>
      </c>
      <c r="AA543" s="5">
        <v>3</v>
      </c>
      <c r="AB543" s="5">
        <v>21.2</v>
      </c>
      <c r="AC543" s="5">
        <v>426</v>
      </c>
      <c r="AD543" s="5">
        <v>11.9</v>
      </c>
      <c r="AE543" s="5">
        <v>71.56</v>
      </c>
      <c r="AF543" s="5">
        <v>0.7</v>
      </c>
      <c r="AG543" s="5">
        <v>166</v>
      </c>
      <c r="AH543" s="5">
        <v>0.6</v>
      </c>
      <c r="AI543" s="5">
        <f t="shared" si="20"/>
        <v>18</v>
      </c>
    </row>
    <row r="544" spans="1:51" x14ac:dyDescent="0.25">
      <c r="A544" s="5" t="s">
        <v>52</v>
      </c>
      <c r="B544" s="5" t="s">
        <v>128</v>
      </c>
      <c r="C544" s="5" t="s">
        <v>77</v>
      </c>
      <c r="F544" s="5" t="s">
        <v>55</v>
      </c>
      <c r="G544" s="5" t="s">
        <v>61</v>
      </c>
      <c r="H544" s="5" t="s">
        <v>57</v>
      </c>
      <c r="I544" s="5">
        <v>17</v>
      </c>
      <c r="J544" s="5" t="str">
        <f>IFERROR(VLOOKUP(I544,[1]INFO_LOCALES!$B:$C,2,FALSE),"")</f>
        <v>LOS ALAMOS</v>
      </c>
      <c r="K544" s="5" t="str">
        <f>IFERROR(VLOOKUP(Tabla2[[#This Row],[TIENDA]],[1]INFO_LOCALES!$B:$D,3,FALSE),"")</f>
        <v>IV - Coquimbo</v>
      </c>
      <c r="L544" s="5" t="str">
        <f>IFERROR(VLOOKUP(I544,[1]INFO_LOCALES!$B:$I,8,FALSE),"")</f>
        <v>Coquimbo</v>
      </c>
      <c r="M544" s="5" t="str">
        <f>IFERROR(VLOOKUP(I544,[1]INFO_LOCALES!$B:$H,7,FALSE),"")</f>
        <v>Los Alamos 580</v>
      </c>
      <c r="N544" s="5">
        <f>IFERROR(VLOOKUP(I544,[1]INFO_LOCALES!$B:$E,4,FALSE),"")</f>
        <v>2643</v>
      </c>
      <c r="O544" s="5" t="str">
        <f>VLOOKUP(Tabla2[[#This Row],[TIENDA]],[1]INFO_LOCALES!$B:$J,9,0)</f>
        <v>TERMINADO</v>
      </c>
      <c r="P544" s="5" t="str">
        <f>IFERROR(VLOOKUP(I544,[1]INFO_LOCALES!$B:$F,5,FALSE),"")</f>
        <v>AGUAS DEL VALLE S A</v>
      </c>
      <c r="Q544" s="5" t="s">
        <v>85</v>
      </c>
      <c r="R544" s="5" t="s">
        <v>86</v>
      </c>
      <c r="S544" s="6"/>
      <c r="T544" s="5" t="str">
        <f>UPPER(IF(Tabla2[[#This Row],[FECHA DE MUESTREO ]]=0,"",TEXT(Tabla2[[#This Row],[FECHA DE MUESTREO ]],("MMMM"))))</f>
        <v>ABRIL</v>
      </c>
      <c r="U544" s="6">
        <v>45768</v>
      </c>
      <c r="V544" s="5" t="s">
        <v>59</v>
      </c>
      <c r="W5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44" s="7">
        <f t="shared" si="21"/>
        <v>1</v>
      </c>
      <c r="Y544" s="5">
        <v>3.7</v>
      </c>
      <c r="Z544" s="5">
        <v>8.0399999999999991</v>
      </c>
      <c r="AA544" s="5">
        <v>2</v>
      </c>
      <c r="AB544" s="5">
        <v>18.55</v>
      </c>
      <c r="AC544" s="5">
        <v>93</v>
      </c>
      <c r="AD544" s="5">
        <v>3.1</v>
      </c>
      <c r="AE544" s="5">
        <v>13.88</v>
      </c>
      <c r="AF544" s="5">
        <v>0.5</v>
      </c>
      <c r="AG544" s="5">
        <v>50</v>
      </c>
      <c r="AH544" s="5">
        <v>0.85</v>
      </c>
      <c r="AI544" s="5">
        <f t="shared" si="20"/>
        <v>25.5</v>
      </c>
    </row>
    <row r="545" spans="1:51" x14ac:dyDescent="0.25">
      <c r="A545" s="5" t="s">
        <v>52</v>
      </c>
      <c r="B545" s="5" t="s">
        <v>128</v>
      </c>
      <c r="C545" s="5" t="s">
        <v>77</v>
      </c>
      <c r="F545" s="5" t="s">
        <v>55</v>
      </c>
      <c r="G545" s="5" t="s">
        <v>61</v>
      </c>
      <c r="H545" s="5" t="s">
        <v>57</v>
      </c>
      <c r="I545" s="5">
        <v>17</v>
      </c>
      <c r="J545" s="5" t="str">
        <f>IFERROR(VLOOKUP(I545,[1]INFO_LOCALES!$B:$C,2,FALSE),"")</f>
        <v>LOS ALAMOS</v>
      </c>
      <c r="K545" s="5" t="str">
        <f>IFERROR(VLOOKUP(Tabla2[[#This Row],[TIENDA]],[1]INFO_LOCALES!$B:$D,3,FALSE),"")</f>
        <v>IV - Coquimbo</v>
      </c>
      <c r="L545" s="5" t="str">
        <f>IFERROR(VLOOKUP(I545,[1]INFO_LOCALES!$B:$I,8,FALSE),"")</f>
        <v>Coquimbo</v>
      </c>
      <c r="M545" s="5" t="str">
        <f>IFERROR(VLOOKUP(I545,[1]INFO_LOCALES!$B:$H,7,FALSE),"")</f>
        <v>Los Alamos 580</v>
      </c>
      <c r="N545" s="5">
        <f>IFERROR(VLOOKUP(I545,[1]INFO_LOCALES!$B:$E,4,FALSE),"")</f>
        <v>2643</v>
      </c>
      <c r="O545" s="5" t="str">
        <f>VLOOKUP(Tabla2[[#This Row],[TIENDA]],[1]INFO_LOCALES!$B:$J,9,0)</f>
        <v>TERMINADO</v>
      </c>
      <c r="P545" s="5" t="str">
        <f>IFERROR(VLOOKUP(I545,[1]INFO_LOCALES!$B:$F,5,FALSE),"")</f>
        <v>AGUAS DEL VALLE S A</v>
      </c>
      <c r="Q545" s="5" t="s">
        <v>85</v>
      </c>
      <c r="R545" s="5" t="s">
        <v>86</v>
      </c>
      <c r="S545" s="6"/>
      <c r="T545" s="5" t="str">
        <f>UPPER(IF(Tabla2[[#This Row],[FECHA DE MUESTREO ]]=0,"",TEXT(Tabla2[[#This Row],[FECHA DE MUESTREO ]],("MMMM"))))</f>
        <v>ABRIL</v>
      </c>
      <c r="U545" s="6">
        <v>45769</v>
      </c>
      <c r="V545" s="5" t="s">
        <v>59</v>
      </c>
      <c r="W5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45" s="7">
        <f t="shared" si="21"/>
        <v>1</v>
      </c>
      <c r="Y545" s="5">
        <v>3</v>
      </c>
      <c r="Z545" s="5">
        <v>7.85</v>
      </c>
      <c r="AA545" s="5">
        <v>2</v>
      </c>
      <c r="AB545" s="5">
        <v>17.73</v>
      </c>
      <c r="AC545" s="5">
        <v>80</v>
      </c>
      <c r="AD545" s="5">
        <v>3.4</v>
      </c>
      <c r="AE545" s="5">
        <v>28.64</v>
      </c>
      <c r="AF545" s="5">
        <v>0.5</v>
      </c>
      <c r="AG545" s="5">
        <v>27</v>
      </c>
      <c r="AH545" s="5">
        <v>0.8</v>
      </c>
      <c r="AI545" s="5">
        <f t="shared" si="20"/>
        <v>24</v>
      </c>
    </row>
    <row r="546" spans="1:51" x14ac:dyDescent="0.25">
      <c r="A546" s="5" t="s">
        <v>52</v>
      </c>
      <c r="B546" s="5" t="s">
        <v>128</v>
      </c>
      <c r="C546" s="5" t="s">
        <v>77</v>
      </c>
      <c r="F546" s="5" t="s">
        <v>55</v>
      </c>
      <c r="G546" s="5" t="s">
        <v>61</v>
      </c>
      <c r="H546" s="5" t="s">
        <v>57</v>
      </c>
      <c r="I546" s="5">
        <v>17</v>
      </c>
      <c r="J546" s="5" t="str">
        <f>IFERROR(VLOOKUP(I546,[1]INFO_LOCALES!$B:$C,2,FALSE),"")</f>
        <v>LOS ALAMOS</v>
      </c>
      <c r="K546" s="5" t="str">
        <f>IFERROR(VLOOKUP(Tabla2[[#This Row],[TIENDA]],[1]INFO_LOCALES!$B:$D,3,FALSE),"")</f>
        <v>IV - Coquimbo</v>
      </c>
      <c r="L546" s="5" t="str">
        <f>IFERROR(VLOOKUP(I546,[1]INFO_LOCALES!$B:$I,8,FALSE),"")</f>
        <v>Coquimbo</v>
      </c>
      <c r="M546" s="5" t="str">
        <f>IFERROR(VLOOKUP(I546,[1]INFO_LOCALES!$B:$H,7,FALSE),"")</f>
        <v>Los Alamos 580</v>
      </c>
      <c r="N546" s="5">
        <f>IFERROR(VLOOKUP(I546,[1]INFO_LOCALES!$B:$E,4,FALSE),"")</f>
        <v>2643</v>
      </c>
      <c r="O546" s="5" t="str">
        <f>VLOOKUP(Tabla2[[#This Row],[TIENDA]],[1]INFO_LOCALES!$B:$J,9,0)</f>
        <v>TERMINADO</v>
      </c>
      <c r="P546" s="5" t="str">
        <f>IFERROR(VLOOKUP(I546,[1]INFO_LOCALES!$B:$F,5,FALSE),"")</f>
        <v>AGUAS DEL VALLE S A</v>
      </c>
      <c r="Q546" s="5" t="s">
        <v>85</v>
      </c>
      <c r="R546" s="5" t="s">
        <v>86</v>
      </c>
      <c r="S546" s="6"/>
      <c r="T546" s="5" t="str">
        <f>UPPER(IF(Tabla2[[#This Row],[FECHA DE MUESTREO ]]=0,"",TEXT(Tabla2[[#This Row],[FECHA DE MUESTREO ]],("MMMM"))))</f>
        <v>ABRIL</v>
      </c>
      <c r="U546" s="11">
        <v>45770</v>
      </c>
      <c r="V546" s="5" t="s">
        <v>59</v>
      </c>
      <c r="W5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46" s="7">
        <f t="shared" si="21"/>
        <v>1</v>
      </c>
      <c r="Y546" s="5">
        <v>13.5</v>
      </c>
      <c r="Z546" s="5">
        <v>7.9</v>
      </c>
      <c r="AA546" s="5">
        <v>2</v>
      </c>
      <c r="AB546" s="5">
        <v>17.059999999999999</v>
      </c>
      <c r="AC546" s="5">
        <v>96</v>
      </c>
      <c r="AD546" s="5">
        <v>2.9</v>
      </c>
      <c r="AE546" s="5">
        <v>11.76</v>
      </c>
      <c r="AF546" s="5">
        <v>1</v>
      </c>
      <c r="AG546" s="5">
        <v>56.4</v>
      </c>
      <c r="AH546" s="5">
        <v>1.23</v>
      </c>
      <c r="AI546" s="5">
        <f t="shared" si="20"/>
        <v>36.9</v>
      </c>
    </row>
    <row r="547" spans="1:51" x14ac:dyDescent="0.25">
      <c r="A547" s="5" t="s">
        <v>52</v>
      </c>
      <c r="B547" s="5" t="s">
        <v>128</v>
      </c>
      <c r="C547" s="5" t="s">
        <v>77</v>
      </c>
      <c r="F547" s="5" t="s">
        <v>55</v>
      </c>
      <c r="G547" s="5" t="s">
        <v>61</v>
      </c>
      <c r="H547" s="5" t="s">
        <v>57</v>
      </c>
      <c r="I547" s="5">
        <v>17</v>
      </c>
      <c r="J547" s="5" t="str">
        <f>IFERROR(VLOOKUP(I547,[1]INFO_LOCALES!$B:$C,2,FALSE),"")</f>
        <v>LOS ALAMOS</v>
      </c>
      <c r="K547" s="5" t="str">
        <f>IFERROR(VLOOKUP(Tabla2[[#This Row],[TIENDA]],[1]INFO_LOCALES!$B:$D,3,FALSE),"")</f>
        <v>IV - Coquimbo</v>
      </c>
      <c r="L547" s="5" t="str">
        <f>IFERROR(VLOOKUP(I547,[1]INFO_LOCALES!$B:$I,8,FALSE),"")</f>
        <v>Coquimbo</v>
      </c>
      <c r="M547" s="5" t="str">
        <f>IFERROR(VLOOKUP(I547,[1]INFO_LOCALES!$B:$H,7,FALSE),"")</f>
        <v>Los Alamos 580</v>
      </c>
      <c r="N547" s="5">
        <f>IFERROR(VLOOKUP(I547,[1]INFO_LOCALES!$B:$E,4,FALSE),"")</f>
        <v>2643</v>
      </c>
      <c r="O547" s="5" t="str">
        <f>VLOOKUP(Tabla2[[#This Row],[TIENDA]],[1]INFO_LOCALES!$B:$J,9,0)</f>
        <v>TERMINADO</v>
      </c>
      <c r="P547" s="5" t="str">
        <f>IFERROR(VLOOKUP(I547,[1]INFO_LOCALES!$B:$F,5,FALSE),"")</f>
        <v>AGUAS DEL VALLE S A</v>
      </c>
      <c r="Q547" s="5" t="s">
        <v>85</v>
      </c>
      <c r="R547" s="5" t="s">
        <v>86</v>
      </c>
      <c r="S547" s="6"/>
      <c r="T547" s="5" t="str">
        <f>UPPER(IF(Tabla2[[#This Row],[FECHA DE MUESTREO ]]=0,"",TEXT(Tabla2[[#This Row],[FECHA DE MUESTREO ]],("MMMM"))))</f>
        <v>ABRIL</v>
      </c>
      <c r="U547" s="6">
        <v>45771</v>
      </c>
      <c r="V547" s="5" t="s">
        <v>59</v>
      </c>
      <c r="W5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47" s="7">
        <f t="shared" si="21"/>
        <v>1</v>
      </c>
      <c r="Y547" s="5">
        <v>13.5</v>
      </c>
      <c r="Z547" s="5">
        <v>7.89</v>
      </c>
      <c r="AA547" s="5">
        <v>5</v>
      </c>
      <c r="AB547" s="5">
        <v>17.39</v>
      </c>
      <c r="AC547" s="5">
        <v>149</v>
      </c>
      <c r="AD547" s="5">
        <v>4.7</v>
      </c>
      <c r="AE547" s="5">
        <v>32.11</v>
      </c>
      <c r="AF547" s="5">
        <v>0.5</v>
      </c>
      <c r="AG547" s="5">
        <v>73.3</v>
      </c>
      <c r="AH547" s="5">
        <v>1.05</v>
      </c>
      <c r="AI547" s="5">
        <f t="shared" si="20"/>
        <v>31.5</v>
      </c>
    </row>
    <row r="548" spans="1:51" x14ac:dyDescent="0.25">
      <c r="A548" s="5" t="s">
        <v>52</v>
      </c>
      <c r="B548" s="5" t="s">
        <v>128</v>
      </c>
      <c r="C548" s="5" t="s">
        <v>77</v>
      </c>
      <c r="F548" s="5" t="s">
        <v>55</v>
      </c>
      <c r="G548" s="5" t="s">
        <v>61</v>
      </c>
      <c r="H548" s="5" t="s">
        <v>57</v>
      </c>
      <c r="I548" s="5">
        <v>17</v>
      </c>
      <c r="J548" s="5" t="str">
        <f>IFERROR(VLOOKUP(I548,[1]INFO_LOCALES!$B:$C,2,FALSE),"")</f>
        <v>LOS ALAMOS</v>
      </c>
      <c r="K548" s="5" t="str">
        <f>IFERROR(VLOOKUP(Tabla2[[#This Row],[TIENDA]],[1]INFO_LOCALES!$B:$D,3,FALSE),"")</f>
        <v>IV - Coquimbo</v>
      </c>
      <c r="L548" s="5" t="str">
        <f>IFERROR(VLOOKUP(I548,[1]INFO_LOCALES!$B:$I,8,FALSE),"")</f>
        <v>Coquimbo</v>
      </c>
      <c r="M548" s="5" t="str">
        <f>IFERROR(VLOOKUP(I548,[1]INFO_LOCALES!$B:$H,7,FALSE),"")</f>
        <v>Los Alamos 580</v>
      </c>
      <c r="N548" s="5">
        <f>IFERROR(VLOOKUP(I548,[1]INFO_LOCALES!$B:$E,4,FALSE),"")</f>
        <v>2643</v>
      </c>
      <c r="O548" s="5" t="str">
        <f>VLOOKUP(Tabla2[[#This Row],[TIENDA]],[1]INFO_LOCALES!$B:$J,9,0)</f>
        <v>TERMINADO</v>
      </c>
      <c r="P548" s="5" t="str">
        <f>IFERROR(VLOOKUP(I548,[1]INFO_LOCALES!$B:$F,5,FALSE),"")</f>
        <v>AGUAS DEL VALLE S A</v>
      </c>
      <c r="Q548" s="5" t="s">
        <v>85</v>
      </c>
      <c r="R548" s="5" t="s">
        <v>86</v>
      </c>
      <c r="S548" s="6"/>
      <c r="T548" s="5" t="str">
        <f>UPPER(IF(Tabla2[[#This Row],[FECHA DE MUESTREO ]]=0,"",TEXT(Tabla2[[#This Row],[FECHA DE MUESTREO ]],("MMMM"))))</f>
        <v>ABRIL</v>
      </c>
      <c r="U548" s="6">
        <v>45772</v>
      </c>
      <c r="V548" s="5" t="s">
        <v>59</v>
      </c>
      <c r="W5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48" s="7">
        <f t="shared" si="21"/>
        <v>1</v>
      </c>
      <c r="Y548" s="5">
        <v>12.6</v>
      </c>
      <c r="Z548" s="5">
        <v>7.96</v>
      </c>
      <c r="AA548" s="5">
        <v>2</v>
      </c>
      <c r="AB548" s="5">
        <v>17.46</v>
      </c>
      <c r="AC548" s="5">
        <v>106</v>
      </c>
      <c r="AD548" s="5">
        <v>4.9000000000000004</v>
      </c>
      <c r="AE548" s="5">
        <v>23.8</v>
      </c>
      <c r="AF548" s="5">
        <v>0.5</v>
      </c>
      <c r="AG548" s="5">
        <v>67</v>
      </c>
      <c r="AH548" s="5">
        <v>0.9</v>
      </c>
      <c r="AI548" s="5">
        <f t="shared" si="20"/>
        <v>27</v>
      </c>
    </row>
    <row r="549" spans="1:51" x14ac:dyDescent="0.25">
      <c r="A549" s="5" t="s">
        <v>52</v>
      </c>
      <c r="B549" s="5" t="s">
        <v>128</v>
      </c>
      <c r="C549" s="5" t="s">
        <v>77</v>
      </c>
      <c r="F549" s="5" t="s">
        <v>55</v>
      </c>
      <c r="G549" s="5" t="s">
        <v>61</v>
      </c>
      <c r="H549" s="5" t="s">
        <v>57</v>
      </c>
      <c r="I549" s="5">
        <v>17</v>
      </c>
      <c r="J549" s="5" t="str">
        <f>IFERROR(VLOOKUP(I549,[1]INFO_LOCALES!$B:$C,2,FALSE),"")</f>
        <v>LOS ALAMOS</v>
      </c>
      <c r="K549" s="5" t="str">
        <f>IFERROR(VLOOKUP(Tabla2[[#This Row],[TIENDA]],[1]INFO_LOCALES!$B:$D,3,FALSE),"")</f>
        <v>IV - Coquimbo</v>
      </c>
      <c r="L549" s="5" t="str">
        <f>IFERROR(VLOOKUP(I549,[1]INFO_LOCALES!$B:$I,8,FALSE),"")</f>
        <v>Coquimbo</v>
      </c>
      <c r="M549" s="5" t="str">
        <f>IFERROR(VLOOKUP(I549,[1]INFO_LOCALES!$B:$H,7,FALSE),"")</f>
        <v>Los Alamos 580</v>
      </c>
      <c r="N549" s="5">
        <f>IFERROR(VLOOKUP(I549,[1]INFO_LOCALES!$B:$E,4,FALSE),"")</f>
        <v>2643</v>
      </c>
      <c r="O549" s="5" t="str">
        <f>VLOOKUP(Tabla2[[#This Row],[TIENDA]],[1]INFO_LOCALES!$B:$J,9,0)</f>
        <v>TERMINADO</v>
      </c>
      <c r="P549" s="5" t="str">
        <f>IFERROR(VLOOKUP(I549,[1]INFO_LOCALES!$B:$F,5,FALSE),"")</f>
        <v>AGUAS DEL VALLE S A</v>
      </c>
      <c r="Q549" s="5" t="s">
        <v>85</v>
      </c>
      <c r="R549" s="5" t="s">
        <v>86</v>
      </c>
      <c r="S549" s="6"/>
      <c r="T549" s="5" t="str">
        <f>UPPER(IF(Tabla2[[#This Row],[FECHA DE MUESTREO ]]=0,"",TEXT(Tabla2[[#This Row],[FECHA DE MUESTREO ]],("MMMM"))))</f>
        <v>ABRIL</v>
      </c>
      <c r="U549" s="6">
        <v>45775</v>
      </c>
      <c r="V549" s="5" t="s">
        <v>59</v>
      </c>
      <c r="W5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49" s="7">
        <f t="shared" si="21"/>
        <v>1</v>
      </c>
      <c r="Y549" s="5">
        <v>9</v>
      </c>
      <c r="Z549" s="5">
        <v>7.83</v>
      </c>
      <c r="AA549" s="5">
        <v>2</v>
      </c>
      <c r="AB549" s="5">
        <v>17.760000000000002</v>
      </c>
      <c r="AC549" s="5">
        <v>88</v>
      </c>
      <c r="AD549" s="5">
        <v>3.1</v>
      </c>
      <c r="AE549" s="5">
        <v>12.48</v>
      </c>
      <c r="AF549" s="5">
        <v>0.5</v>
      </c>
      <c r="AG549" s="5">
        <v>29.2</v>
      </c>
      <c r="AH549" s="5">
        <v>0.89</v>
      </c>
      <c r="AI549" s="5">
        <f t="shared" si="20"/>
        <v>26.7</v>
      </c>
    </row>
    <row r="550" spans="1:51" x14ac:dyDescent="0.25">
      <c r="A550" s="5" t="s">
        <v>52</v>
      </c>
      <c r="B550" s="5" t="s">
        <v>128</v>
      </c>
      <c r="C550" s="5" t="s">
        <v>77</v>
      </c>
      <c r="F550" s="5" t="s">
        <v>55</v>
      </c>
      <c r="G550" s="5" t="s">
        <v>61</v>
      </c>
      <c r="H550" s="5" t="s">
        <v>57</v>
      </c>
      <c r="I550" s="5">
        <v>17</v>
      </c>
      <c r="J550" s="5" t="str">
        <f>IFERROR(VLOOKUP(I550,[1]INFO_LOCALES!$B:$C,2,FALSE),"")</f>
        <v>LOS ALAMOS</v>
      </c>
      <c r="K550" s="5" t="str">
        <f>IFERROR(VLOOKUP(Tabla2[[#This Row],[TIENDA]],[1]INFO_LOCALES!$B:$D,3,FALSE),"")</f>
        <v>IV - Coquimbo</v>
      </c>
      <c r="L550" s="5" t="str">
        <f>IFERROR(VLOOKUP(I550,[1]INFO_LOCALES!$B:$I,8,FALSE),"")</f>
        <v>Coquimbo</v>
      </c>
      <c r="M550" s="5" t="str">
        <f>IFERROR(VLOOKUP(I550,[1]INFO_LOCALES!$B:$H,7,FALSE),"")</f>
        <v>Los Alamos 580</v>
      </c>
      <c r="N550" s="5">
        <f>IFERROR(VLOOKUP(I550,[1]INFO_LOCALES!$B:$E,4,FALSE),"")</f>
        <v>2643</v>
      </c>
      <c r="O550" s="5" t="str">
        <f>VLOOKUP(Tabla2[[#This Row],[TIENDA]],[1]INFO_LOCALES!$B:$J,9,0)</f>
        <v>TERMINADO</v>
      </c>
      <c r="P550" s="5" t="str">
        <f>IFERROR(VLOOKUP(I550,[1]INFO_LOCALES!$B:$F,5,FALSE),"")</f>
        <v>AGUAS DEL VALLE S A</v>
      </c>
      <c r="Q550" s="5" t="s">
        <v>85</v>
      </c>
      <c r="R550" s="5" t="s">
        <v>86</v>
      </c>
      <c r="S550" s="6"/>
      <c r="T550" s="5" t="str">
        <f>UPPER(IF(Tabla2[[#This Row],[FECHA DE MUESTREO ]]=0,"",TEXT(Tabla2[[#This Row],[FECHA DE MUESTREO ]],("MMMM"))))</f>
        <v>MAYO</v>
      </c>
      <c r="U550" s="11">
        <v>45781</v>
      </c>
      <c r="V550" s="5" t="s">
        <v>59</v>
      </c>
      <c r="W5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50" s="7">
        <f t="shared" si="21"/>
        <v>1</v>
      </c>
      <c r="Y550" s="5">
        <v>8.6999999999999993</v>
      </c>
      <c r="Z550" s="5">
        <v>7.92</v>
      </c>
      <c r="AA550" s="5">
        <v>3</v>
      </c>
      <c r="AB550" s="5">
        <v>17.02</v>
      </c>
      <c r="AC550" s="5">
        <v>133</v>
      </c>
      <c r="AD550" s="5">
        <v>5.5</v>
      </c>
      <c r="AE550" s="5">
        <v>35.42</v>
      </c>
      <c r="AF550" s="5">
        <v>1.5</v>
      </c>
      <c r="AG550" s="5">
        <v>58</v>
      </c>
      <c r="AH550" s="5">
        <v>0.89</v>
      </c>
      <c r="AI550" s="5">
        <f t="shared" si="20"/>
        <v>26.7</v>
      </c>
    </row>
    <row r="551" spans="1:51" x14ac:dyDescent="0.25">
      <c r="A551" s="5" t="s">
        <v>52</v>
      </c>
      <c r="B551" s="5" t="s">
        <v>128</v>
      </c>
      <c r="C551" s="5" t="s">
        <v>77</v>
      </c>
      <c r="F551" s="5" t="s">
        <v>55</v>
      </c>
      <c r="G551" s="5" t="s">
        <v>61</v>
      </c>
      <c r="H551" s="5" t="s">
        <v>57</v>
      </c>
      <c r="I551" s="5">
        <v>17</v>
      </c>
      <c r="J551" s="5" t="str">
        <f>IFERROR(VLOOKUP(I551,[1]INFO_LOCALES!$B:$C,2,FALSE),"")</f>
        <v>LOS ALAMOS</v>
      </c>
      <c r="K551" s="5" t="str">
        <f>IFERROR(VLOOKUP(Tabla2[[#This Row],[TIENDA]],[1]INFO_LOCALES!$B:$D,3,FALSE),"")</f>
        <v>IV - Coquimbo</v>
      </c>
      <c r="L551" s="5" t="str">
        <f>IFERROR(VLOOKUP(I551,[1]INFO_LOCALES!$B:$I,8,FALSE),"")</f>
        <v>Coquimbo</v>
      </c>
      <c r="M551" s="5" t="str">
        <f>IFERROR(VLOOKUP(I551,[1]INFO_LOCALES!$B:$H,7,FALSE),"")</f>
        <v>Los Alamos 580</v>
      </c>
      <c r="N551" s="5">
        <f>IFERROR(VLOOKUP(I551,[1]INFO_LOCALES!$B:$E,4,FALSE),"")</f>
        <v>2643</v>
      </c>
      <c r="O551" s="5" t="str">
        <f>VLOOKUP(Tabla2[[#This Row],[TIENDA]],[1]INFO_LOCALES!$B:$J,9,0)</f>
        <v>TERMINADO</v>
      </c>
      <c r="P551" s="5" t="str">
        <f>IFERROR(VLOOKUP(I551,[1]INFO_LOCALES!$B:$F,5,FALSE),"")</f>
        <v>AGUAS DEL VALLE S A</v>
      </c>
      <c r="Q551" s="5" t="s">
        <v>85</v>
      </c>
      <c r="R551" s="5" t="s">
        <v>86</v>
      </c>
      <c r="S551" s="6"/>
      <c r="T551" s="5" t="str">
        <f>UPPER(IF(Tabla2[[#This Row],[FECHA DE MUESTREO ]]=0,"",TEXT(Tabla2[[#This Row],[FECHA DE MUESTREO ]],("MMMM"))))</f>
        <v>MAYO</v>
      </c>
      <c r="U551" s="6">
        <v>45796</v>
      </c>
      <c r="V551" s="5" t="s">
        <v>59</v>
      </c>
      <c r="W5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51" s="7">
        <f t="shared" si="21"/>
        <v>1</v>
      </c>
      <c r="Y551" s="5">
        <v>9.6</v>
      </c>
      <c r="Z551" s="5">
        <v>7.94</v>
      </c>
      <c r="AA551" s="5">
        <v>6</v>
      </c>
      <c r="AB551" s="5">
        <v>17.04</v>
      </c>
      <c r="AC551" s="5">
        <v>189</v>
      </c>
      <c r="AD551" s="5">
        <v>6.2</v>
      </c>
      <c r="AE551" s="5">
        <v>21.33</v>
      </c>
      <c r="AF551" s="5">
        <v>0.5</v>
      </c>
      <c r="AG551" s="5">
        <v>58.5</v>
      </c>
      <c r="AH551" s="5">
        <v>0.9</v>
      </c>
      <c r="AI551" s="5">
        <f t="shared" si="20"/>
        <v>27</v>
      </c>
    </row>
    <row r="552" spans="1:51" x14ac:dyDescent="0.25">
      <c r="A552" s="5" t="s">
        <v>52</v>
      </c>
      <c r="B552" s="5" t="s">
        <v>103</v>
      </c>
      <c r="C552" s="5" t="s">
        <v>77</v>
      </c>
      <c r="F552" s="5" t="s">
        <v>55</v>
      </c>
      <c r="G552" s="5" t="s">
        <v>65</v>
      </c>
      <c r="H552" s="5" t="s">
        <v>57</v>
      </c>
      <c r="I552" s="5">
        <v>28</v>
      </c>
      <c r="J552" s="5" t="str">
        <f>IFERROR(VLOOKUP(I552,[1]INFO_LOCALES!$B:$C,2,FALSE),"")</f>
        <v>PARQUE</v>
      </c>
      <c r="K552" s="5" t="str">
        <f>IFERROR(VLOOKUP(Tabla2[[#This Row],[TIENDA]],[1]INFO_LOCALES!$B:$D,3,FALSE),"")</f>
        <v>II - Antofagasta</v>
      </c>
      <c r="L552" s="5" t="str">
        <f>IFERROR(VLOOKUP(I552,[1]INFO_LOCALES!$B:$I,8,FALSE),"")</f>
        <v>Antofagasta</v>
      </c>
      <c r="M552" s="5" t="str">
        <f>IFERROR(VLOOKUP(I552,[1]INFO_LOCALES!$B:$H,7,FALSE),"")</f>
        <v>Av. Jose Miguel Carrera 1527</v>
      </c>
      <c r="N552" s="5">
        <f>IFERROR(VLOOKUP(I552,[1]INFO_LOCALES!$B:$E,4,FALSE),"")</f>
        <v>0</v>
      </c>
      <c r="O552" s="5" t="str">
        <f>VLOOKUP(Tabla2[[#This Row],[TIENDA]],[1]INFO_LOCALES!$B:$J,9,0)</f>
        <v>SIN CONVENIO</v>
      </c>
      <c r="P552" s="5" t="str">
        <f>IFERROR(VLOOKUP(I552,[1]INFO_LOCALES!$B:$F,5,FALSE),"")</f>
        <v>AGUAS DE ANTOFAGASTA S A</v>
      </c>
      <c r="Q552" s="5" t="s">
        <v>105</v>
      </c>
      <c r="R552" s="5" t="s">
        <v>58</v>
      </c>
      <c r="S552" s="6">
        <v>45819</v>
      </c>
      <c r="T552" s="5" t="str">
        <f>UPPER(IF(Tabla2[[#This Row],[FECHA DE MUESTREO ]]=0,"",TEXT(Tabla2[[#This Row],[FECHA DE MUESTREO ]],("MMMM"))))</f>
        <v>FEBRERO</v>
      </c>
      <c r="U552" s="6">
        <v>45716</v>
      </c>
      <c r="V552" s="5" t="s">
        <v>59</v>
      </c>
      <c r="W5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52" s="7">
        <f t="shared" si="21"/>
        <v>1</v>
      </c>
      <c r="Y552" s="5">
        <v>14</v>
      </c>
      <c r="Z552" s="5">
        <v>7.29</v>
      </c>
      <c r="AA552" s="5">
        <v>0.8</v>
      </c>
      <c r="AB552" s="5">
        <v>24.7</v>
      </c>
      <c r="AC552" s="5">
        <v>30</v>
      </c>
      <c r="AD552" s="5">
        <v>0.71</v>
      </c>
      <c r="AE552" s="5">
        <v>2.37</v>
      </c>
      <c r="AF552" s="5">
        <v>0.2</v>
      </c>
      <c r="AG552" s="5">
        <v>36</v>
      </c>
      <c r="AH552" s="5">
        <v>2.3119999999999998</v>
      </c>
      <c r="AI552" s="5">
        <f t="shared" si="20"/>
        <v>69.36</v>
      </c>
      <c r="AY552" s="5">
        <v>0.03</v>
      </c>
    </row>
    <row r="553" spans="1:51" x14ac:dyDescent="0.25">
      <c r="A553" s="5" t="s">
        <v>52</v>
      </c>
      <c r="B553" s="5" t="s">
        <v>73</v>
      </c>
      <c r="C553" s="5" t="s">
        <v>74</v>
      </c>
      <c r="F553" s="5" t="s">
        <v>55</v>
      </c>
      <c r="G553" s="5" t="s">
        <v>65</v>
      </c>
      <c r="H553" s="5" t="s">
        <v>57</v>
      </c>
      <c r="I553" s="5">
        <v>441</v>
      </c>
      <c r="J553" s="5" t="str">
        <f>IFERROR(VLOOKUP(I553,[1]INFO_LOCALES!$B:$C,2,FALSE),"")</f>
        <v>AYSEN</v>
      </c>
      <c r="K553" s="5" t="str">
        <f>IFERROR(VLOOKUP(Tabla2[[#This Row],[TIENDA]],[1]INFO_LOCALES!$B:$D,3,FALSE),"")</f>
        <v>XI - Aysén</v>
      </c>
      <c r="L553" s="5" t="str">
        <f>IFERROR(VLOOKUP(I553,[1]INFO_LOCALES!$B:$I,8,FALSE),"")</f>
        <v>Aysén</v>
      </c>
      <c r="M553" s="5" t="str">
        <f>IFERROR(VLOOKUP(I553,[1]INFO_LOCALES!$B:$H,7,FALSE),"")</f>
        <v>Carrera  1500</v>
      </c>
      <c r="N553" s="5">
        <f>IFERROR(VLOOKUP(I553,[1]INFO_LOCALES!$B:$E,4,FALSE),"")</f>
        <v>0</v>
      </c>
      <c r="O553" s="5" t="str">
        <f>VLOOKUP(Tabla2[[#This Row],[TIENDA]],[1]INFO_LOCALES!$B:$J,9,0)</f>
        <v>SIN CONVENIO</v>
      </c>
      <c r="P553" s="5" t="str">
        <f>IFERROR(VLOOKUP(I553,[1]INFO_LOCALES!$B:$F,5,FALSE),"")</f>
        <v>AGUAS PATAGONIA</v>
      </c>
      <c r="Q553" s="5" t="s">
        <v>144</v>
      </c>
      <c r="R553" s="5" t="s">
        <v>58</v>
      </c>
      <c r="S553" s="6">
        <v>45819</v>
      </c>
      <c r="T553" s="5" t="str">
        <f>UPPER(IF(Tabla2[[#This Row],[FECHA DE MUESTREO ]]=0,"",TEXT(Tabla2[[#This Row],[FECHA DE MUESTREO ]],("MMMM"))))</f>
        <v>ABRIL</v>
      </c>
      <c r="U553" s="6">
        <v>45749</v>
      </c>
      <c r="V553" s="5" t="s">
        <v>59</v>
      </c>
      <c r="W5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53" s="7">
        <f t="shared" si="21"/>
        <v>1</v>
      </c>
      <c r="Y553" s="5">
        <v>9.8000000000000007</v>
      </c>
      <c r="Z553" s="5">
        <v>7.07</v>
      </c>
      <c r="AA553" s="5">
        <v>2</v>
      </c>
      <c r="AB553" s="5">
        <v>10.199999999999999</v>
      </c>
      <c r="AC553" s="5">
        <v>110</v>
      </c>
      <c r="AD553" s="5">
        <v>2.2999999999999998</v>
      </c>
      <c r="AE553" s="5">
        <v>5.2</v>
      </c>
      <c r="AF553" s="5">
        <v>1</v>
      </c>
      <c r="AG553" s="5">
        <v>15</v>
      </c>
      <c r="AH553" s="5">
        <v>63.6</v>
      </c>
      <c r="AI553" s="5">
        <f t="shared" si="20"/>
        <v>1908</v>
      </c>
    </row>
    <row r="554" spans="1:51" x14ac:dyDescent="0.25">
      <c r="A554" s="5" t="s">
        <v>52</v>
      </c>
      <c r="B554" s="5" t="s">
        <v>82</v>
      </c>
      <c r="C554" s="5" t="s">
        <v>77</v>
      </c>
      <c r="F554" s="5" t="s">
        <v>55</v>
      </c>
      <c r="G554" s="5" t="s">
        <v>65</v>
      </c>
      <c r="H554" s="5" t="s">
        <v>57</v>
      </c>
      <c r="I554" s="5">
        <v>7</v>
      </c>
      <c r="J554" s="5" t="str">
        <f>IFERROR(VLOOKUP(I554,[1]INFO_LOCALES!$B:$C,2,FALSE),"")</f>
        <v>VALLENAR I</v>
      </c>
      <c r="K554" s="5" t="str">
        <f>IFERROR(VLOOKUP(Tabla2[[#This Row],[TIENDA]],[1]INFO_LOCALES!$B:$D,3,FALSE),"")</f>
        <v>III - Atacama</v>
      </c>
      <c r="L554" s="5" t="str">
        <f>IFERROR(VLOOKUP(I554,[1]INFO_LOCALES!$B:$I,8,FALSE),"")</f>
        <v>Vallenar</v>
      </c>
      <c r="M554" s="5" t="str">
        <f>IFERROR(VLOOKUP(I554,[1]INFO_LOCALES!$B:$H,7,FALSE),"")</f>
        <v>Brasil 663</v>
      </c>
      <c r="N554" s="5">
        <f>IFERROR(VLOOKUP(I554,[1]INFO_LOCALES!$B:$E,4,FALSE),"")</f>
        <v>0</v>
      </c>
      <c r="O554" s="5" t="str">
        <f>VLOOKUP(Tabla2[[#This Row],[TIENDA]],[1]INFO_LOCALES!$B:$J,9,0)</f>
        <v>CONVENIO</v>
      </c>
      <c r="P554" s="5" t="str">
        <f>IFERROR(VLOOKUP(I554,[1]INFO_LOCALES!$B:$F,5,FALSE),"")</f>
        <v>NUEVA ATACAMA</v>
      </c>
      <c r="Q554" s="5" t="s">
        <v>85</v>
      </c>
      <c r="R554" s="5" t="s">
        <v>86</v>
      </c>
      <c r="S554" s="6"/>
      <c r="T554" s="5" t="str">
        <f>UPPER(IF(Tabla2[[#This Row],[FECHA DE MUESTREO ]]=0,"",TEXT(Tabla2[[#This Row],[FECHA DE MUESTREO ]],("MMMM"))))</f>
        <v>MAYO</v>
      </c>
      <c r="U554" s="6">
        <v>45803</v>
      </c>
      <c r="V554" s="5" t="s">
        <v>59</v>
      </c>
      <c r="W5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54" s="7">
        <f t="shared" si="21"/>
        <v>2</v>
      </c>
      <c r="Y554" s="5">
        <v>16.600000000000001</v>
      </c>
      <c r="Z554" s="5">
        <v>7.19</v>
      </c>
      <c r="AA554" s="5">
        <v>3</v>
      </c>
      <c r="AB554" s="5">
        <v>21.01</v>
      </c>
      <c r="AC554" s="5">
        <v>570</v>
      </c>
      <c r="AD554" s="5">
        <v>11</v>
      </c>
      <c r="AE554" s="5">
        <v>56.98</v>
      </c>
      <c r="AF554" s="5">
        <v>0.5</v>
      </c>
      <c r="AG554" s="5">
        <v>141</v>
      </c>
      <c r="AH554" s="5">
        <v>0.66</v>
      </c>
      <c r="AI554" s="5">
        <f t="shared" si="20"/>
        <v>19.8</v>
      </c>
    </row>
    <row r="555" spans="1:51" x14ac:dyDescent="0.25">
      <c r="A555" s="5" t="s">
        <v>52</v>
      </c>
      <c r="B555" s="5" t="s">
        <v>128</v>
      </c>
      <c r="C555" s="5" t="s">
        <v>77</v>
      </c>
      <c r="D555" s="5">
        <v>2025</v>
      </c>
      <c r="F555" s="5" t="s">
        <v>55</v>
      </c>
      <c r="G555" s="5" t="s">
        <v>65</v>
      </c>
      <c r="H555" s="5" t="s">
        <v>57</v>
      </c>
      <c r="I555" s="5">
        <v>11</v>
      </c>
      <c r="J555" s="5" t="str">
        <f>IFERROR(VLOOKUP(I555,[1]INFO_LOCALES!$B:$C,2,FALSE),"")</f>
        <v>ALTO PEÑUELAS</v>
      </c>
      <c r="K555" s="5" t="str">
        <f>IFERROR(VLOOKUP(Tabla2[[#This Row],[TIENDA]],[1]INFO_LOCALES!$B:$D,3,FALSE),"")</f>
        <v>IV - Coquimbo</v>
      </c>
      <c r="L555" s="5" t="str">
        <f>IFERROR(VLOOKUP(I555,[1]INFO_LOCALES!$B:$I,8,FALSE),"")</f>
        <v>Coquimbo</v>
      </c>
      <c r="M555" s="5" t="str">
        <f>IFERROR(VLOOKUP(I555,[1]INFO_LOCALES!$B:$H,7,FALSE),"")</f>
        <v>Alessandri 531</v>
      </c>
      <c r="N555" s="5">
        <f>IFERROR(VLOOKUP(I555,[1]INFO_LOCALES!$B:$E,4,FALSE),"")</f>
        <v>0</v>
      </c>
      <c r="O555" s="5" t="str">
        <f>VLOOKUP(Tabla2[[#This Row],[TIENDA]],[1]INFO_LOCALES!$B:$J,9,0)</f>
        <v>SIN CONVENIO</v>
      </c>
      <c r="P555" s="5" t="str">
        <f>IFERROR(VLOOKUP(I555,[1]INFO_LOCALES!$B:$F,5,FALSE),"")</f>
        <v>AGUAS DEL VALLE S A</v>
      </c>
      <c r="Q555" s="5" t="s">
        <v>85</v>
      </c>
      <c r="R555" s="5" t="s">
        <v>86</v>
      </c>
      <c r="S555" s="6"/>
      <c r="T555" s="5" t="str">
        <f>UPPER(IF(Tabla2[[#This Row],[FECHA DE MUESTREO ]]=0,"",TEXT(Tabla2[[#This Row],[FECHA DE MUESTREO ]],("MMMM"))))</f>
        <v>MAYO</v>
      </c>
      <c r="U555" s="6">
        <v>45803</v>
      </c>
      <c r="V555" s="5" t="s">
        <v>59</v>
      </c>
      <c r="W5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55" s="7">
        <f t="shared" si="21"/>
        <v>2</v>
      </c>
      <c r="Y555" s="5">
        <v>17.899999999999999</v>
      </c>
      <c r="Z555" s="5">
        <v>8.0399999999999991</v>
      </c>
      <c r="AA555" s="5">
        <v>2</v>
      </c>
      <c r="AB555" s="5">
        <v>16.940000000000001</v>
      </c>
      <c r="AC555" s="5">
        <v>483</v>
      </c>
      <c r="AD555" s="5">
        <v>8.3000000000000007</v>
      </c>
      <c r="AE555" s="5">
        <v>58.87</v>
      </c>
      <c r="AF555" s="5">
        <v>0.5</v>
      </c>
      <c r="AG555" s="5">
        <v>190</v>
      </c>
      <c r="AH555" s="5">
        <v>2.42</v>
      </c>
      <c r="AI555" s="5">
        <f t="shared" si="20"/>
        <v>72.599999999999994</v>
      </c>
    </row>
    <row r="556" spans="1:51" x14ac:dyDescent="0.25">
      <c r="A556" s="5" t="s">
        <v>52</v>
      </c>
      <c r="B556" s="5" t="s">
        <v>82</v>
      </c>
      <c r="C556" s="5" t="s">
        <v>77</v>
      </c>
      <c r="F556" s="5" t="s">
        <v>55</v>
      </c>
      <c r="G556" s="5" t="s">
        <v>65</v>
      </c>
      <c r="H556" s="5" t="s">
        <v>57</v>
      </c>
      <c r="I556" s="5">
        <v>16</v>
      </c>
      <c r="J556" s="5" t="str">
        <f>IFERROR(VLOOKUP(I556,[1]INFO_LOCALES!$B:$C,2,FALSE),"")</f>
        <v>VALLENAR II</v>
      </c>
      <c r="K556" s="5" t="str">
        <f>IFERROR(VLOOKUP(Tabla2[[#This Row],[TIENDA]],[1]INFO_LOCALES!$B:$D,3,FALSE),"")</f>
        <v>III - Atacama</v>
      </c>
      <c r="L556" s="5" t="str">
        <f>IFERROR(VLOOKUP(I556,[1]INFO_LOCALES!$B:$I,8,FALSE),"")</f>
        <v>Vallenar</v>
      </c>
      <c r="M556" s="5" t="str">
        <f>IFERROR(VLOOKUP(I556,[1]INFO_LOCALES!$B:$H,7,FALSE),"")</f>
        <v>Arturo Prat 2350</v>
      </c>
      <c r="N556" s="5">
        <f>IFERROR(VLOOKUP(I556,[1]INFO_LOCALES!$B:$E,4,FALSE),"")</f>
        <v>0</v>
      </c>
      <c r="O556" s="5" t="str">
        <f>VLOOKUP(Tabla2[[#This Row],[TIENDA]],[1]INFO_LOCALES!$B:$J,9,0)</f>
        <v>TERMINADO</v>
      </c>
      <c r="P556" s="5" t="str">
        <f>IFERROR(VLOOKUP(I556,[1]INFO_LOCALES!$B:$F,5,FALSE),"")</f>
        <v>NUEVA ATACAMA</v>
      </c>
      <c r="Q556" s="5" t="s">
        <v>85</v>
      </c>
      <c r="R556" s="5" t="s">
        <v>86</v>
      </c>
      <c r="S556" s="6"/>
      <c r="T556" s="5" t="str">
        <f>UPPER(IF(Tabla2[[#This Row],[FECHA DE MUESTREO ]]=0,"",TEXT(Tabla2[[#This Row],[FECHA DE MUESTREO ]],("MMMM"))))</f>
        <v>MAYO</v>
      </c>
      <c r="U556" s="6">
        <v>45803</v>
      </c>
      <c r="V556" s="5" t="s">
        <v>59</v>
      </c>
      <c r="W5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56" s="7">
        <f t="shared" si="21"/>
        <v>2</v>
      </c>
      <c r="Y556" s="5">
        <v>27.2</v>
      </c>
      <c r="Z556" s="5">
        <v>7.96</v>
      </c>
      <c r="AA556" s="5">
        <v>2</v>
      </c>
      <c r="AB556" s="5">
        <v>27.86</v>
      </c>
      <c r="AC556" s="5">
        <v>437</v>
      </c>
      <c r="AD556" s="5">
        <v>3.2</v>
      </c>
      <c r="AE556" s="5">
        <v>5</v>
      </c>
      <c r="AF556" s="5">
        <v>11</v>
      </c>
      <c r="AG556" s="5">
        <v>190</v>
      </c>
      <c r="AH556" s="5">
        <v>0.3</v>
      </c>
      <c r="AI556" s="5">
        <f t="shared" si="20"/>
        <v>9</v>
      </c>
    </row>
    <row r="557" spans="1:51" x14ac:dyDescent="0.25">
      <c r="A557" s="5" t="s">
        <v>52</v>
      </c>
      <c r="B557" s="5" t="s">
        <v>82</v>
      </c>
      <c r="C557" s="5" t="s">
        <v>77</v>
      </c>
      <c r="F557" s="5" t="s">
        <v>55</v>
      </c>
      <c r="G557" s="5" t="s">
        <v>65</v>
      </c>
      <c r="H557" s="5" t="s">
        <v>57</v>
      </c>
      <c r="I557" s="5">
        <v>14</v>
      </c>
      <c r="J557" s="5" t="str">
        <f>IFERROR(VLOOKUP(I557,[1]INFO_LOCALES!$B:$C,2,FALSE),"")</f>
        <v>COPIAPO</v>
      </c>
      <c r="K557" s="5" t="str">
        <f>IFERROR(VLOOKUP(Tabla2[[#This Row],[TIENDA]],[1]INFO_LOCALES!$B:$D,3,FALSE),"")</f>
        <v>III - Atacama</v>
      </c>
      <c r="L557" s="5" t="str">
        <f>IFERROR(VLOOKUP(I557,[1]INFO_LOCALES!$B:$I,8,FALSE),"")</f>
        <v>Copiapó</v>
      </c>
      <c r="M557" s="5" t="str">
        <f>IFERROR(VLOOKUP(I557,[1]INFO_LOCALES!$B:$H,7,FALSE),"")</f>
        <v>Av. Henrriquez N° 523</v>
      </c>
      <c r="N557" s="5">
        <f>IFERROR(VLOOKUP(I557,[1]INFO_LOCALES!$B:$E,4,FALSE),"")</f>
        <v>0</v>
      </c>
      <c r="O557" s="5" t="str">
        <f>VLOOKUP(Tabla2[[#This Row],[TIENDA]],[1]INFO_LOCALES!$B:$J,9,0)</f>
        <v>CONVENIO</v>
      </c>
      <c r="P557" s="5" t="str">
        <f>IFERROR(VLOOKUP(I557,[1]INFO_LOCALES!$B:$F,5,FALSE),"")</f>
        <v>NUEVA ATACAMA</v>
      </c>
      <c r="Q557" s="5" t="s">
        <v>85</v>
      </c>
      <c r="R557" s="5" t="s">
        <v>86</v>
      </c>
      <c r="S557" s="6"/>
      <c r="T557" s="5" t="str">
        <f>UPPER(IF(Tabla2[[#This Row],[FECHA DE MUESTREO ]]=0,"",TEXT(Tabla2[[#This Row],[FECHA DE MUESTREO ]],("MMMM"))))</f>
        <v>JUNIO</v>
      </c>
      <c r="U557" s="6">
        <v>45812</v>
      </c>
      <c r="V557" s="5" t="s">
        <v>59</v>
      </c>
      <c r="W5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57" s="7">
        <f t="shared" si="21"/>
        <v>1</v>
      </c>
      <c r="Y557" s="5">
        <v>7.8</v>
      </c>
      <c r="Z557" s="5">
        <v>7.04</v>
      </c>
      <c r="AA557" s="5">
        <v>4</v>
      </c>
      <c r="AB557" s="5">
        <v>20.54</v>
      </c>
      <c r="AC557" s="5">
        <v>262</v>
      </c>
      <c r="AD557" s="5">
        <v>6.8</v>
      </c>
      <c r="AE557" s="5">
        <v>18.16</v>
      </c>
      <c r="AF557" s="5">
        <v>0.5</v>
      </c>
      <c r="AG557" s="5">
        <v>33</v>
      </c>
      <c r="AH557" s="5">
        <v>0.86</v>
      </c>
      <c r="AI557" s="5">
        <f t="shared" si="20"/>
        <v>25.8</v>
      </c>
    </row>
    <row r="558" spans="1:51" x14ac:dyDescent="0.25">
      <c r="A558" s="5" t="s">
        <v>52</v>
      </c>
      <c r="B558" s="5" t="s">
        <v>82</v>
      </c>
      <c r="C558" s="5" t="s">
        <v>77</v>
      </c>
      <c r="F558" s="5" t="s">
        <v>55</v>
      </c>
      <c r="G558" s="5" t="s">
        <v>65</v>
      </c>
      <c r="H558" s="5" t="s">
        <v>57</v>
      </c>
      <c r="I558" s="5">
        <v>23</v>
      </c>
      <c r="J558" s="5" t="str">
        <f>IFERROR(VLOOKUP(I558,[1]INFO_LOCALES!$B:$C,2,FALSE),"")</f>
        <v>LOS CARRERAS</v>
      </c>
      <c r="K558" s="5" t="str">
        <f>IFERROR(VLOOKUP(Tabla2[[#This Row],[TIENDA]],[1]INFO_LOCALES!$B:$D,3,FALSE),"")</f>
        <v>III - Atacama</v>
      </c>
      <c r="L558" s="5" t="str">
        <f>IFERROR(VLOOKUP(I558,[1]INFO_LOCALES!$B:$I,8,FALSE),"")</f>
        <v>Copiapó</v>
      </c>
      <c r="M558" s="5" t="str">
        <f>IFERROR(VLOOKUP(I558,[1]INFO_LOCALES!$B:$H,7,FALSE),"")</f>
        <v>Los Carrera 479</v>
      </c>
      <c r="N558" s="5">
        <f>IFERROR(VLOOKUP(I558,[1]INFO_LOCALES!$B:$E,4,FALSE),"")</f>
        <v>0</v>
      </c>
      <c r="O558" s="5" t="str">
        <f>VLOOKUP(Tabla2[[#This Row],[TIENDA]],[1]INFO_LOCALES!$B:$J,9,0)</f>
        <v>SIN CONVENIO</v>
      </c>
      <c r="P558" s="5" t="str">
        <f>IFERROR(VLOOKUP(I558,[1]INFO_LOCALES!$B:$F,5,FALSE),"")</f>
        <v>NUEVA ATACAMA</v>
      </c>
      <c r="Q558" s="5" t="s">
        <v>85</v>
      </c>
      <c r="R558" s="5" t="s">
        <v>86</v>
      </c>
      <c r="S558" s="6"/>
      <c r="T558" s="5" t="str">
        <f>UPPER(IF(Tabla2[[#This Row],[FECHA DE MUESTREO ]]=0,"",TEXT(Tabla2[[#This Row],[FECHA DE MUESTREO ]],("MMMM"))))</f>
        <v>JUNIO</v>
      </c>
      <c r="U558" s="6">
        <v>45817</v>
      </c>
      <c r="V558" s="5" t="s">
        <v>59</v>
      </c>
      <c r="W558" s="5" t="s">
        <v>213</v>
      </c>
      <c r="X558" s="7">
        <v>3</v>
      </c>
      <c r="Y558" s="5">
        <v>14.9</v>
      </c>
      <c r="Z558" s="5">
        <v>7.18</v>
      </c>
      <c r="AA558" s="5">
        <v>11</v>
      </c>
      <c r="AB558" s="5">
        <v>21.25</v>
      </c>
      <c r="AC558" s="5">
        <v>443</v>
      </c>
      <c r="AD558" s="5">
        <v>13.4</v>
      </c>
      <c r="AE558" s="5">
        <v>47.7</v>
      </c>
      <c r="AF558" s="5">
        <v>0.5</v>
      </c>
      <c r="AG558" s="5">
        <v>67</v>
      </c>
      <c r="AH558" s="5">
        <v>0.38</v>
      </c>
      <c r="AI558" s="5">
        <f t="shared" si="20"/>
        <v>11.4</v>
      </c>
    </row>
    <row r="559" spans="1:51" x14ac:dyDescent="0.25">
      <c r="A559" s="5" t="s">
        <v>52</v>
      </c>
      <c r="B559" s="5" t="s">
        <v>82</v>
      </c>
      <c r="C559" s="5" t="s">
        <v>77</v>
      </c>
      <c r="F559" s="5" t="s">
        <v>55</v>
      </c>
      <c r="G559" s="5" t="s">
        <v>65</v>
      </c>
      <c r="H559" s="5" t="s">
        <v>57</v>
      </c>
      <c r="I559" s="5">
        <v>24</v>
      </c>
      <c r="J559" s="5" t="str">
        <f>IFERROR(VLOOKUP(I559,[1]INFO_LOCALES!$B:$C,2,FALSE),"")</f>
        <v>CHACABUCO</v>
      </c>
      <c r="K559" s="5" t="str">
        <f>IFERROR(VLOOKUP(Tabla2[[#This Row],[TIENDA]],[1]INFO_LOCALES!$B:$D,3,FALSE),"")</f>
        <v>III - Atacama</v>
      </c>
      <c r="L559" s="5" t="str">
        <f>IFERROR(VLOOKUP(I559,[1]INFO_LOCALES!$B:$I,8,FALSE),"")</f>
        <v>Copiapó</v>
      </c>
      <c r="M559" s="5" t="str">
        <f>IFERROR(VLOOKUP(I559,[1]INFO_LOCALES!$B:$H,7,FALSE),"")</f>
        <v>Los Carreras  586</v>
      </c>
      <c r="N559" s="5">
        <f>IFERROR(VLOOKUP(I559,[1]INFO_LOCALES!$B:$E,4,FALSE),"")</f>
        <v>0</v>
      </c>
      <c r="O559" s="5" t="str">
        <f>VLOOKUP(Tabla2[[#This Row],[TIENDA]],[1]INFO_LOCALES!$B:$J,9,0)</f>
        <v>SIN CONVENIO</v>
      </c>
      <c r="P559" s="5" t="str">
        <f>IFERROR(VLOOKUP(I559,[1]INFO_LOCALES!$B:$F,5,FALSE),"")</f>
        <v>NUEVA ATACAMA</v>
      </c>
      <c r="Q559" s="5" t="s">
        <v>85</v>
      </c>
      <c r="R559" s="5" t="s">
        <v>86</v>
      </c>
      <c r="S559" s="6"/>
      <c r="T559" s="5" t="str">
        <f>UPPER(IF(Tabla2[[#This Row],[FECHA DE MUESTREO ]]=0,"",TEXT(Tabla2[[#This Row],[FECHA DE MUESTREO ]],("MMMM"))))</f>
        <v>JUNIO</v>
      </c>
      <c r="U559" s="6">
        <v>45818</v>
      </c>
      <c r="V559" s="5" t="s">
        <v>59</v>
      </c>
      <c r="W5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59" s="7">
        <f t="shared" ref="X559:X611" si="22">IF(W559="CUMPLE",1,IF(W559="CUMPLE CON TOLERANCIA",2,IF(W559="NO CUMPLE",3)))</f>
        <v>3</v>
      </c>
      <c r="Y559" s="5">
        <v>19.100000000000001</v>
      </c>
      <c r="Z559" s="5">
        <v>7.01</v>
      </c>
      <c r="AA559" s="5">
        <v>32</v>
      </c>
      <c r="AB559" s="5">
        <v>19.14</v>
      </c>
      <c r="AC559" s="5">
        <v>627</v>
      </c>
      <c r="AD559" s="5">
        <v>3.6</v>
      </c>
      <c r="AE559" s="5">
        <v>5.24</v>
      </c>
      <c r="AF559" s="5">
        <v>0.5</v>
      </c>
      <c r="AG559" s="5">
        <v>220</v>
      </c>
      <c r="AH559" s="5">
        <v>0.34</v>
      </c>
      <c r="AI559" s="5">
        <f t="shared" si="20"/>
        <v>10.200000000000001</v>
      </c>
    </row>
    <row r="560" spans="1:51" x14ac:dyDescent="0.25">
      <c r="A560" s="5" t="s">
        <v>52</v>
      </c>
      <c r="B560" s="5" t="s">
        <v>82</v>
      </c>
      <c r="C560" s="5" t="s">
        <v>77</v>
      </c>
      <c r="F560" s="5" t="s">
        <v>55</v>
      </c>
      <c r="G560" s="5" t="s">
        <v>61</v>
      </c>
      <c r="H560" s="5" t="s">
        <v>57</v>
      </c>
      <c r="I560" s="5">
        <v>25</v>
      </c>
      <c r="J560" s="5" t="str">
        <f>IFERROR(VLOOKUP(I560,[1]INFO_LOCALES!$B:$C,2,FALSE),"")</f>
        <v>EL PALOMAR</v>
      </c>
      <c r="K560" s="5" t="str">
        <f>IFERROR(VLOOKUP(Tabla2[[#This Row],[TIENDA]],[1]INFO_LOCALES!$B:$D,3,FALSE),"")</f>
        <v>III - Atacama</v>
      </c>
      <c r="L560" s="5" t="str">
        <f>IFERROR(VLOOKUP(I560,[1]INFO_LOCALES!$B:$I,8,FALSE),"")</f>
        <v>Copiapó</v>
      </c>
      <c r="M560" s="5" t="str">
        <f>IFERROR(VLOOKUP(I560,[1]INFO_LOCALES!$B:$H,7,FALSE),"")</f>
        <v>Av. Palomar 1525</v>
      </c>
      <c r="N560" s="5">
        <f>IFERROR(VLOOKUP(I560,[1]INFO_LOCALES!$B:$E,4,FALSE),"")</f>
        <v>3868</v>
      </c>
      <c r="O560" s="5" t="str">
        <f>VLOOKUP(Tabla2[[#This Row],[TIENDA]],[1]INFO_LOCALES!$B:$J,9,0)</f>
        <v>TERMINADO</v>
      </c>
      <c r="P560" s="5" t="str">
        <f>IFERROR(VLOOKUP(I560,[1]INFO_LOCALES!$B:$F,5,FALSE),"")</f>
        <v>NUEVA ATACAMA</v>
      </c>
      <c r="Q560" s="5" t="s">
        <v>85</v>
      </c>
      <c r="R560" s="5" t="s">
        <v>86</v>
      </c>
      <c r="S560" s="6"/>
      <c r="T560" s="5" t="str">
        <f>UPPER(IF(Tabla2[[#This Row],[FECHA DE MUESTREO ]]=0,"",TEXT(Tabla2[[#This Row],[FECHA DE MUESTREO ]],("MMMM"))))</f>
        <v>JUNIO</v>
      </c>
      <c r="U560" s="6">
        <v>45817</v>
      </c>
      <c r="V560" s="5" t="s">
        <v>59</v>
      </c>
      <c r="W5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60" s="7">
        <f t="shared" si="22"/>
        <v>1</v>
      </c>
      <c r="Y560" s="5">
        <v>27.4</v>
      </c>
      <c r="Z560" s="5">
        <v>7.44</v>
      </c>
      <c r="AA560" s="5">
        <v>2</v>
      </c>
      <c r="AB560" s="5">
        <v>21.31</v>
      </c>
      <c r="AC560" s="5">
        <v>137</v>
      </c>
      <c r="AD560" s="5">
        <v>4.9000000000000004</v>
      </c>
      <c r="AE560" s="5">
        <v>25.04</v>
      </c>
      <c r="AF560" s="5">
        <v>0.6</v>
      </c>
      <c r="AG560" s="5">
        <v>88</v>
      </c>
      <c r="AH560" s="5">
        <v>0.5</v>
      </c>
      <c r="AI560" s="5">
        <f t="shared" si="20"/>
        <v>15</v>
      </c>
    </row>
    <row r="561" spans="1:51" x14ac:dyDescent="0.25">
      <c r="A561" s="5" t="s">
        <v>52</v>
      </c>
      <c r="B561" s="5" t="s">
        <v>90</v>
      </c>
      <c r="C561" s="5" t="s">
        <v>81</v>
      </c>
      <c r="F561" s="5" t="s">
        <v>55</v>
      </c>
      <c r="G561" s="5" t="s">
        <v>61</v>
      </c>
      <c r="H561" s="5" t="s">
        <v>57</v>
      </c>
      <c r="I561" s="5">
        <v>375</v>
      </c>
      <c r="J561" s="5" t="str">
        <f>IFERROR(VLOOKUP(I561,[1]INFO_LOCALES!$B:$C,2,FALSE),"")</f>
        <v>ARAUCO</v>
      </c>
      <c r="K561" s="5" t="str">
        <f>IFERROR(VLOOKUP(Tabla2[[#This Row],[TIENDA]],[1]INFO_LOCALES!$B:$D,3,FALSE),"")</f>
        <v>XIV - Los Ríos</v>
      </c>
      <c r="L561" s="5" t="str">
        <f>IFERROR(VLOOKUP(I561,[1]INFO_LOCALES!$B:$I,8,FALSE),"")</f>
        <v>Valdivia</v>
      </c>
      <c r="M561" s="5" t="str">
        <f>IFERROR(VLOOKUP(I561,[1]INFO_LOCALES!$B:$H,7,FALSE),"")</f>
        <v>Arauco 697</v>
      </c>
      <c r="N561" s="5">
        <f>IFERROR(VLOOKUP(I561,[1]INFO_LOCALES!$B:$E,4,FALSE),"")</f>
        <v>3420</v>
      </c>
      <c r="O561" s="5" t="str">
        <f>VLOOKUP(Tabla2[[#This Row],[TIENDA]],[1]INFO_LOCALES!$B:$J,9,0)</f>
        <v>CONVENIO</v>
      </c>
      <c r="P561" s="5" t="str">
        <f>IFERROR(VLOOKUP(I561,[1]INFO_LOCALES!$B:$F,5,FALSE),"")</f>
        <v>AGUAS DECIMA S A</v>
      </c>
      <c r="Q561" s="5" t="s">
        <v>85</v>
      </c>
      <c r="R561" s="5" t="s">
        <v>86</v>
      </c>
      <c r="S561" s="6"/>
      <c r="T561" s="5" t="str">
        <f>UPPER(IF(Tabla2[[#This Row],[FECHA DE MUESTREO ]]=0,"",TEXT(Tabla2[[#This Row],[FECHA DE MUESTREO ]],("MMMM"))))</f>
        <v>JUNIO</v>
      </c>
      <c r="U561" s="6">
        <v>45817</v>
      </c>
      <c r="V561" s="5" t="s">
        <v>59</v>
      </c>
      <c r="W5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61" s="7">
        <f t="shared" si="22"/>
        <v>2</v>
      </c>
      <c r="Y561" s="5">
        <v>16</v>
      </c>
      <c r="Z561" s="5">
        <v>6.85</v>
      </c>
      <c r="AA561" s="5">
        <v>2</v>
      </c>
      <c r="AB561" s="5">
        <v>11.26</v>
      </c>
      <c r="AC561" s="5">
        <v>225</v>
      </c>
      <c r="AD561" s="5">
        <v>16.600000000000001</v>
      </c>
      <c r="AE561" s="5">
        <v>16.399999999999999</v>
      </c>
      <c r="AF561" s="5">
        <v>2</v>
      </c>
      <c r="AG561" s="5">
        <v>176</v>
      </c>
      <c r="AH561" s="5">
        <f ca="1">Tabla2[[#This Row],[VOLUMEN DE DESCARGA MENSUAL (M3/M)]]*30</f>
        <v>0</v>
      </c>
      <c r="AI561" s="5">
        <f t="shared" ca="1" si="20"/>
        <v>0</v>
      </c>
    </row>
    <row r="562" spans="1:51" x14ac:dyDescent="0.25">
      <c r="A562" s="5" t="s">
        <v>52</v>
      </c>
      <c r="B562" s="5" t="s">
        <v>90</v>
      </c>
      <c r="C562" s="5" t="s">
        <v>81</v>
      </c>
      <c r="F562" s="5" t="s">
        <v>55</v>
      </c>
      <c r="G562" s="5" t="s">
        <v>61</v>
      </c>
      <c r="H562" s="5" t="s">
        <v>57</v>
      </c>
      <c r="I562" s="5">
        <v>375</v>
      </c>
      <c r="J562" s="5" t="str">
        <f>IFERROR(VLOOKUP(I562,[1]INFO_LOCALES!$B:$C,2,FALSE),"")</f>
        <v>ARAUCO</v>
      </c>
      <c r="K562" s="5" t="str">
        <f>IFERROR(VLOOKUP(Tabla2[[#This Row],[TIENDA]],[1]INFO_LOCALES!$B:$D,3,FALSE),"")</f>
        <v>XIV - Los Ríos</v>
      </c>
      <c r="L562" s="5" t="str">
        <f>IFERROR(VLOOKUP(I562,[1]INFO_LOCALES!$B:$I,8,FALSE),"")</f>
        <v>Valdivia</v>
      </c>
      <c r="M562" s="5" t="str">
        <f>IFERROR(VLOOKUP(I562,[1]INFO_LOCALES!$B:$H,7,FALSE),"")</f>
        <v>Arauco 697</v>
      </c>
      <c r="N562" s="5">
        <f>IFERROR(VLOOKUP(I562,[1]INFO_LOCALES!$B:$E,4,FALSE),"")</f>
        <v>3420</v>
      </c>
      <c r="O562" s="5" t="str">
        <f>VLOOKUP(Tabla2[[#This Row],[TIENDA]],[1]INFO_LOCALES!$B:$J,9,0)</f>
        <v>CONVENIO</v>
      </c>
      <c r="P562" s="5" t="str">
        <f>IFERROR(VLOOKUP(I562,[1]INFO_LOCALES!$B:$F,5,FALSE),"")</f>
        <v>AGUAS DECIMA S A</v>
      </c>
      <c r="Q562" s="5" t="s">
        <v>85</v>
      </c>
      <c r="R562" s="5" t="s">
        <v>86</v>
      </c>
      <c r="S562" s="6"/>
      <c r="T562" s="5" t="str">
        <f>UPPER(IF(Tabla2[[#This Row],[FECHA DE MUESTREO ]]=0,"",TEXT(Tabla2[[#This Row],[FECHA DE MUESTREO ]],("MMMM"))))</f>
        <v>JUNIO</v>
      </c>
      <c r="U562" s="6">
        <v>45817</v>
      </c>
      <c r="V562" s="5" t="s">
        <v>59</v>
      </c>
      <c r="W5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62" s="7">
        <f t="shared" si="22"/>
        <v>1</v>
      </c>
      <c r="Y562" s="5">
        <v>10.5</v>
      </c>
      <c r="Z562" s="5">
        <v>6.69</v>
      </c>
      <c r="AA562" s="5">
        <v>2</v>
      </c>
      <c r="AB562" s="5">
        <v>12</v>
      </c>
      <c r="AC562" s="5">
        <v>112</v>
      </c>
      <c r="AD562" s="5">
        <v>10.3</v>
      </c>
      <c r="AE562" s="5">
        <v>18.100000000000001</v>
      </c>
      <c r="AF562" s="5">
        <v>0.8</v>
      </c>
      <c r="AG562" s="5">
        <v>53</v>
      </c>
      <c r="AH562" s="5">
        <f ca="1">Tabla2[[#This Row],[VOLUMEN DE DESCARGA MENSUAL (M3/M)]]*30</f>
        <v>0</v>
      </c>
      <c r="AI562" s="5">
        <f t="shared" ca="1" si="20"/>
        <v>0</v>
      </c>
    </row>
    <row r="563" spans="1:51" x14ac:dyDescent="0.25">
      <c r="A563" s="5" t="s">
        <v>52</v>
      </c>
      <c r="B563" s="5" t="s">
        <v>90</v>
      </c>
      <c r="C563" s="5" t="s">
        <v>81</v>
      </c>
      <c r="F563" s="5" t="s">
        <v>55</v>
      </c>
      <c r="G563" s="5" t="s">
        <v>61</v>
      </c>
      <c r="H563" s="5" t="s">
        <v>57</v>
      </c>
      <c r="I563" s="5">
        <v>780</v>
      </c>
      <c r="J563" s="5" t="str">
        <f>IFERROR(VLOOKUP(I563,[1]INFO_LOCALES!$B:$C,2,FALSE),"")</f>
        <v>VICTORIA</v>
      </c>
      <c r="K563" s="5" t="str">
        <f>IFERROR(VLOOKUP(Tabla2[[#This Row],[TIENDA]],[1]INFO_LOCALES!$B:$D,3,FALSE),"")</f>
        <v>X - Los Lagos</v>
      </c>
      <c r="L563" s="5" t="str">
        <f>IFERROR(VLOOKUP(I563,[1]INFO_LOCALES!$B:$I,8,FALSE),"")</f>
        <v>Osorno</v>
      </c>
      <c r="M563" s="5" t="str">
        <f>IFERROR(VLOOKUP(I563,[1]INFO_LOCALES!$B:$H,7,FALSE),"")</f>
        <v>Victoria 367 Rahue Bajo</v>
      </c>
      <c r="N563" s="5">
        <f>IFERROR(VLOOKUP(I563,[1]INFO_LOCALES!$B:$E,4,FALSE),"")</f>
        <v>1362</v>
      </c>
      <c r="O563" s="5" t="str">
        <f>VLOOKUP(Tabla2[[#This Row],[TIENDA]],[1]INFO_LOCALES!$B:$J,9,0)</f>
        <v>SIN CONVENIO</v>
      </c>
      <c r="P563" s="5" t="str">
        <f>IFERROR(VLOOKUP(I563,[1]INFO_LOCALES!$B:$F,5,FALSE),"")</f>
        <v>SURALIS</v>
      </c>
      <c r="Q563" s="5" t="s">
        <v>85</v>
      </c>
      <c r="R563" s="5" t="s">
        <v>86</v>
      </c>
      <c r="S563" s="6"/>
      <c r="T563" s="5" t="str">
        <f>UPPER(IF(Tabla2[[#This Row],[FECHA DE MUESTREO ]]=0,"",TEXT(Tabla2[[#This Row],[FECHA DE MUESTREO ]],("MMMM"))))</f>
        <v>JUNIO</v>
      </c>
      <c r="U563" s="6">
        <v>45818</v>
      </c>
      <c r="V563" s="5" t="s">
        <v>59</v>
      </c>
      <c r="W5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63" s="7">
        <f t="shared" si="22"/>
        <v>3</v>
      </c>
      <c r="Y563" s="5">
        <v>13.8</v>
      </c>
      <c r="Z563" s="5">
        <v>6.55</v>
      </c>
      <c r="AA563" s="5">
        <v>38</v>
      </c>
      <c r="AB563" s="5">
        <v>12.86</v>
      </c>
      <c r="AC563" s="5">
        <v>284</v>
      </c>
      <c r="AD563" s="5">
        <v>13.3</v>
      </c>
      <c r="AE563" s="5">
        <v>38.4</v>
      </c>
      <c r="AF563" s="5">
        <v>0.6</v>
      </c>
      <c r="AG563" s="5">
        <v>62</v>
      </c>
      <c r="AH563" s="5">
        <f ca="1">Tabla2[[#This Row],[VOLUMEN DE DESCARGA MENSUAL (M3/M)]]*30</f>
        <v>0</v>
      </c>
      <c r="AI563" s="5">
        <f t="shared" ca="1" si="20"/>
        <v>0</v>
      </c>
    </row>
    <row r="564" spans="1:51" x14ac:dyDescent="0.25">
      <c r="A564" s="5" t="s">
        <v>60</v>
      </c>
      <c r="B564" s="5" t="e">
        <v>#N/A</v>
      </c>
      <c r="C564" s="5" t="e">
        <v>#N/A</v>
      </c>
      <c r="F564" s="5" t="s">
        <v>55</v>
      </c>
      <c r="G564" s="5" t="s">
        <v>61</v>
      </c>
      <c r="H564" s="5" t="s">
        <v>57</v>
      </c>
      <c r="I564" s="5">
        <v>3014</v>
      </c>
      <c r="J564" s="5" t="str">
        <f>IFERROR(VLOOKUP(I564,[1]INFO_LOCALES!$B:$C,2,FALSE),"")</f>
        <v>M10 SAN FERNANDO</v>
      </c>
      <c r="K564" s="5" t="str">
        <f>IFERROR(VLOOKUP(Tabla2[[#This Row],[TIENDA]],[1]INFO_LOCALES!$B:$D,3,FALSE),"")</f>
        <v>VI - O'Higgins</v>
      </c>
      <c r="L564" s="5" t="str">
        <f>IFERROR(VLOOKUP(I564,[1]INFO_LOCALES!$B:$I,8,FALSE),"")</f>
        <v>San Fernando</v>
      </c>
      <c r="M564" s="5" t="str">
        <f>IFERROR(VLOOKUP(I564,[1]INFO_LOCALES!$B:$H,7,FALSE),"")</f>
        <v>Chillan 745</v>
      </c>
      <c r="N564" s="5">
        <f>IFERROR(VLOOKUP(I564,[1]INFO_LOCALES!$B:$E,4,FALSE),"")</f>
        <v>1298</v>
      </c>
      <c r="O564" s="5" t="str">
        <f>VLOOKUP(Tabla2[[#This Row],[TIENDA]],[1]INFO_LOCALES!$B:$J,9,0)</f>
        <v>TERMINADO</v>
      </c>
      <c r="P564" s="5" t="str">
        <f>IFERROR(VLOOKUP(I564,[1]INFO_LOCALES!$B:$F,5,FALSE),"")</f>
        <v>ESSBIO S.A.</v>
      </c>
      <c r="Q564" s="5" t="s">
        <v>85</v>
      </c>
      <c r="R564" s="5" t="s">
        <v>86</v>
      </c>
      <c r="S564" s="6"/>
      <c r="T564" s="5" t="str">
        <f>UPPER(IF(Tabla2[[#This Row],[FECHA DE MUESTREO ]]=0,"",TEXT(Tabla2[[#This Row],[FECHA DE MUESTREO ]],("MMMM"))))</f>
        <v>JUNIO</v>
      </c>
      <c r="U564" s="6">
        <v>45813</v>
      </c>
      <c r="V564" s="5" t="s">
        <v>59</v>
      </c>
      <c r="W5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64" s="7">
        <f t="shared" si="22"/>
        <v>1</v>
      </c>
      <c r="Y564" s="5">
        <v>32.1</v>
      </c>
      <c r="Z564" s="5">
        <v>7.69</v>
      </c>
      <c r="AA564" s="5">
        <v>5</v>
      </c>
      <c r="AB564" s="5">
        <v>17.39</v>
      </c>
      <c r="AC564" s="5">
        <v>207</v>
      </c>
      <c r="AD564" s="5">
        <v>8.1</v>
      </c>
      <c r="AE564" s="5">
        <v>18.29</v>
      </c>
      <c r="AF564" s="5">
        <v>4</v>
      </c>
      <c r="AG564" s="5">
        <v>161</v>
      </c>
      <c r="AH564" s="5">
        <v>1.1499999999999999</v>
      </c>
      <c r="AI564" s="5">
        <f t="shared" si="20"/>
        <v>34.5</v>
      </c>
    </row>
    <row r="565" spans="1:51" x14ac:dyDescent="0.25">
      <c r="A565" s="5" t="s">
        <v>210</v>
      </c>
      <c r="B565" s="5" t="e">
        <v>#N/A</v>
      </c>
      <c r="C565" s="5" t="e">
        <v>#N/A</v>
      </c>
      <c r="F565" s="5" t="s">
        <v>55</v>
      </c>
      <c r="G565" s="5" t="s">
        <v>65</v>
      </c>
      <c r="H565" s="5" t="s">
        <v>57</v>
      </c>
      <c r="I565" s="5">
        <v>9051</v>
      </c>
      <c r="J565" s="5" t="str">
        <f>IFERROR(VLOOKUP(I565,[1]INFO_LOCALES!$B:$C,2,FALSE),"")</f>
        <v>CD NUEVO COQUIMBO</v>
      </c>
      <c r="K565" s="5" t="str">
        <f>IFERROR(VLOOKUP(Tabla2[[#This Row],[TIENDA]],[1]INFO_LOCALES!$B:$D,3,FALSE),"")</f>
        <v>IV - Coquimbo</v>
      </c>
      <c r="L565" s="5" t="str">
        <f>IFERROR(VLOOKUP(I565,[1]INFO_LOCALES!$B:$I,8,FALSE),"")</f>
        <v>Coquimbo</v>
      </c>
      <c r="M565" s="5" t="str">
        <f>IFERROR(VLOOKUP(I565,[1]INFO_LOCALES!$B:$H,7,FALSE),"")</f>
        <v>PAN DE AZUCAR S/N</v>
      </c>
      <c r="N565" s="5">
        <f>IFERROR(VLOOKUP(I565,[1]INFO_LOCALES!$B:$E,4,FALSE),"")</f>
        <v>0</v>
      </c>
      <c r="O565" s="5" t="str">
        <f>VLOOKUP(Tabla2[[#This Row],[TIENDA]],[1]INFO_LOCALES!$B:$J,9,0)</f>
        <v>SIN CONVENIO</v>
      </c>
      <c r="P565" s="5" t="str">
        <f>IFERROR(VLOOKUP(I565,[1]INFO_LOCALES!$B:$F,5,FALSE),"")</f>
        <v>RENTAS COQUIMBO SPA</v>
      </c>
      <c r="Q565" s="5" t="s">
        <v>85</v>
      </c>
      <c r="R565" s="5" t="s">
        <v>86</v>
      </c>
      <c r="S565" s="6"/>
      <c r="T565" s="5" t="str">
        <f>UPPER(IF(Tabla2[[#This Row],[FECHA DE MUESTREO ]]=0,"",TEXT(Tabla2[[#This Row],[FECHA DE MUESTREO ]],("MMMM"))))</f>
        <v>MAYO</v>
      </c>
      <c r="U565" s="6">
        <v>45793</v>
      </c>
      <c r="V565" s="5" t="s">
        <v>59</v>
      </c>
      <c r="W5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65" s="7">
        <f t="shared" si="22"/>
        <v>1</v>
      </c>
      <c r="Y565" s="5">
        <v>2</v>
      </c>
      <c r="Z565" s="5">
        <v>7.6</v>
      </c>
      <c r="AA565" s="5">
        <v>2</v>
      </c>
      <c r="AB565" s="5">
        <v>19</v>
      </c>
      <c r="AC565" s="5">
        <v>33</v>
      </c>
      <c r="AD565" s="5">
        <v>3.4</v>
      </c>
      <c r="AG565" s="5">
        <v>10.4</v>
      </c>
      <c r="AH565" s="5">
        <f ca="1">Tabla2[[#This Row],[VOLUMEN DE DESCARGA MENSUAL (M3/M)]]*30</f>
        <v>0</v>
      </c>
      <c r="AI565" s="5">
        <f t="shared" ca="1" si="20"/>
        <v>0</v>
      </c>
      <c r="AJ565" s="5">
        <v>0.1</v>
      </c>
      <c r="AK565" s="5">
        <v>2E-3</v>
      </c>
      <c r="AL565" s="5">
        <v>0.2165</v>
      </c>
      <c r="AM565" s="5">
        <v>0.01</v>
      </c>
      <c r="AN565" s="5">
        <v>0.1</v>
      </c>
      <c r="AO565" s="5">
        <v>0.05</v>
      </c>
      <c r="AP565" s="5">
        <v>0.05</v>
      </c>
      <c r="AR565" s="5">
        <v>0.05</v>
      </c>
      <c r="AS565" s="5">
        <v>5</v>
      </c>
      <c r="AT565" s="5">
        <v>2.9700000000000001E-2</v>
      </c>
      <c r="AU565" s="5">
        <v>1E-3</v>
      </c>
      <c r="AV565" s="5">
        <v>0.05</v>
      </c>
      <c r="AW565" s="5">
        <v>0.01</v>
      </c>
      <c r="AX565" s="5">
        <v>182</v>
      </c>
      <c r="AY565" s="5">
        <v>0.5</v>
      </c>
    </row>
    <row r="566" spans="1:51" x14ac:dyDescent="0.25">
      <c r="A566" s="5" t="s">
        <v>52</v>
      </c>
      <c r="B566" s="5" t="s">
        <v>149</v>
      </c>
      <c r="C566" s="5" t="s">
        <v>81</v>
      </c>
      <c r="F566" s="5" t="s">
        <v>55</v>
      </c>
      <c r="G566" s="5" t="s">
        <v>61</v>
      </c>
      <c r="H566" s="5" t="s">
        <v>57</v>
      </c>
      <c r="I566" s="5">
        <v>771</v>
      </c>
      <c r="J566" s="5" t="str">
        <f>IFERROR(VLOOKUP(I566,[1]INFO_LOCALES!$B:$C,2,FALSE),"")</f>
        <v>MIRASOL</v>
      </c>
      <c r="K566" s="5" t="str">
        <f>IFERROR(VLOOKUP(Tabla2[[#This Row],[TIENDA]],[1]INFO_LOCALES!$B:$D,3,FALSE),"")</f>
        <v>X - Los Lagos</v>
      </c>
      <c r="L566" s="5" t="str">
        <f>IFERROR(VLOOKUP(I566,[1]INFO_LOCALES!$B:$I,8,FALSE),"")</f>
        <v>Puerto Montt</v>
      </c>
      <c r="M566" s="5" t="str">
        <f>IFERROR(VLOOKUP(I566,[1]INFO_LOCALES!$B:$H,7,FALSE),"")</f>
        <v>Av. La Cruz 2006</v>
      </c>
      <c r="N566" s="5">
        <f>IFERROR(VLOOKUP(I566,[1]INFO_LOCALES!$B:$E,4,FALSE),"")</f>
        <v>3723</v>
      </c>
      <c r="O566" s="5" t="str">
        <f>VLOOKUP(Tabla2[[#This Row],[TIENDA]],[1]INFO_LOCALES!$B:$J,9,0)</f>
        <v>SIN CONVENIO</v>
      </c>
      <c r="P566" s="5" t="str">
        <f>IFERROR(VLOOKUP(I566,[1]INFO_LOCALES!$B:$F,5,FALSE),"")</f>
        <v>SURALIS</v>
      </c>
      <c r="Q566" s="5" t="s">
        <v>85</v>
      </c>
      <c r="R566" s="5" t="s">
        <v>86</v>
      </c>
      <c r="S566" s="6"/>
      <c r="T566" s="5" t="str">
        <f>UPPER(IF(Tabla2[[#This Row],[FECHA DE MUESTREO ]]=0,"",TEXT(Tabla2[[#This Row],[FECHA DE MUESTREO ]],("MMMM"))))</f>
        <v>JUNIO</v>
      </c>
      <c r="U566" s="6">
        <v>45813</v>
      </c>
      <c r="V566" s="5" t="s">
        <v>59</v>
      </c>
      <c r="W5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66" s="7">
        <f t="shared" si="22"/>
        <v>3</v>
      </c>
      <c r="Y566" s="5">
        <v>46</v>
      </c>
      <c r="Z566" s="5">
        <v>6.89</v>
      </c>
      <c r="AA566" s="5">
        <v>23</v>
      </c>
      <c r="AB566" s="5">
        <v>13.13</v>
      </c>
      <c r="AC566" s="5">
        <v>182</v>
      </c>
      <c r="AD566" s="5">
        <v>10.4</v>
      </c>
      <c r="AE566" s="5">
        <v>47.6</v>
      </c>
      <c r="AF566" s="5">
        <v>2.5</v>
      </c>
      <c r="AG566" s="5">
        <v>194</v>
      </c>
      <c r="AH566" s="5">
        <f ca="1">Tabla2[[#This Row],[VOLUMEN DE DESCARGA MENSUAL (M3/M)]]*30</f>
        <v>0</v>
      </c>
      <c r="AI566" s="5">
        <f t="shared" ca="1" si="20"/>
        <v>0</v>
      </c>
    </row>
    <row r="567" spans="1:51" x14ac:dyDescent="0.25">
      <c r="A567" s="5" t="s">
        <v>52</v>
      </c>
      <c r="B567" s="5" t="s">
        <v>64</v>
      </c>
      <c r="C567" s="5" t="s">
        <v>54</v>
      </c>
      <c r="F567" s="5" t="s">
        <v>55</v>
      </c>
      <c r="G567" s="5" t="s">
        <v>65</v>
      </c>
      <c r="H567" s="5" t="s">
        <v>57</v>
      </c>
      <c r="I567" s="5">
        <v>750</v>
      </c>
      <c r="J567" s="5" t="str">
        <f>IFERROR(VLOOKUP(I567,[1]INFO_LOCALES!$B:$C,2,FALSE),"")</f>
        <v>CAÑETE</v>
      </c>
      <c r="K567" s="5" t="str">
        <f>IFERROR(VLOOKUP(Tabla2[[#This Row],[TIENDA]],[1]INFO_LOCALES!$B:$D,3,FALSE),"")</f>
        <v>VIII - Biobío</v>
      </c>
      <c r="L567" s="5" t="str">
        <f>IFERROR(VLOOKUP(I567,[1]INFO_LOCALES!$B:$I,8,FALSE),"")</f>
        <v>Cañete</v>
      </c>
      <c r="M567" s="5" t="str">
        <f>IFERROR(VLOOKUP(I567,[1]INFO_LOCALES!$B:$H,7,FALSE),"")</f>
        <v>Saavedra 525</v>
      </c>
      <c r="N567" s="5">
        <f>IFERROR(VLOOKUP(I567,[1]INFO_LOCALES!$B:$E,4,FALSE),"")</f>
        <v>0</v>
      </c>
      <c r="O567" s="5" t="str">
        <f>VLOOKUP(Tabla2[[#This Row],[TIENDA]],[1]INFO_LOCALES!$B:$J,9,0)</f>
        <v>SIN CONVENIO</v>
      </c>
      <c r="P567" s="5" t="str">
        <f>IFERROR(VLOOKUP(I567,[1]INFO_LOCALES!$B:$F,5,FALSE),"")</f>
        <v>ESSBIO S.A.</v>
      </c>
      <c r="S567" s="6"/>
      <c r="T567" s="5" t="str">
        <f>UPPER(IF(Tabla2[[#This Row],[FECHA DE MUESTREO ]]=0,"",TEXT(Tabla2[[#This Row],[FECHA DE MUESTREO ]],("MMMM"))))</f>
        <v/>
      </c>
      <c r="U567" s="6"/>
      <c r="W5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67" s="7">
        <f t="shared" si="22"/>
        <v>1</v>
      </c>
      <c r="AH567" s="5">
        <f ca="1">Tabla2[[#This Row],[VOLUMEN DE DESCARGA MENSUAL (M3/M)]]*30</f>
        <v>0</v>
      </c>
      <c r="AI567" s="5">
        <f t="shared" ca="1" si="20"/>
        <v>0</v>
      </c>
    </row>
    <row r="568" spans="1:51" x14ac:dyDescent="0.25">
      <c r="A568" s="5" t="s">
        <v>52</v>
      </c>
      <c r="B568" s="5" t="s">
        <v>209</v>
      </c>
      <c r="C568" s="5" t="s">
        <v>54</v>
      </c>
      <c r="F568" s="5" t="s">
        <v>55</v>
      </c>
      <c r="G568" s="5" t="s">
        <v>65</v>
      </c>
      <c r="H568" s="5" t="s">
        <v>57</v>
      </c>
      <c r="I568" s="5">
        <v>735</v>
      </c>
      <c r="J568" s="5" t="str">
        <f>IFERROR(VLOOKUP(I568,[1]INFO_LOCALES!$B:$C,2,FALSE),"")</f>
        <v>CABRERO</v>
      </c>
      <c r="K568" s="5" t="str">
        <f>IFERROR(VLOOKUP(Tabla2[[#This Row],[TIENDA]],[1]INFO_LOCALES!$B:$D,3,FALSE),"")</f>
        <v>VIII - Biobío</v>
      </c>
      <c r="L568" s="5" t="str">
        <f>IFERROR(VLOOKUP(I568,[1]INFO_LOCALES!$B:$I,8,FALSE),"")</f>
        <v>Cabrero</v>
      </c>
      <c r="M568" s="5" t="str">
        <f>IFERROR(VLOOKUP(I568,[1]INFO_LOCALES!$B:$H,7,FALSE),"")</f>
        <v>General Cruz 380</v>
      </c>
      <c r="N568" s="5">
        <f>IFERROR(VLOOKUP(I568,[1]INFO_LOCALES!$B:$E,4,FALSE),"")</f>
        <v>0</v>
      </c>
      <c r="O568" s="5" t="str">
        <f>VLOOKUP(Tabla2[[#This Row],[TIENDA]],[1]INFO_LOCALES!$B:$J,9,0)</f>
        <v>SIN CONVENIO</v>
      </c>
      <c r="P568" s="5" t="str">
        <f>IFERROR(VLOOKUP(I568,[1]INFO_LOCALES!$B:$F,5,FALSE),"")</f>
        <v>ESSBIO S.A.</v>
      </c>
      <c r="S568" s="6"/>
      <c r="T568" s="5" t="str">
        <f>UPPER(IF(Tabla2[[#This Row],[FECHA DE MUESTREO ]]=0,"",TEXT(Tabla2[[#This Row],[FECHA DE MUESTREO ]],("MMMM"))))</f>
        <v/>
      </c>
      <c r="U568" s="6"/>
      <c r="W5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68" s="7">
        <f t="shared" si="22"/>
        <v>1</v>
      </c>
      <c r="AH568" s="5">
        <f ca="1">Tabla2[[#This Row],[VOLUMEN DE DESCARGA MENSUAL (M3/M)]]*30</f>
        <v>0</v>
      </c>
      <c r="AI568" s="5">
        <f t="shared" ca="1" si="20"/>
        <v>36</v>
      </c>
    </row>
    <row r="569" spans="1:51" x14ac:dyDescent="0.25">
      <c r="A569" s="5" t="s">
        <v>52</v>
      </c>
      <c r="B569" s="5" t="e">
        <v>#N/A</v>
      </c>
      <c r="C569" s="5" t="e">
        <v>#N/A</v>
      </c>
      <c r="F569" s="5" t="s">
        <v>55</v>
      </c>
      <c r="G569" s="5" t="s">
        <v>61</v>
      </c>
      <c r="H569" s="5" t="s">
        <v>57</v>
      </c>
      <c r="I569" s="5">
        <v>3197</v>
      </c>
      <c r="J569" s="5" t="str">
        <f>IFERROR(VLOOKUP(I569,[1]INFO_LOCALES!$B:$C,2,FALSE),"")</f>
        <v>ALVI PICARTE VALDIVIA</v>
      </c>
      <c r="K569" s="5" t="str">
        <f>IFERROR(VLOOKUP(Tabla2[[#This Row],[TIENDA]],[1]INFO_LOCALES!$B:$D,3,FALSE),"")</f>
        <v>XIV - Los Ríos</v>
      </c>
      <c r="L569" s="5" t="str">
        <f>IFERROR(VLOOKUP(I569,[1]INFO_LOCALES!$B:$I,8,FALSE),"")</f>
        <v>Valdivia</v>
      </c>
      <c r="M569" s="5" t="str">
        <f>IFERROR(VLOOKUP(I569,[1]INFO_LOCALES!$B:$H,7,FALSE),"")</f>
        <v>Av. Ramon Picarte 2593</v>
      </c>
      <c r="N569" s="5">
        <f>IFERROR(VLOOKUP(I569,[1]INFO_LOCALES!$B:$E,4,FALSE),"")</f>
        <v>1961</v>
      </c>
      <c r="O569" s="5" t="str">
        <f>VLOOKUP(Tabla2[[#This Row],[TIENDA]],[1]INFO_LOCALES!$B:$J,9,0)</f>
        <v>CONVENIO</v>
      </c>
      <c r="P569" s="5" t="str">
        <f>IFERROR(VLOOKUP(I569,[1]INFO_LOCALES!$B:$F,5,FALSE),"")</f>
        <v>AGUAS DECIMA S A</v>
      </c>
      <c r="Q569" s="5" t="s">
        <v>85</v>
      </c>
      <c r="R569" s="5" t="s">
        <v>86</v>
      </c>
      <c r="S569" s="6"/>
      <c r="T569" s="5" t="str">
        <f>UPPER(IF(Tabla2[[#This Row],[FECHA DE MUESTREO ]]=0,"",TEXT(Tabla2[[#This Row],[FECHA DE MUESTREO ]],("MMMM"))))</f>
        <v>JUNIO</v>
      </c>
      <c r="U569" s="6">
        <v>45813</v>
      </c>
      <c r="V569" s="5" t="s">
        <v>59</v>
      </c>
      <c r="W5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69" s="7">
        <f t="shared" si="22"/>
        <v>2</v>
      </c>
      <c r="Y569" s="5">
        <v>31.1</v>
      </c>
      <c r="Z569" s="5">
        <v>6.98</v>
      </c>
      <c r="AA569" s="5">
        <v>10</v>
      </c>
      <c r="AB569" s="5">
        <v>12.78</v>
      </c>
      <c r="AC569" s="5">
        <v>230</v>
      </c>
      <c r="AD569" s="5">
        <v>14</v>
      </c>
      <c r="AE569" s="5">
        <v>25.2</v>
      </c>
      <c r="AF569" s="5">
        <v>25</v>
      </c>
      <c r="AG569" s="5">
        <v>388.6</v>
      </c>
      <c r="AH569" s="5">
        <f ca="1">Tabla2[[#This Row],[VOLUMEN DE DESCARGA MENSUAL (M3/M)]]*30</f>
        <v>0</v>
      </c>
      <c r="AI569" s="5">
        <f t="shared" ca="1" si="20"/>
        <v>0</v>
      </c>
    </row>
    <row r="570" spans="1:51" x14ac:dyDescent="0.25">
      <c r="A570" s="5" t="s">
        <v>52</v>
      </c>
      <c r="B570" s="5" t="s">
        <v>90</v>
      </c>
      <c r="C570" s="5" t="s">
        <v>81</v>
      </c>
      <c r="F570" s="5" t="s">
        <v>55</v>
      </c>
      <c r="G570" s="5" t="s">
        <v>65</v>
      </c>
      <c r="H570" s="5" t="s">
        <v>57</v>
      </c>
      <c r="I570" s="5">
        <v>544</v>
      </c>
      <c r="J570" s="5" t="str">
        <f>IFERROR(VLOOKUP(I570,[1]INFO_LOCALES!$B:$C,2,FALSE),"")</f>
        <v>PURRANQUE</v>
      </c>
      <c r="K570" s="5" t="str">
        <f>IFERROR(VLOOKUP(Tabla2[[#This Row],[TIENDA]],[1]INFO_LOCALES!$B:$D,3,FALSE),"")</f>
        <v>X - Los Lagos</v>
      </c>
      <c r="L570" s="5" t="str">
        <f>IFERROR(VLOOKUP(I570,[1]INFO_LOCALES!$B:$I,8,FALSE),"")</f>
        <v>Purranque</v>
      </c>
      <c r="M570" s="5" t="str">
        <f>IFERROR(VLOOKUP(I570,[1]INFO_LOCALES!$B:$H,7,FALSE),"")</f>
        <v>Eleuterio Ramirez 549</v>
      </c>
      <c r="N570" s="5">
        <f>IFERROR(VLOOKUP(I570,[1]INFO_LOCALES!$B:$E,4,FALSE),"")</f>
        <v>0</v>
      </c>
      <c r="O570" s="5" t="str">
        <f>VLOOKUP(Tabla2[[#This Row],[TIENDA]],[1]INFO_LOCALES!$B:$J,9,0)</f>
        <v>SIN CONVENIO</v>
      </c>
      <c r="P570" s="5" t="str">
        <f>IFERROR(VLOOKUP(I570,[1]INFO_LOCALES!$B:$F,5,FALSE),"")</f>
        <v>SURALIS</v>
      </c>
      <c r="Q570" s="5" t="s">
        <v>105</v>
      </c>
      <c r="R570" s="5" t="s">
        <v>58</v>
      </c>
      <c r="S570" s="6">
        <v>45838</v>
      </c>
      <c r="T570" s="5" t="str">
        <f>UPPER(IF(Tabla2[[#This Row],[FECHA DE MUESTREO ]]=0,"",TEXT(Tabla2[[#This Row],[FECHA DE MUESTREO ]],("MMMM"))))</f>
        <v>MAYO</v>
      </c>
      <c r="U570" s="6">
        <v>45793</v>
      </c>
      <c r="V570" s="5" t="s">
        <v>59</v>
      </c>
      <c r="W5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70" s="7">
        <f t="shared" si="22"/>
        <v>1</v>
      </c>
      <c r="Y570" s="5">
        <v>21</v>
      </c>
      <c r="Z570" s="5">
        <v>7.3</v>
      </c>
      <c r="AA570" s="5">
        <v>2</v>
      </c>
      <c r="AB570" s="5">
        <f>(13.7+15)/2</f>
        <v>14.35</v>
      </c>
      <c r="AC570" s="5">
        <v>213</v>
      </c>
      <c r="AD570" s="5">
        <v>8.4</v>
      </c>
      <c r="AE570" s="5">
        <v>35.4</v>
      </c>
      <c r="AF570" s="5">
        <v>2</v>
      </c>
      <c r="AG570" s="5">
        <v>121</v>
      </c>
      <c r="AH570" s="5">
        <v>7</v>
      </c>
      <c r="AI570" s="5">
        <f t="shared" si="20"/>
        <v>210</v>
      </c>
    </row>
    <row r="571" spans="1:51" x14ac:dyDescent="0.25">
      <c r="A571" s="5" t="s">
        <v>52</v>
      </c>
      <c r="B571" s="5" t="s">
        <v>90</v>
      </c>
      <c r="C571" s="5" t="s">
        <v>81</v>
      </c>
      <c r="F571" s="5" t="s">
        <v>55</v>
      </c>
      <c r="G571" s="5" t="s">
        <v>61</v>
      </c>
      <c r="H571" s="5" t="s">
        <v>57</v>
      </c>
      <c r="I571" s="5">
        <v>777</v>
      </c>
      <c r="J571" s="5" t="str">
        <f>IFERROR(VLOOKUP(I571,[1]INFO_LOCALES!$B:$C,2,FALSE),"")</f>
        <v>CENTRAL</v>
      </c>
      <c r="K571" s="5" t="str">
        <f>IFERROR(VLOOKUP(Tabla2[[#This Row],[TIENDA]],[1]INFO_LOCALES!$B:$D,3,FALSE),"")</f>
        <v>X - Los Lagos</v>
      </c>
      <c r="L571" s="5" t="str">
        <f>IFERROR(VLOOKUP(I571,[1]INFO_LOCALES!$B:$I,8,FALSE),"")</f>
        <v>Osorno</v>
      </c>
      <c r="M571" s="5" t="str">
        <f>IFERROR(VLOOKUP(I571,[1]INFO_LOCALES!$B:$H,7,FALSE),"")</f>
        <v>Patricio Lynch 1278</v>
      </c>
      <c r="N571" s="5">
        <f>IFERROR(VLOOKUP(I571,[1]INFO_LOCALES!$B:$E,4,FALSE),"")</f>
        <v>3684</v>
      </c>
      <c r="O571" s="5" t="str">
        <f>VLOOKUP(Tabla2[[#This Row],[TIENDA]],[1]INFO_LOCALES!$B:$J,9,0)</f>
        <v>CONVENIO</v>
      </c>
      <c r="P571" s="5" t="str">
        <f>IFERROR(VLOOKUP(I571,[1]INFO_LOCALES!$B:$F,5,FALSE),"")</f>
        <v>SURALIS</v>
      </c>
      <c r="Q571" s="5" t="s">
        <v>105</v>
      </c>
      <c r="R571" s="5" t="s">
        <v>58</v>
      </c>
      <c r="S571" s="6">
        <v>45838</v>
      </c>
      <c r="T571" s="5" t="str">
        <f>UPPER(IF(Tabla2[[#This Row],[FECHA DE MUESTREO ]]=0,"",TEXT(Tabla2[[#This Row],[FECHA DE MUESTREO ]],("MMMM"))))</f>
        <v>MAYO</v>
      </c>
      <c r="U571" s="6">
        <v>45784</v>
      </c>
      <c r="V571" s="5" t="s">
        <v>59</v>
      </c>
      <c r="W5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71" s="7">
        <f t="shared" si="22"/>
        <v>2</v>
      </c>
      <c r="Y571" s="5">
        <v>14</v>
      </c>
      <c r="Z571" s="5">
        <v>7.3</v>
      </c>
      <c r="AA571" s="5">
        <v>10</v>
      </c>
      <c r="AB571" s="5">
        <f>(12.1+13.4)/2</f>
        <v>12.75</v>
      </c>
      <c r="AC571" s="5">
        <v>240</v>
      </c>
      <c r="AD571" s="5">
        <v>5.4</v>
      </c>
      <c r="AE571" s="5">
        <v>5.6</v>
      </c>
      <c r="AF571" s="5">
        <v>0.5</v>
      </c>
      <c r="AG571" s="5">
        <v>80</v>
      </c>
      <c r="AH571" s="5">
        <v>3</v>
      </c>
      <c r="AI571" s="5">
        <f t="shared" si="20"/>
        <v>90</v>
      </c>
    </row>
    <row r="572" spans="1:51" x14ac:dyDescent="0.25">
      <c r="A572" s="5" t="s">
        <v>52</v>
      </c>
      <c r="B572" s="5" t="s">
        <v>90</v>
      </c>
      <c r="C572" s="5" t="s">
        <v>81</v>
      </c>
      <c r="F572" s="5" t="s">
        <v>55</v>
      </c>
      <c r="G572" s="5" t="s">
        <v>61</v>
      </c>
      <c r="H572" s="5" t="s">
        <v>57</v>
      </c>
      <c r="I572" s="5">
        <v>778</v>
      </c>
      <c r="J572" s="5" t="str">
        <f>IFERROR(VLOOKUP(I572,[1]INFO_LOCALES!$B:$C,2,FALSE),"")</f>
        <v>ORIENTE</v>
      </c>
      <c r="K572" s="5" t="str">
        <f>IFERROR(VLOOKUP(Tabla2[[#This Row],[TIENDA]],[1]INFO_LOCALES!$B:$D,3,FALSE),"")</f>
        <v>X - Los Lagos</v>
      </c>
      <c r="L572" s="5" t="str">
        <f>IFERROR(VLOOKUP(I572,[1]INFO_LOCALES!$B:$I,8,FALSE),"")</f>
        <v>Osorno</v>
      </c>
      <c r="M572" s="5" t="str">
        <f>IFERROR(VLOOKUP(I572,[1]INFO_LOCALES!$B:$H,7,FALSE),"")</f>
        <v>Julio Buschman 2223</v>
      </c>
      <c r="N572" s="5">
        <f>IFERROR(VLOOKUP(I572,[1]INFO_LOCALES!$B:$E,4,FALSE),"")</f>
        <v>2867</v>
      </c>
      <c r="O572" s="5" t="str">
        <f>VLOOKUP(Tabla2[[#This Row],[TIENDA]],[1]INFO_LOCALES!$B:$J,9,0)</f>
        <v>CONVENIO</v>
      </c>
      <c r="P572" s="5" t="str">
        <f>IFERROR(VLOOKUP(I572,[1]INFO_LOCALES!$B:$F,5,FALSE),"")</f>
        <v>SURALIS</v>
      </c>
      <c r="Q572" s="5" t="s">
        <v>105</v>
      </c>
      <c r="R572" s="5" t="s">
        <v>58</v>
      </c>
      <c r="S572" s="6">
        <v>45838</v>
      </c>
      <c r="T572" s="5" t="str">
        <f>UPPER(IF(Tabla2[[#This Row],[FECHA DE MUESTREO ]]=0,"",TEXT(Tabla2[[#This Row],[FECHA DE MUESTREO ]],("MMMM"))))</f>
        <v>MAYO</v>
      </c>
      <c r="U572" s="6">
        <v>45784</v>
      </c>
      <c r="V572" s="6" t="s">
        <v>59</v>
      </c>
      <c r="W5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72" s="7">
        <f t="shared" si="22"/>
        <v>1</v>
      </c>
      <c r="Y572" s="5">
        <v>14</v>
      </c>
      <c r="Z572" s="5">
        <v>7.4</v>
      </c>
      <c r="AA572" s="5">
        <v>2</v>
      </c>
      <c r="AB572" s="5">
        <f>(15.2+17.4)/2</f>
        <v>16.299999999999997</v>
      </c>
      <c r="AC572" s="5">
        <v>196</v>
      </c>
      <c r="AD572" s="5">
        <v>5.8</v>
      </c>
      <c r="AE572" s="5">
        <v>50.5</v>
      </c>
      <c r="AF572" s="5">
        <v>1.5</v>
      </c>
      <c r="AG572" s="5">
        <v>126</v>
      </c>
      <c r="AH572" s="5">
        <v>9</v>
      </c>
      <c r="AI572" s="5">
        <f t="shared" si="20"/>
        <v>270</v>
      </c>
    </row>
    <row r="573" spans="1:51" x14ac:dyDescent="0.25">
      <c r="A573" s="5" t="s">
        <v>52</v>
      </c>
      <c r="B573" s="5" t="s">
        <v>76</v>
      </c>
      <c r="C573" s="5" t="s">
        <v>77</v>
      </c>
      <c r="F573" s="5" t="s">
        <v>55</v>
      </c>
      <c r="G573" s="5" t="s">
        <v>61</v>
      </c>
      <c r="H573" s="5" t="s">
        <v>57</v>
      </c>
      <c r="I573" s="5">
        <v>106</v>
      </c>
      <c r="J573" s="5" t="str">
        <f>IFERROR(VLOOKUP(I573,[1]INFO_LOCALES!$B:$C,2,FALSE),"")</f>
        <v>LOS MOLLES</v>
      </c>
      <c r="K573" s="5" t="str">
        <f>IFERROR(VLOOKUP(Tabla2[[#This Row],[TIENDA]],[1]INFO_LOCALES!$B:$D,3,FALSE),"")</f>
        <v>I - Tarapacá</v>
      </c>
      <c r="L573" s="5" t="str">
        <f>IFERROR(VLOOKUP(I573,[1]INFO_LOCALES!$B:$I,8,FALSE),"")</f>
        <v>Iquique</v>
      </c>
      <c r="M573" s="5" t="str">
        <f>IFERROR(VLOOKUP(I573,[1]INFO_LOCALES!$B:$H,7,FALSE),"")</f>
        <v>Santiago Polanco 2251</v>
      </c>
      <c r="N573" s="5">
        <f>IFERROR(VLOOKUP(I573,[1]INFO_LOCALES!$B:$E,4,FALSE),"")</f>
        <v>4050</v>
      </c>
      <c r="O573" s="5" t="str">
        <f>VLOOKUP(Tabla2[[#This Row],[TIENDA]],[1]INFO_LOCALES!$B:$J,9,0)</f>
        <v>CONVENIO</v>
      </c>
      <c r="P573" s="5" t="str">
        <f>IFERROR(VLOOKUP(I573,[1]INFO_LOCALES!$B:$F,5,FALSE),"")</f>
        <v>AGUAS DEL ALTIPLANO S.A.</v>
      </c>
      <c r="Q573" s="5" t="s">
        <v>71</v>
      </c>
      <c r="R573" s="5" t="s">
        <v>58</v>
      </c>
      <c r="S573" s="6">
        <v>45838</v>
      </c>
      <c r="T573" s="5" t="str">
        <f>UPPER(IF(Tabla2[[#This Row],[FECHA DE MUESTREO ]]=0,"",TEXT(Tabla2[[#This Row],[FECHA DE MUESTREO ]],("MMMM"))))</f>
        <v>ABRIL</v>
      </c>
      <c r="U573" s="6">
        <v>45773</v>
      </c>
      <c r="V573" s="5" t="s">
        <v>59</v>
      </c>
      <c r="W5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73" s="7">
        <f t="shared" si="22"/>
        <v>1</v>
      </c>
      <c r="Y573" s="5">
        <v>1.4</v>
      </c>
      <c r="Z573" s="5">
        <v>7.69</v>
      </c>
      <c r="AA573" s="5">
        <v>2</v>
      </c>
      <c r="AB573" s="5">
        <v>25</v>
      </c>
      <c r="AC573" s="5">
        <v>26.7</v>
      </c>
      <c r="AD573" s="5">
        <v>3.6</v>
      </c>
      <c r="AE573" s="5">
        <v>13</v>
      </c>
      <c r="AF573" s="5">
        <v>0.3</v>
      </c>
      <c r="AG573" s="5">
        <v>39</v>
      </c>
      <c r="AH573" s="5">
        <v>2</v>
      </c>
      <c r="AI573" s="5">
        <f t="shared" ref="AI573:AI636" si="23">AH573*30</f>
        <v>60</v>
      </c>
    </row>
    <row r="574" spans="1:51" x14ac:dyDescent="0.25">
      <c r="A574" s="5" t="s">
        <v>52</v>
      </c>
      <c r="B574" s="5" t="s">
        <v>76</v>
      </c>
      <c r="C574" s="5" t="s">
        <v>77</v>
      </c>
      <c r="F574" s="5" t="s">
        <v>55</v>
      </c>
      <c r="G574" s="5" t="s">
        <v>61</v>
      </c>
      <c r="H574" s="5" t="s">
        <v>57</v>
      </c>
      <c r="I574" s="5">
        <v>106</v>
      </c>
      <c r="J574" s="5" t="str">
        <f>IFERROR(VLOOKUP(I574,[1]INFO_LOCALES!$B:$C,2,FALSE),"")</f>
        <v>LOS MOLLES</v>
      </c>
      <c r="K574" s="5" t="str">
        <f>IFERROR(VLOOKUP(Tabla2[[#This Row],[TIENDA]],[1]INFO_LOCALES!$B:$D,3,FALSE),"")</f>
        <v>I - Tarapacá</v>
      </c>
      <c r="L574" s="5" t="str">
        <f>IFERROR(VLOOKUP(I574,[1]INFO_LOCALES!$B:$I,8,FALSE),"")</f>
        <v>Iquique</v>
      </c>
      <c r="M574" s="5" t="str">
        <f>IFERROR(VLOOKUP(I574,[1]INFO_LOCALES!$B:$H,7,FALSE),"")</f>
        <v>Santiago Polanco 2251</v>
      </c>
      <c r="N574" s="5">
        <f>IFERROR(VLOOKUP(I574,[1]INFO_LOCALES!$B:$E,4,FALSE),"")</f>
        <v>4050</v>
      </c>
      <c r="O574" s="5" t="str">
        <f>VLOOKUP(Tabla2[[#This Row],[TIENDA]],[1]INFO_LOCALES!$B:$J,9,0)</f>
        <v>CONVENIO</v>
      </c>
      <c r="P574" s="5" t="str">
        <f>IFERROR(VLOOKUP(I574,[1]INFO_LOCALES!$B:$F,5,FALSE),"")</f>
        <v>AGUAS DEL ALTIPLANO S.A.</v>
      </c>
      <c r="Q574" s="5" t="s">
        <v>71</v>
      </c>
      <c r="R574" s="5" t="s">
        <v>58</v>
      </c>
      <c r="S574" s="6">
        <v>45838</v>
      </c>
      <c r="T574" s="5" t="str">
        <f>UPPER(IF(Tabla2[[#This Row],[FECHA DE MUESTREO ]]=0,"",TEXT(Tabla2[[#This Row],[FECHA DE MUESTREO ]],("MMMM"))))</f>
        <v>ABRIL</v>
      </c>
      <c r="U574" s="6">
        <v>45773</v>
      </c>
      <c r="V574" s="5" t="s">
        <v>59</v>
      </c>
      <c r="W5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74" s="7">
        <f t="shared" si="22"/>
        <v>1</v>
      </c>
      <c r="Y574" s="5">
        <v>0.76</v>
      </c>
      <c r="Z574" s="5">
        <v>7.56</v>
      </c>
      <c r="AA574" s="5">
        <v>2</v>
      </c>
      <c r="AB574" s="5">
        <v>25</v>
      </c>
      <c r="AC574" s="5">
        <v>13.2</v>
      </c>
      <c r="AD574" s="5">
        <v>3.1</v>
      </c>
      <c r="AE574" s="5">
        <v>10</v>
      </c>
      <c r="AF574" s="5">
        <v>0.2</v>
      </c>
      <c r="AG574" s="5">
        <v>17</v>
      </c>
      <c r="AH574" s="5">
        <v>1</v>
      </c>
      <c r="AI574" s="5">
        <f t="shared" si="23"/>
        <v>30</v>
      </c>
    </row>
    <row r="575" spans="1:51" x14ac:dyDescent="0.25">
      <c r="A575" s="5" t="s">
        <v>52</v>
      </c>
      <c r="B575" s="5" t="s">
        <v>74</v>
      </c>
      <c r="C575" s="5" t="s">
        <v>74</v>
      </c>
      <c r="F575" s="5" t="s">
        <v>55</v>
      </c>
      <c r="G575" s="5" t="s">
        <v>61</v>
      </c>
      <c r="H575" s="5" t="s">
        <v>57</v>
      </c>
      <c r="I575" s="5">
        <v>465</v>
      </c>
      <c r="J575" s="5" t="str">
        <f>IFERROR(VLOOKUP(I575,[1]INFO_LOCALES!$B:$C,2,FALSE),"")</f>
        <v>PUERTO NATALES</v>
      </c>
      <c r="K575" s="5" t="str">
        <f>IFERROR(VLOOKUP(Tabla2[[#This Row],[TIENDA]],[1]INFO_LOCALES!$B:$D,3,FALSE),"")</f>
        <v>XII - Magallanes</v>
      </c>
      <c r="L575" s="5" t="str">
        <f>IFERROR(VLOOKUP(I575,[1]INFO_LOCALES!$B:$I,8,FALSE),"")</f>
        <v>Puerto Natales</v>
      </c>
      <c r="M575" s="5" t="str">
        <f>IFERROR(VLOOKUP(I575,[1]INFO_LOCALES!$B:$H,7,FALSE),"")</f>
        <v>Bulnes 742</v>
      </c>
      <c r="N575" s="5">
        <f>IFERROR(VLOOKUP(I575,[1]INFO_LOCALES!$B:$E,4,FALSE),"")</f>
        <v>1133</v>
      </c>
      <c r="O575" s="5" t="str">
        <f>VLOOKUP(Tabla2[[#This Row],[TIENDA]],[1]INFO_LOCALES!$B:$J,9,0)</f>
        <v>SIN CONVENIO</v>
      </c>
      <c r="P575" s="5" t="str">
        <f>IFERROR(VLOOKUP(I575,[1]INFO_LOCALES!$B:$F,5,FALSE),"")</f>
        <v>AGUAS MAGALLANES S.A.</v>
      </c>
      <c r="Q575" s="5" t="s">
        <v>71</v>
      </c>
      <c r="R575" s="5" t="s">
        <v>58</v>
      </c>
      <c r="S575" s="6">
        <v>45838</v>
      </c>
      <c r="T575" s="5" t="str">
        <f>UPPER(IF(Tabla2[[#This Row],[FECHA DE MUESTREO ]]=0,"",TEXT(Tabla2[[#This Row],[FECHA DE MUESTREO ]],("MMMM"))))</f>
        <v>MAYO</v>
      </c>
      <c r="U575" s="6">
        <v>45806</v>
      </c>
      <c r="V575" s="5" t="s">
        <v>59</v>
      </c>
      <c r="W5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75" s="7">
        <f t="shared" si="22"/>
        <v>1</v>
      </c>
      <c r="Y575" s="5">
        <v>2.6</v>
      </c>
      <c r="AA575" s="5">
        <v>2</v>
      </c>
      <c r="AC575" s="5">
        <v>9.06</v>
      </c>
      <c r="AD575" s="5">
        <v>2.7</v>
      </c>
      <c r="AE575" s="5">
        <v>3.9</v>
      </c>
      <c r="AF575" s="5">
        <v>0.1</v>
      </c>
      <c r="AG575" s="5">
        <v>27</v>
      </c>
      <c r="AI575" s="5">
        <f t="shared" si="23"/>
        <v>0</v>
      </c>
    </row>
    <row r="576" spans="1:51" x14ac:dyDescent="0.25">
      <c r="A576" s="5" t="s">
        <v>52</v>
      </c>
      <c r="B576" s="5" t="s">
        <v>74</v>
      </c>
      <c r="C576" s="5" t="s">
        <v>74</v>
      </c>
      <c r="F576" s="5" t="s">
        <v>55</v>
      </c>
      <c r="G576" s="5" t="s">
        <v>61</v>
      </c>
      <c r="H576" s="5" t="s">
        <v>57</v>
      </c>
      <c r="I576" s="5">
        <v>463</v>
      </c>
      <c r="J576" s="5" t="str">
        <f>IFERROR(VLOOKUP(I576,[1]INFO_LOCALES!$B:$C,2,FALSE),"")</f>
        <v>BORIES AUSTRAL</v>
      </c>
      <c r="K576" s="5" t="str">
        <f>IFERROR(VLOOKUP(Tabla2[[#This Row],[TIENDA]],[1]INFO_LOCALES!$B:$D,3,FALSE),"")</f>
        <v>XII - Magallanes</v>
      </c>
      <c r="L576" s="5" t="str">
        <f>IFERROR(VLOOKUP(I576,[1]INFO_LOCALES!$B:$I,8,FALSE),"")</f>
        <v>Punta Arenas</v>
      </c>
      <c r="M576" s="5" t="str">
        <f>IFERROR(VLOOKUP(I576,[1]INFO_LOCALES!$B:$H,7,FALSE),"")</f>
        <v>Gobernador Bories 647</v>
      </c>
      <c r="N576" s="5">
        <f>IFERROR(VLOOKUP(I576,[1]INFO_LOCALES!$B:$E,4,FALSE),"")</f>
        <v>3739</v>
      </c>
      <c r="O576" s="5" t="str">
        <f>VLOOKUP(Tabla2[[#This Row],[TIENDA]],[1]INFO_LOCALES!$B:$J,9,0)</f>
        <v>SIN CONVENIO</v>
      </c>
      <c r="P576" s="5" t="str">
        <f>IFERROR(VLOOKUP(I576,[1]INFO_LOCALES!$B:$F,5,FALSE),"")</f>
        <v>AGUAS MAGALLANES S.A.</v>
      </c>
      <c r="Q576" s="5" t="s">
        <v>71</v>
      </c>
      <c r="R576" s="5" t="s">
        <v>58</v>
      </c>
      <c r="S576" s="6">
        <v>45838</v>
      </c>
      <c r="T576" s="5" t="str">
        <f>UPPER(IF(Tabla2[[#This Row],[FECHA DE MUESTREO ]]=0,"",TEXT(Tabla2[[#This Row],[FECHA DE MUESTREO ]],("MMMM"))))</f>
        <v>MAYO</v>
      </c>
      <c r="U576" s="6">
        <v>45791</v>
      </c>
      <c r="V576" s="5" t="s">
        <v>59</v>
      </c>
      <c r="W5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76" s="7">
        <f t="shared" si="22"/>
        <v>1</v>
      </c>
      <c r="Y576" s="5">
        <v>2.2999999999999998</v>
      </c>
      <c r="AA576" s="5">
        <v>2</v>
      </c>
      <c r="AC576" s="5">
        <v>110</v>
      </c>
      <c r="AD576" s="5">
        <v>5</v>
      </c>
      <c r="AE576" s="5">
        <v>7.4</v>
      </c>
      <c r="AF576" s="5">
        <v>2.5</v>
      </c>
      <c r="AG576" s="5">
        <v>52</v>
      </c>
      <c r="AI576" s="5">
        <f t="shared" si="23"/>
        <v>0</v>
      </c>
    </row>
    <row r="577" spans="1:51" x14ac:dyDescent="0.25">
      <c r="A577" s="5" t="s">
        <v>52</v>
      </c>
      <c r="B577" s="5" t="s">
        <v>74</v>
      </c>
      <c r="C577" s="5" t="s">
        <v>74</v>
      </c>
      <c r="F577" s="5" t="s">
        <v>55</v>
      </c>
      <c r="G577" s="5" t="s">
        <v>65</v>
      </c>
      <c r="H577" s="5" t="s">
        <v>57</v>
      </c>
      <c r="I577" s="5">
        <v>457</v>
      </c>
      <c r="J577" s="5" t="str">
        <f>IFERROR(VLOOKUP(I577,[1]INFO_LOCALES!$B:$C,2,FALSE),"")</f>
        <v>LAUTARO NAVARRO AUSTRAL</v>
      </c>
      <c r="K577" s="5" t="str">
        <f>IFERROR(VLOOKUP(Tabla2[[#This Row],[TIENDA]],[1]INFO_LOCALES!$B:$D,3,FALSE),"")</f>
        <v>XII - Magallanes</v>
      </c>
      <c r="L577" s="5" t="str">
        <f>IFERROR(VLOOKUP(I577,[1]INFO_LOCALES!$B:$I,8,FALSE),"")</f>
        <v>Punta Arenas</v>
      </c>
      <c r="M577" s="5" t="str">
        <f>IFERROR(VLOOKUP(I577,[1]INFO_LOCALES!$B:$H,7,FALSE),"")</f>
        <v>Lautaro Navarro 1293</v>
      </c>
      <c r="N577" s="5">
        <f>IFERROR(VLOOKUP(I577,[1]INFO_LOCALES!$B:$E,4,FALSE),"")</f>
        <v>0</v>
      </c>
      <c r="O577" s="5" t="str">
        <f>VLOOKUP(Tabla2[[#This Row],[TIENDA]],[1]INFO_LOCALES!$B:$J,9,0)</f>
        <v>SIN CONVENIO</v>
      </c>
      <c r="P577" s="5" t="str">
        <f>IFERROR(VLOOKUP(I577,[1]INFO_LOCALES!$B:$F,5,FALSE),"")</f>
        <v>AGUAS MAGALLANES S.A.</v>
      </c>
      <c r="Q577" s="5" t="s">
        <v>71</v>
      </c>
      <c r="R577" s="5" t="s">
        <v>58</v>
      </c>
      <c r="S577" s="6">
        <v>45838</v>
      </c>
      <c r="T577" s="5" t="str">
        <f>UPPER(IF(Tabla2[[#This Row],[FECHA DE MUESTREO ]]=0,"",TEXT(Tabla2[[#This Row],[FECHA DE MUESTREO ]],("MMMM"))))</f>
        <v>MAYO</v>
      </c>
      <c r="U577" s="6">
        <v>45796</v>
      </c>
      <c r="V577" s="5" t="s">
        <v>59</v>
      </c>
      <c r="W5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77" s="7">
        <f t="shared" si="22"/>
        <v>2</v>
      </c>
      <c r="Y577" s="5">
        <v>1.8</v>
      </c>
      <c r="AA577" s="5">
        <v>2</v>
      </c>
      <c r="AC577" s="5">
        <v>116</v>
      </c>
      <c r="AD577" s="5">
        <v>17</v>
      </c>
      <c r="AE577" s="5">
        <v>26</v>
      </c>
      <c r="AF577" s="5">
        <v>1.4</v>
      </c>
      <c r="AG577" s="5">
        <v>35</v>
      </c>
      <c r="AI577" s="5">
        <f t="shared" si="23"/>
        <v>0</v>
      </c>
    </row>
    <row r="578" spans="1:51" x14ac:dyDescent="0.25">
      <c r="A578" s="5" t="s">
        <v>52</v>
      </c>
      <c r="B578" s="5" t="s">
        <v>103</v>
      </c>
      <c r="C578" s="5" t="s">
        <v>77</v>
      </c>
      <c r="F578" s="5" t="s">
        <v>55</v>
      </c>
      <c r="G578" s="5" t="s">
        <v>61</v>
      </c>
      <c r="H578" s="5" t="s">
        <v>57</v>
      </c>
      <c r="I578" s="5">
        <v>33</v>
      </c>
      <c r="J578" s="5" t="str">
        <f>IFERROR(VLOOKUP(I578,[1]INFO_LOCALES!$B:$C,2,FALSE),"")</f>
        <v>COVIEFI</v>
      </c>
      <c r="K578" s="5" t="str">
        <f>IFERROR(VLOOKUP(Tabla2[[#This Row],[TIENDA]],[1]INFO_LOCALES!$B:$D,3,FALSE),"")</f>
        <v>II - Antofagasta</v>
      </c>
      <c r="L578" s="5" t="str">
        <f>IFERROR(VLOOKUP(I578,[1]INFO_LOCALES!$B:$I,8,FALSE),"")</f>
        <v>Antofagasta</v>
      </c>
      <c r="M578" s="5" t="str">
        <f>IFERROR(VLOOKUP(I578,[1]INFO_LOCALES!$B:$H,7,FALSE),"")</f>
        <v>Av. Argentina 1910</v>
      </c>
      <c r="N578" s="5">
        <f>IFERROR(VLOOKUP(I578,[1]INFO_LOCALES!$B:$E,4,FALSE),"")</f>
        <v>0</v>
      </c>
      <c r="O578" s="5" t="str">
        <f>VLOOKUP(Tabla2[[#This Row],[TIENDA]],[1]INFO_LOCALES!$B:$J,9,0)</f>
        <v>SIN CONVENIO</v>
      </c>
      <c r="P578" s="5" t="str">
        <f>IFERROR(VLOOKUP(I578,[1]INFO_LOCALES!$B:$F,5,FALSE),"")</f>
        <v>AGUAS DE ANTOFAGASTA S A</v>
      </c>
      <c r="R578" s="5" t="s">
        <v>58</v>
      </c>
      <c r="S578" s="6">
        <v>45842</v>
      </c>
      <c r="T578" s="5" t="str">
        <f>UPPER(IF(Tabla2[[#This Row],[FECHA DE MUESTREO ]]=0,"",TEXT(Tabla2[[#This Row],[FECHA DE MUESTREO ]],("MMMM"))))</f>
        <v/>
      </c>
      <c r="U578" s="6"/>
      <c r="V578" s="5" t="s">
        <v>59</v>
      </c>
      <c r="W5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78" s="7">
        <f t="shared" si="22"/>
        <v>3</v>
      </c>
      <c r="AC578" s="5">
        <v>620</v>
      </c>
      <c r="AG578" s="5">
        <v>564</v>
      </c>
      <c r="AI578" s="5">
        <f t="shared" si="23"/>
        <v>0</v>
      </c>
    </row>
    <row r="579" spans="1:51" x14ac:dyDescent="0.25">
      <c r="A579" s="5" t="s">
        <v>52</v>
      </c>
      <c r="B579" s="5" t="s">
        <v>128</v>
      </c>
      <c r="C579" s="5" t="s">
        <v>77</v>
      </c>
      <c r="D579" s="5">
        <v>2025</v>
      </c>
      <c r="F579" s="5" t="s">
        <v>55</v>
      </c>
      <c r="G579" s="5" t="s">
        <v>65</v>
      </c>
      <c r="H579" s="5" t="s">
        <v>57</v>
      </c>
      <c r="I579" s="5">
        <v>6</v>
      </c>
      <c r="J579" s="5" t="str">
        <f>IFERROR(VLOOKUP(I579,[1]INFO_LOCALES!$B:$C,2,FALSE),"")</f>
        <v>SINDEMPART</v>
      </c>
      <c r="K579" s="5" t="str">
        <f>IFERROR(VLOOKUP(Tabla2[[#This Row],[TIENDA]],[1]INFO_LOCALES!$B:$D,3,FALSE),"")</f>
        <v>IV - Coquimbo</v>
      </c>
      <c r="L579" s="5" t="str">
        <f>IFERROR(VLOOKUP(I579,[1]INFO_LOCALES!$B:$I,8,FALSE),"")</f>
        <v>Coquimbo</v>
      </c>
      <c r="M579" s="5" t="str">
        <f>IFERROR(VLOOKUP(I579,[1]INFO_LOCALES!$B:$H,7,FALSE),"")</f>
        <v>El Sauce 981</v>
      </c>
      <c r="N579" s="5">
        <f>IFERROR(VLOOKUP(I579,[1]INFO_LOCALES!$B:$E,4,FALSE),"")</f>
        <v>0</v>
      </c>
      <c r="O579" s="5" t="str">
        <f>VLOOKUP(Tabla2[[#This Row],[TIENDA]],[1]INFO_LOCALES!$B:$J,9,0)</f>
        <v>SIN CONVENIO</v>
      </c>
      <c r="P579" s="5" t="str">
        <f>IFERROR(VLOOKUP(I579,[1]INFO_LOCALES!$B:$F,5,FALSE),"")</f>
        <v>AGUAS DEL VALLE S A</v>
      </c>
      <c r="Q579" s="5" t="s">
        <v>214</v>
      </c>
      <c r="R579" s="5" t="s">
        <v>58</v>
      </c>
      <c r="S579" s="6">
        <v>45845</v>
      </c>
      <c r="T579" s="5" t="str">
        <f>UPPER(IF(Tabla2[[#This Row],[FECHA DE MUESTREO ]]=0,"",TEXT(Tabla2[[#This Row],[FECHA DE MUESTREO ]],("MMMM"))))</f>
        <v>ABRIL</v>
      </c>
      <c r="U579" s="6">
        <v>45754</v>
      </c>
      <c r="V579" s="5" t="s">
        <v>59</v>
      </c>
      <c r="W5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79" s="7">
        <f t="shared" si="22"/>
        <v>1</v>
      </c>
      <c r="Y579" s="5">
        <v>2.2999999999999998</v>
      </c>
      <c r="Z579" s="5">
        <v>8.4450000000000003</v>
      </c>
      <c r="AA579" s="5">
        <v>1</v>
      </c>
      <c r="AB579" s="5">
        <v>19</v>
      </c>
      <c r="AC579" s="5">
        <v>20.8</v>
      </c>
      <c r="AD579" s="5">
        <v>1.43</v>
      </c>
      <c r="AE579" s="5">
        <v>24.9</v>
      </c>
      <c r="AF579" s="5">
        <v>0.3</v>
      </c>
      <c r="AG579" s="5">
        <v>19</v>
      </c>
      <c r="AH579" s="5">
        <v>2</v>
      </c>
      <c r="AI579" s="5">
        <f t="shared" si="23"/>
        <v>60</v>
      </c>
    </row>
    <row r="580" spans="1:51" x14ac:dyDescent="0.25">
      <c r="A580" s="5" t="s">
        <v>52</v>
      </c>
      <c r="B580" s="5" t="s">
        <v>128</v>
      </c>
      <c r="C580" s="5" t="s">
        <v>77</v>
      </c>
      <c r="D580" s="5">
        <v>2025</v>
      </c>
      <c r="F580" s="5" t="s">
        <v>55</v>
      </c>
      <c r="G580" s="5" t="s">
        <v>65</v>
      </c>
      <c r="H580" s="5" t="s">
        <v>57</v>
      </c>
      <c r="I580" s="5">
        <v>9</v>
      </c>
      <c r="J580" s="5" t="str">
        <f>IFERROR(VLOOKUP(I580,[1]INFO_LOCALES!$B:$C,2,FALSE),"")</f>
        <v>COQUIMBO</v>
      </c>
      <c r="K580" s="5" t="str">
        <f>IFERROR(VLOOKUP(Tabla2[[#This Row],[TIENDA]],[1]INFO_LOCALES!$B:$D,3,FALSE),"")</f>
        <v>IV - Coquimbo</v>
      </c>
      <c r="L580" s="5" t="str">
        <f>IFERROR(VLOOKUP(I580,[1]INFO_LOCALES!$B:$I,8,FALSE),"")</f>
        <v>Coquimbo</v>
      </c>
      <c r="M580" s="5" t="str">
        <f>IFERROR(VLOOKUP(I580,[1]INFO_LOCALES!$B:$H,7,FALSE),"")</f>
        <v>Francisco Varela 1480</v>
      </c>
      <c r="N580" s="5">
        <f>IFERROR(VLOOKUP(I580,[1]INFO_LOCALES!$B:$E,4,FALSE),"")</f>
        <v>0</v>
      </c>
      <c r="O580" s="5" t="str">
        <f>VLOOKUP(Tabla2[[#This Row],[TIENDA]],[1]INFO_LOCALES!$B:$J,9,0)</f>
        <v>SIN CONVENIO</v>
      </c>
      <c r="P580" s="5" t="str">
        <f>IFERROR(VLOOKUP(I580,[1]INFO_LOCALES!$B:$F,5,FALSE),"")</f>
        <v>AGUAS DEL VALLE S A</v>
      </c>
      <c r="Q580" s="5" t="s">
        <v>66</v>
      </c>
      <c r="R580" s="5" t="s">
        <v>58</v>
      </c>
      <c r="S580" s="6">
        <v>45866</v>
      </c>
      <c r="T580" s="5" t="str">
        <f>UPPER(IF(Tabla2[[#This Row],[FECHA DE MUESTREO ]]=0,"",TEXT(Tabla2[[#This Row],[FECHA DE MUESTREO ]],("MMMM"))))</f>
        <v>JUNIO</v>
      </c>
      <c r="U580" s="6">
        <v>45826</v>
      </c>
      <c r="V580" s="5" t="s">
        <v>59</v>
      </c>
      <c r="W5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80" s="7">
        <f t="shared" si="22"/>
        <v>1</v>
      </c>
      <c r="Y580" s="5">
        <v>5.47</v>
      </c>
      <c r="Z580" s="5">
        <v>7.9</v>
      </c>
      <c r="AA580" s="5">
        <v>2</v>
      </c>
      <c r="AB580" s="5">
        <v>19.2</v>
      </c>
      <c r="AC580" s="5">
        <v>158</v>
      </c>
      <c r="AD580" s="5">
        <v>11.31</v>
      </c>
      <c r="AE580" s="5">
        <v>71</v>
      </c>
      <c r="AF580" s="5">
        <v>5.5</v>
      </c>
      <c r="AG580" s="5">
        <v>176.67</v>
      </c>
      <c r="AH580" s="13">
        <f>0.616*8*3600/1000</f>
        <v>17.7408</v>
      </c>
      <c r="AI580" s="5">
        <f t="shared" si="23"/>
        <v>532.22400000000005</v>
      </c>
    </row>
    <row r="581" spans="1:51" x14ac:dyDescent="0.25">
      <c r="A581" s="5" t="s">
        <v>52</v>
      </c>
      <c r="B581" s="5" t="s">
        <v>128</v>
      </c>
      <c r="C581" s="5" t="s">
        <v>77</v>
      </c>
      <c r="D581" s="5">
        <v>2025</v>
      </c>
      <c r="F581" s="5" t="s">
        <v>55</v>
      </c>
      <c r="G581" s="5" t="s">
        <v>65</v>
      </c>
      <c r="H581" s="5" t="s">
        <v>57</v>
      </c>
      <c r="I581" s="5">
        <v>11</v>
      </c>
      <c r="J581" s="5" t="str">
        <f>IFERROR(VLOOKUP(I581,[1]INFO_LOCALES!$B:$C,2,FALSE),"")</f>
        <v>ALTO PEÑUELAS</v>
      </c>
      <c r="K581" s="5" t="str">
        <f>IFERROR(VLOOKUP(Tabla2[[#This Row],[TIENDA]],[1]INFO_LOCALES!$B:$D,3,FALSE),"")</f>
        <v>IV - Coquimbo</v>
      </c>
      <c r="L581" s="5" t="str">
        <f>IFERROR(VLOOKUP(I581,[1]INFO_LOCALES!$B:$I,8,FALSE),"")</f>
        <v>Coquimbo</v>
      </c>
      <c r="M581" s="5" t="str">
        <f>IFERROR(VLOOKUP(I581,[1]INFO_LOCALES!$B:$H,7,FALSE),"")</f>
        <v>Alessandri 531</v>
      </c>
      <c r="N581" s="5">
        <f>IFERROR(VLOOKUP(I581,[1]INFO_LOCALES!$B:$E,4,FALSE),"")</f>
        <v>0</v>
      </c>
      <c r="O581" s="5" t="str">
        <f>VLOOKUP(Tabla2[[#This Row],[TIENDA]],[1]INFO_LOCALES!$B:$J,9,0)</f>
        <v>SIN CONVENIO</v>
      </c>
      <c r="P581" s="5" t="str">
        <f>IFERROR(VLOOKUP(I581,[1]INFO_LOCALES!$B:$F,5,FALSE),"")</f>
        <v>AGUAS DEL VALLE S A</v>
      </c>
      <c r="Q581" s="5" t="s">
        <v>66</v>
      </c>
      <c r="R581" s="5" t="s">
        <v>58</v>
      </c>
      <c r="S581" s="6">
        <v>45866</v>
      </c>
      <c r="T581" s="5" t="str">
        <f>UPPER(IF(Tabla2[[#This Row],[FECHA DE MUESTREO ]]=0,"",TEXT(Tabla2[[#This Row],[FECHA DE MUESTREO ]],("MMMM"))))</f>
        <v>JUNIO</v>
      </c>
      <c r="U581" s="6">
        <v>45819</v>
      </c>
      <c r="V581" s="5" t="s">
        <v>59</v>
      </c>
      <c r="W5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81" s="7">
        <f t="shared" si="22"/>
        <v>1</v>
      </c>
      <c r="Y581" s="5">
        <v>2</v>
      </c>
      <c r="Z581" s="5">
        <v>8.5</v>
      </c>
      <c r="AA581" s="5">
        <v>2</v>
      </c>
      <c r="AB581" s="5">
        <v>17.3</v>
      </c>
      <c r="AC581" s="5">
        <v>291</v>
      </c>
      <c r="AD581" s="5">
        <v>12.5</v>
      </c>
      <c r="AE581" s="5">
        <v>56.5</v>
      </c>
      <c r="AF581" s="5">
        <v>1</v>
      </c>
      <c r="AG581" s="5">
        <v>131.75</v>
      </c>
      <c r="AI581" s="5">
        <f t="shared" si="23"/>
        <v>0</v>
      </c>
    </row>
    <row r="582" spans="1:51" x14ac:dyDescent="0.25">
      <c r="A582" s="5" t="s">
        <v>52</v>
      </c>
      <c r="B582" s="5" t="s">
        <v>82</v>
      </c>
      <c r="C582" s="5" t="s">
        <v>77</v>
      </c>
      <c r="F582" s="5" t="s">
        <v>55</v>
      </c>
      <c r="G582" s="5" t="s">
        <v>65</v>
      </c>
      <c r="H582" s="5" t="s">
        <v>57</v>
      </c>
      <c r="I582" s="5">
        <v>14</v>
      </c>
      <c r="J582" s="5" t="str">
        <f>IFERROR(VLOOKUP(I582,[1]INFO_LOCALES!$B:$C,2,FALSE),"")</f>
        <v>COPIAPO</v>
      </c>
      <c r="K582" s="5" t="str">
        <f>IFERROR(VLOOKUP(Tabla2[[#This Row],[TIENDA]],[1]INFO_LOCALES!$B:$D,3,FALSE),"")</f>
        <v>III - Atacama</v>
      </c>
      <c r="L582" s="5" t="str">
        <f>IFERROR(VLOOKUP(I582,[1]INFO_LOCALES!$B:$I,8,FALSE),"")</f>
        <v>Copiapó</v>
      </c>
      <c r="M582" s="5" t="str">
        <f>IFERROR(VLOOKUP(I582,[1]INFO_LOCALES!$B:$H,7,FALSE),"")</f>
        <v>Av. Henrriquez N° 523</v>
      </c>
      <c r="N582" s="5">
        <f>IFERROR(VLOOKUP(I582,[1]INFO_LOCALES!$B:$E,4,FALSE),"")</f>
        <v>0</v>
      </c>
      <c r="O582" s="5" t="str">
        <f>VLOOKUP(Tabla2[[#This Row],[TIENDA]],[1]INFO_LOCALES!$B:$J,9,0)</f>
        <v>CONVENIO</v>
      </c>
      <c r="P582" s="5" t="str">
        <f>IFERROR(VLOOKUP(I582,[1]INFO_LOCALES!$B:$F,5,FALSE),"")</f>
        <v>NUEVA ATACAMA</v>
      </c>
      <c r="Q582" s="5" t="s">
        <v>66</v>
      </c>
      <c r="R582" s="5" t="s">
        <v>58</v>
      </c>
      <c r="S582" s="6">
        <v>45845</v>
      </c>
      <c r="T582" s="5" t="str">
        <f>UPPER(IF(Tabla2[[#This Row],[FECHA DE MUESTREO ]]=0,"",TEXT(Tabla2[[#This Row],[FECHA DE MUESTREO ]],("MMMM"))))</f>
        <v>MAYO</v>
      </c>
      <c r="U582" s="6">
        <v>45785</v>
      </c>
      <c r="V582" s="5" t="s">
        <v>59</v>
      </c>
      <c r="W5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82" s="7">
        <f t="shared" si="22"/>
        <v>2</v>
      </c>
      <c r="Y582" s="5">
        <v>11.4</v>
      </c>
      <c r="AA582" s="5">
        <v>2</v>
      </c>
      <c r="AC582" s="5">
        <v>322</v>
      </c>
      <c r="AD582" s="5">
        <v>9.4700000000000006</v>
      </c>
      <c r="AE582" s="5">
        <v>31</v>
      </c>
      <c r="AF582" s="5">
        <v>1</v>
      </c>
      <c r="AG582" s="5">
        <v>35</v>
      </c>
      <c r="AI582" s="5">
        <f t="shared" si="23"/>
        <v>0</v>
      </c>
      <c r="AY582" s="5">
        <v>0.38</v>
      </c>
    </row>
    <row r="583" spans="1:51" x14ac:dyDescent="0.25">
      <c r="A583" s="5" t="s">
        <v>52</v>
      </c>
      <c r="B583" s="5" t="s">
        <v>103</v>
      </c>
      <c r="C583" s="5" t="s">
        <v>77</v>
      </c>
      <c r="F583" s="5" t="s">
        <v>55</v>
      </c>
      <c r="G583" s="5" t="s">
        <v>65</v>
      </c>
      <c r="H583" s="5" t="s">
        <v>57</v>
      </c>
      <c r="I583" s="5">
        <v>19</v>
      </c>
      <c r="J583" s="5" t="str">
        <f>IFERROR(VLOOKUP(I583,[1]INFO_LOCALES!$B:$C,2,FALSE),"")</f>
        <v>BONILLA</v>
      </c>
      <c r="K583" s="5" t="str">
        <f>IFERROR(VLOOKUP(Tabla2[[#This Row],[TIENDA]],[1]INFO_LOCALES!$B:$D,3,FALSE),"")</f>
        <v>II - Antofagasta</v>
      </c>
      <c r="L583" s="5" t="str">
        <f>IFERROR(VLOOKUP(I583,[1]INFO_LOCALES!$B:$I,8,FALSE),"")</f>
        <v>Antofagasta</v>
      </c>
      <c r="M583" s="5" t="str">
        <f>IFERROR(VLOOKUP(I583,[1]INFO_LOCALES!$B:$H,7,FALSE),"")</f>
        <v>Huamachuco 8481</v>
      </c>
      <c r="N583" s="5">
        <f>IFERROR(VLOOKUP(I583,[1]INFO_LOCALES!$B:$E,4,FALSE),"")</f>
        <v>0</v>
      </c>
      <c r="O583" s="5" t="str">
        <f>VLOOKUP(Tabla2[[#This Row],[TIENDA]],[1]INFO_LOCALES!$B:$J,9,0)</f>
        <v>SIN CONVENIO</v>
      </c>
      <c r="P583" s="5" t="str">
        <f>IFERROR(VLOOKUP(I583,[1]INFO_LOCALES!$B:$F,5,FALSE),"")</f>
        <v>AGUAS DE ANTOFAGASTA S A</v>
      </c>
      <c r="Q583" s="5" t="s">
        <v>105</v>
      </c>
      <c r="R583" s="5" t="s">
        <v>58</v>
      </c>
      <c r="S583" s="6">
        <v>45845</v>
      </c>
      <c r="T583" s="5" t="str">
        <f>UPPER(IF(Tabla2[[#This Row],[FECHA DE MUESTREO ]]=0,"",TEXT(Tabla2[[#This Row],[FECHA DE MUESTREO ]],("MMMM"))))</f>
        <v>MAYO</v>
      </c>
      <c r="U583" s="6">
        <v>45796</v>
      </c>
      <c r="V583" s="5" t="s">
        <v>59</v>
      </c>
      <c r="W5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83" s="7">
        <f t="shared" si="22"/>
        <v>2</v>
      </c>
      <c r="Y583" s="5">
        <v>18</v>
      </c>
      <c r="Z583" s="5">
        <f>AVERAGE(5.71,6.64,6.91,6.87,6.96,7.09,7)</f>
        <v>6.7399999999999993</v>
      </c>
      <c r="AC583" s="5">
        <v>407</v>
      </c>
      <c r="AD583" s="5">
        <v>9.92</v>
      </c>
      <c r="AE583" s="5">
        <v>12.67</v>
      </c>
      <c r="AI583" s="5">
        <f t="shared" si="23"/>
        <v>0</v>
      </c>
    </row>
    <row r="584" spans="1:51" x14ac:dyDescent="0.25">
      <c r="A584" s="5" t="s">
        <v>52</v>
      </c>
      <c r="B584" s="5" t="s">
        <v>82</v>
      </c>
      <c r="C584" s="5" t="s">
        <v>77</v>
      </c>
      <c r="F584" s="5" t="s">
        <v>55</v>
      </c>
      <c r="G584" s="5" t="s">
        <v>56</v>
      </c>
      <c r="H584" s="5" t="s">
        <v>57</v>
      </c>
      <c r="I584" s="5">
        <v>22</v>
      </c>
      <c r="J584" s="5" t="str">
        <f>IFERROR(VLOOKUP(I584,[1]INFO_LOCALES!$B:$C,2,FALSE),"")</f>
        <v>ATACAMA</v>
      </c>
      <c r="K584" s="5" t="str">
        <f>IFERROR(VLOOKUP(Tabla2[[#This Row],[TIENDA]],[1]INFO_LOCALES!$B:$D,3,FALSE),"")</f>
        <v>III - Atacama</v>
      </c>
      <c r="L584" s="5" t="str">
        <f>IFERROR(VLOOKUP(I584,[1]INFO_LOCALES!$B:$I,8,FALSE),"")</f>
        <v>Copiapó</v>
      </c>
      <c r="M584" s="5" t="str">
        <f>IFERROR(VLOOKUP(I584,[1]INFO_LOCALES!$B:$H,7,FALSE),"")</f>
        <v>Los Carreras 2242</v>
      </c>
      <c r="N584" s="5">
        <f>IFERROR(VLOOKUP(I584,[1]INFO_LOCALES!$B:$E,4,FALSE),"")</f>
        <v>2666</v>
      </c>
      <c r="O584" s="5" t="str">
        <f>VLOOKUP(Tabla2[[#This Row],[TIENDA]],[1]INFO_LOCALES!$B:$J,9,0)</f>
        <v>CONVENIO</v>
      </c>
      <c r="P584" s="5" t="str">
        <f>IFERROR(VLOOKUP(I584,[1]INFO_LOCALES!$B:$F,5,FALSE),"")</f>
        <v>NUEVA ATACAMA</v>
      </c>
      <c r="Q584" s="5" t="s">
        <v>66</v>
      </c>
      <c r="R584" s="5" t="s">
        <v>58</v>
      </c>
      <c r="S584" s="6">
        <v>45845</v>
      </c>
      <c r="T584" s="5" t="str">
        <f>UPPER(IF(Tabla2[[#This Row],[FECHA DE MUESTREO ]]=0,"",TEXT(Tabla2[[#This Row],[FECHA DE MUESTREO ]],("MMMM"))))</f>
        <v>MAYO</v>
      </c>
      <c r="U584" s="6">
        <v>45791</v>
      </c>
      <c r="V584" s="5" t="s">
        <v>59</v>
      </c>
      <c r="W5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84" s="7">
        <f t="shared" si="22"/>
        <v>3</v>
      </c>
      <c r="Y584" s="5">
        <v>8.6999999999999993</v>
      </c>
      <c r="AA584" s="5">
        <v>2</v>
      </c>
      <c r="AC584" s="5">
        <v>661</v>
      </c>
      <c r="AD584" s="5">
        <v>12.38</v>
      </c>
      <c r="AE584" s="5">
        <v>94.8</v>
      </c>
      <c r="AF584" s="5">
        <v>10</v>
      </c>
      <c r="AG584" s="5">
        <v>465.22</v>
      </c>
      <c r="AI584" s="5">
        <f t="shared" si="23"/>
        <v>0</v>
      </c>
      <c r="AY584" s="5">
        <v>0.15</v>
      </c>
    </row>
    <row r="585" spans="1:51" x14ac:dyDescent="0.25">
      <c r="A585" s="5" t="s">
        <v>52</v>
      </c>
      <c r="B585" s="5" t="s">
        <v>82</v>
      </c>
      <c r="C585" s="5" t="s">
        <v>77</v>
      </c>
      <c r="F585" s="5" t="s">
        <v>55</v>
      </c>
      <c r="G585" s="5" t="s">
        <v>65</v>
      </c>
      <c r="H585" s="5" t="s">
        <v>57</v>
      </c>
      <c r="I585" s="5">
        <v>32</v>
      </c>
      <c r="J585" s="5" t="str">
        <f>IFERROR(VLOOKUP(I585,[1]INFO_LOCALES!$B:$C,2,FALSE),"")</f>
        <v>CHAÑARCILLO</v>
      </c>
      <c r="K585" s="5" t="str">
        <f>IFERROR(VLOOKUP(Tabla2[[#This Row],[TIENDA]],[1]INFO_LOCALES!$B:$D,3,FALSE),"")</f>
        <v>III - Atacama</v>
      </c>
      <c r="L585" s="5" t="str">
        <f>IFERROR(VLOOKUP(I585,[1]INFO_LOCALES!$B:$I,8,FALSE),"")</f>
        <v>Copiapó</v>
      </c>
      <c r="M585" s="5" t="str">
        <f>IFERROR(VLOOKUP(I585,[1]INFO_LOCALES!$B:$H,7,FALSE),"")</f>
        <v>Chacabuco Nº 231</v>
      </c>
      <c r="N585" s="5">
        <f>IFERROR(VLOOKUP(I585,[1]INFO_LOCALES!$B:$E,4,FALSE),"")</f>
        <v>0</v>
      </c>
      <c r="O585" s="5" t="str">
        <f>VLOOKUP(Tabla2[[#This Row],[TIENDA]],[1]INFO_LOCALES!$B:$J,9,0)</f>
        <v>CONVENIO</v>
      </c>
      <c r="P585" s="5" t="str">
        <f>IFERROR(VLOOKUP(I585,[1]INFO_LOCALES!$B:$F,5,FALSE),"")</f>
        <v>NUEVA ATACAMA</v>
      </c>
      <c r="Q585" s="5" t="s">
        <v>66</v>
      </c>
      <c r="R585" s="5" t="s">
        <v>58</v>
      </c>
      <c r="S585" s="6">
        <v>45845</v>
      </c>
      <c r="T585" s="5" t="str">
        <f>UPPER(IF(Tabla2[[#This Row],[FECHA DE MUESTREO ]]=0,"",TEXT(Tabla2[[#This Row],[FECHA DE MUESTREO ]],("MMMM"))))</f>
        <v>MAYO</v>
      </c>
      <c r="U585" s="6">
        <v>45791</v>
      </c>
      <c r="V585" s="5" t="s">
        <v>59</v>
      </c>
      <c r="W5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85" s="7">
        <f t="shared" si="22"/>
        <v>1</v>
      </c>
      <c r="Y585" s="5">
        <v>8.5</v>
      </c>
      <c r="AA585" s="5">
        <v>2</v>
      </c>
      <c r="AC585" s="5">
        <v>279</v>
      </c>
      <c r="AD585" s="5">
        <v>6.64</v>
      </c>
      <c r="AE585" s="5">
        <v>51</v>
      </c>
      <c r="AF585" s="5">
        <v>1.6</v>
      </c>
      <c r="AG585" s="5">
        <v>82</v>
      </c>
      <c r="AI585" s="5">
        <f t="shared" si="23"/>
        <v>0</v>
      </c>
      <c r="AY585" s="5">
        <v>0.1</v>
      </c>
    </row>
    <row r="586" spans="1:51" x14ac:dyDescent="0.25">
      <c r="A586" s="5" t="s">
        <v>52</v>
      </c>
      <c r="B586" s="5" t="s">
        <v>103</v>
      </c>
      <c r="C586" s="5" t="s">
        <v>77</v>
      </c>
      <c r="F586" s="5" t="s">
        <v>55</v>
      </c>
      <c r="G586" s="5" t="s">
        <v>61</v>
      </c>
      <c r="H586" s="5" t="s">
        <v>57</v>
      </c>
      <c r="I586" s="5">
        <v>34</v>
      </c>
      <c r="J586" s="5" t="str">
        <f>IFERROR(VLOOKUP(I586,[1]INFO_LOCALES!$B:$C,2,FALSE),"")</f>
        <v>LA CHIMBA</v>
      </c>
      <c r="K586" s="5" t="str">
        <f>IFERROR(VLOOKUP(Tabla2[[#This Row],[TIENDA]],[1]INFO_LOCALES!$B:$D,3,FALSE),"")</f>
        <v>II - Antofagasta</v>
      </c>
      <c r="L586" s="5" t="str">
        <f>IFERROR(VLOOKUP(I586,[1]INFO_LOCALES!$B:$I,8,FALSE),"")</f>
        <v>Antofagasta</v>
      </c>
      <c r="M586" s="5" t="str">
        <f>IFERROR(VLOOKUP(I586,[1]INFO_LOCALES!$B:$H,7,FALSE),"")</f>
        <v>Pedro Aguirre Cerda 8700</v>
      </c>
      <c r="N586" s="5">
        <f>IFERROR(VLOOKUP(I586,[1]INFO_LOCALES!$B:$E,4,FALSE),"")</f>
        <v>0</v>
      </c>
      <c r="O586" s="5" t="str">
        <f>VLOOKUP(Tabla2[[#This Row],[TIENDA]],[1]INFO_LOCALES!$B:$J,9,0)</f>
        <v>SIN CONVENIO</v>
      </c>
      <c r="P586" s="5" t="str">
        <f>IFERROR(VLOOKUP(I586,[1]INFO_LOCALES!$B:$F,5,FALSE),"")</f>
        <v>AGUAS DE ANTOFAGASTA S A</v>
      </c>
      <c r="R586" s="5" t="s">
        <v>58</v>
      </c>
      <c r="S586" s="6">
        <v>45855</v>
      </c>
      <c r="T586" s="5" t="str">
        <f>UPPER(IF(Tabla2[[#This Row],[FECHA DE MUESTREO ]]=0,"",TEXT(Tabla2[[#This Row],[FECHA DE MUESTREO ]],("MMMM"))))</f>
        <v>FEBRERO</v>
      </c>
      <c r="U586" s="6">
        <v>45707</v>
      </c>
      <c r="V586" s="5" t="s">
        <v>59</v>
      </c>
      <c r="W5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586" s="7">
        <f t="shared" si="22"/>
        <v>3</v>
      </c>
      <c r="Y586" s="5">
        <v>174</v>
      </c>
      <c r="AC586" s="5">
        <v>1615</v>
      </c>
      <c r="AD586" s="5">
        <v>23.26</v>
      </c>
      <c r="AG586" s="5">
        <v>370</v>
      </c>
      <c r="AI586" s="5">
        <f t="shared" si="23"/>
        <v>0</v>
      </c>
    </row>
    <row r="587" spans="1:51" x14ac:dyDescent="0.25">
      <c r="A587" s="5" t="s">
        <v>52</v>
      </c>
      <c r="B587" s="5" t="s">
        <v>82</v>
      </c>
      <c r="C587" s="5" t="s">
        <v>77</v>
      </c>
      <c r="F587" s="5" t="s">
        <v>55</v>
      </c>
      <c r="G587" s="5" t="s">
        <v>65</v>
      </c>
      <c r="H587" s="5" t="s">
        <v>57</v>
      </c>
      <c r="I587" s="5">
        <v>472</v>
      </c>
      <c r="J587" s="5" t="str">
        <f>IFERROR(VLOOKUP(I587,[1]INFO_LOCALES!$B:$C,2,FALSE),"")</f>
        <v>CALDERA I</v>
      </c>
      <c r="K587" s="5" t="str">
        <f>IFERROR(VLOOKUP(Tabla2[[#This Row],[TIENDA]],[1]INFO_LOCALES!$B:$D,3,FALSE),"")</f>
        <v>III - Atacama</v>
      </c>
      <c r="L587" s="5" t="str">
        <f>IFERROR(VLOOKUP(I587,[1]INFO_LOCALES!$B:$I,8,FALSE),"")</f>
        <v>Caldera</v>
      </c>
      <c r="M587" s="5" t="str">
        <f>IFERROR(VLOOKUP(I587,[1]INFO_LOCALES!$B:$H,7,FALSE),"")</f>
        <v>Batallon Atacama 319</v>
      </c>
      <c r="N587" s="5">
        <f>IFERROR(VLOOKUP(I587,[1]INFO_LOCALES!$B:$E,4,FALSE),"")</f>
        <v>0</v>
      </c>
      <c r="O587" s="5" t="str">
        <f>VLOOKUP(Tabla2[[#This Row],[TIENDA]],[1]INFO_LOCALES!$B:$J,9,0)</f>
        <v>CONVENIO</v>
      </c>
      <c r="P587" s="5" t="str">
        <f>IFERROR(VLOOKUP(I587,[1]INFO_LOCALES!$B:$F,5,FALSE),"")</f>
        <v>NUEVA ATACAMA</v>
      </c>
      <c r="Q587" s="5" t="s">
        <v>66</v>
      </c>
      <c r="R587" s="5" t="s">
        <v>58</v>
      </c>
      <c r="S587" s="6">
        <v>45845</v>
      </c>
      <c r="T587" s="5" t="str">
        <f>UPPER(IF(Tabla2[[#This Row],[FECHA DE MUESTREO ]]=0,"",TEXT(Tabla2[[#This Row],[FECHA DE MUESTREO ]],("MMMM"))))</f>
        <v>MAYO</v>
      </c>
      <c r="U587" s="6">
        <v>45804</v>
      </c>
      <c r="V587" s="5" t="s">
        <v>59</v>
      </c>
      <c r="W5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87" s="7">
        <f t="shared" si="22"/>
        <v>1</v>
      </c>
      <c r="Y587" s="5">
        <v>8.43</v>
      </c>
      <c r="AA587" s="5">
        <v>2</v>
      </c>
      <c r="AC587" s="5">
        <v>143</v>
      </c>
      <c r="AD587" s="5">
        <v>4.4800000000000004</v>
      </c>
      <c r="AE587" s="5">
        <v>7.6</v>
      </c>
      <c r="AF587" s="5">
        <v>1</v>
      </c>
      <c r="AG587" s="5">
        <v>23</v>
      </c>
      <c r="AI587" s="5">
        <f t="shared" si="23"/>
        <v>0</v>
      </c>
      <c r="AY587" s="5">
        <v>0.19</v>
      </c>
    </row>
    <row r="588" spans="1:51" x14ac:dyDescent="0.25">
      <c r="A588" s="5" t="s">
        <v>52</v>
      </c>
      <c r="B588" s="5" t="s">
        <v>69</v>
      </c>
      <c r="C588" s="5" t="s">
        <v>70</v>
      </c>
      <c r="F588" s="5" t="s">
        <v>55</v>
      </c>
      <c r="G588" s="5" t="s">
        <v>65</v>
      </c>
      <c r="H588" s="5" t="s">
        <v>57</v>
      </c>
      <c r="I588" s="5">
        <v>482</v>
      </c>
      <c r="J588" s="5" t="str">
        <f>IFERROR(VLOOKUP(I588,[1]INFO_LOCALES!$B:$C,2,FALSE),"")</f>
        <v>ABRAZO DE MAIPU</v>
      </c>
      <c r="K588" s="5" t="str">
        <f>IFERROR(VLOOKUP(Tabla2[[#This Row],[TIENDA]],[1]INFO_LOCALES!$B:$D,3,FALSE),"")</f>
        <v>RM - Santiago</v>
      </c>
      <c r="L588" s="5" t="str">
        <f>IFERROR(VLOOKUP(I588,[1]INFO_LOCALES!$B:$I,8,FALSE),"")</f>
        <v>Maipú</v>
      </c>
      <c r="M588" s="5" t="str">
        <f>IFERROR(VLOOKUP(I588,[1]INFO_LOCALES!$B:$H,7,FALSE),"")</f>
        <v>Av. Jorge Guerra 16190</v>
      </c>
      <c r="N588" s="5">
        <f>IFERROR(VLOOKUP(I588,[1]INFO_LOCALES!$B:$E,4,FALSE),"")</f>
        <v>0</v>
      </c>
      <c r="O588" s="5" t="str">
        <f>VLOOKUP(Tabla2[[#This Row],[TIENDA]],[1]INFO_LOCALES!$B:$J,9,0)</f>
        <v>SIN CONVENIO</v>
      </c>
      <c r="P588" s="5" t="str">
        <f>IFERROR(VLOOKUP(I588,[1]INFO_LOCALES!$B:$F,5,FALSE),"")</f>
        <v>SMAPA</v>
      </c>
      <c r="Q588" s="5" t="s">
        <v>71</v>
      </c>
      <c r="R588" s="5" t="s">
        <v>58</v>
      </c>
      <c r="S588" s="6">
        <v>45853</v>
      </c>
      <c r="T588" s="5" t="str">
        <f>UPPER(IF(Tabla2[[#This Row],[FECHA DE MUESTREO ]]=0,"",TEXT(Tabla2[[#This Row],[FECHA DE MUESTREO ]],("MMMM"))))</f>
        <v>MAYO</v>
      </c>
      <c r="U588" s="6">
        <v>45801</v>
      </c>
      <c r="V588" s="5" t="s">
        <v>59</v>
      </c>
      <c r="W5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88" s="7">
        <f t="shared" si="22"/>
        <v>1</v>
      </c>
      <c r="Y588" s="5">
        <v>2.5</v>
      </c>
      <c r="Z588" s="5">
        <v>8.0299999999999994</v>
      </c>
      <c r="AA588" s="5">
        <v>2</v>
      </c>
      <c r="AB588" s="5">
        <v>92</v>
      </c>
      <c r="AC588" s="5">
        <v>20.7</v>
      </c>
      <c r="AD588" s="5">
        <v>5.5</v>
      </c>
      <c r="AE588" s="5">
        <v>16</v>
      </c>
      <c r="AF588" s="5">
        <v>6</v>
      </c>
      <c r="AG588" s="5">
        <v>92</v>
      </c>
      <c r="AI588" s="5">
        <f t="shared" si="23"/>
        <v>0</v>
      </c>
    </row>
    <row r="589" spans="1:51" x14ac:dyDescent="0.25">
      <c r="A589" s="5" t="s">
        <v>52</v>
      </c>
      <c r="B589" s="5" t="s">
        <v>80</v>
      </c>
      <c r="C589" s="5" t="s">
        <v>81</v>
      </c>
      <c r="D589" s="5">
        <v>2025</v>
      </c>
      <c r="F589" s="5" t="s">
        <v>58</v>
      </c>
      <c r="G589" s="5" t="s">
        <v>65</v>
      </c>
      <c r="H589" s="5" t="s">
        <v>57</v>
      </c>
      <c r="I589" s="5">
        <v>519</v>
      </c>
      <c r="J589" s="5" t="str">
        <f>IFERROR(VLOOKUP(I589,[1]INFO_LOCALES!$B:$C,2,FALSE),"")</f>
        <v>TRAIGUEN</v>
      </c>
      <c r="K589" s="5" t="str">
        <f>IFERROR(VLOOKUP(Tabla2[[#This Row],[TIENDA]],[1]INFO_LOCALES!$B:$D,3,FALSE),"")</f>
        <v>IX - Araucanía</v>
      </c>
      <c r="L589" s="5" t="str">
        <f>IFERROR(VLOOKUP(I589,[1]INFO_LOCALES!$B:$I,8,FALSE),"")</f>
        <v>Traiguén</v>
      </c>
      <c r="M589" s="5" t="str">
        <f>IFERROR(VLOOKUP(I589,[1]INFO_LOCALES!$B:$H,7,FALSE),"")</f>
        <v>Santa Cruz 1170</v>
      </c>
      <c r="N589" s="5">
        <f>IFERROR(VLOOKUP(I589,[1]INFO_LOCALES!$B:$E,4,FALSE),"")</f>
        <v>0</v>
      </c>
      <c r="O589" s="5" t="str">
        <f>VLOOKUP(Tabla2[[#This Row],[TIENDA]],[1]INFO_LOCALES!$B:$J,9,0)</f>
        <v>CONVENIO</v>
      </c>
      <c r="P589" s="5" t="str">
        <f>IFERROR(VLOOKUP(I589,[1]INFO_LOCALES!$B:$F,5,FALSE),"")</f>
        <v>AGUAS ARAUCANIA S A</v>
      </c>
      <c r="Q589" s="5" t="s">
        <v>214</v>
      </c>
      <c r="R589" s="5" t="s">
        <v>58</v>
      </c>
      <c r="S589" s="6">
        <v>45845</v>
      </c>
      <c r="T589" s="5" t="str">
        <f>UPPER(IF(Tabla2[[#This Row],[FECHA DE MUESTREO ]]=0,"",TEXT(Tabla2[[#This Row],[FECHA DE MUESTREO ]],("MMMM"))))</f>
        <v>MAYO</v>
      </c>
      <c r="U589" s="6">
        <v>45800</v>
      </c>
      <c r="V589" s="5" t="s">
        <v>59</v>
      </c>
      <c r="W5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89" s="7">
        <f t="shared" si="22"/>
        <v>1</v>
      </c>
      <c r="Y589" s="5">
        <v>14</v>
      </c>
      <c r="AA589" s="5">
        <v>1</v>
      </c>
      <c r="AC589" s="5">
        <v>153</v>
      </c>
      <c r="AD589" s="5">
        <v>8.35</v>
      </c>
      <c r="AE589" s="5">
        <v>29.1</v>
      </c>
      <c r="AF589" s="5">
        <v>0.1</v>
      </c>
      <c r="AG589" s="5">
        <v>46</v>
      </c>
      <c r="AI589" s="5">
        <f t="shared" si="23"/>
        <v>0</v>
      </c>
    </row>
    <row r="590" spans="1:51" x14ac:dyDescent="0.25">
      <c r="A590" s="5" t="s">
        <v>52</v>
      </c>
      <c r="B590" s="5" t="s">
        <v>80</v>
      </c>
      <c r="C590" s="5" t="s">
        <v>81</v>
      </c>
      <c r="D590" s="5">
        <v>2025</v>
      </c>
      <c r="F590" s="5" t="s">
        <v>58</v>
      </c>
      <c r="G590" s="5" t="s">
        <v>65</v>
      </c>
      <c r="H590" s="5" t="s">
        <v>57</v>
      </c>
      <c r="I590" s="5">
        <v>519</v>
      </c>
      <c r="J590" s="5" t="str">
        <f>IFERROR(VLOOKUP(I590,[1]INFO_LOCALES!$B:$C,2,FALSE),"")</f>
        <v>TRAIGUEN</v>
      </c>
      <c r="K590" s="5" t="str">
        <f>IFERROR(VLOOKUP(Tabla2[[#This Row],[TIENDA]],[1]INFO_LOCALES!$B:$D,3,FALSE),"")</f>
        <v>IX - Araucanía</v>
      </c>
      <c r="L590" s="5" t="str">
        <f>IFERROR(VLOOKUP(I590,[1]INFO_LOCALES!$B:$I,8,FALSE),"")</f>
        <v>Traiguén</v>
      </c>
      <c r="M590" s="5" t="str">
        <f>IFERROR(VLOOKUP(I590,[1]INFO_LOCALES!$B:$H,7,FALSE),"")</f>
        <v>Santa Cruz 1170</v>
      </c>
      <c r="N590" s="5">
        <f>IFERROR(VLOOKUP(I590,[1]INFO_LOCALES!$B:$E,4,FALSE),"")</f>
        <v>0</v>
      </c>
      <c r="O590" s="5" t="e">
        <f>VLOOKUP(Tabla2[[#This Row],[TIENDA]],#REF!,8,0)</f>
        <v>#REF!</v>
      </c>
      <c r="P590" s="5" t="str">
        <f>IFERROR(VLOOKUP(I590,[1]INFO_LOCALES!$B:$F,5,FALSE),"")</f>
        <v>AGUAS ARAUCANIA S A</v>
      </c>
      <c r="Q590" s="5" t="s">
        <v>214</v>
      </c>
      <c r="R590" s="5" t="s">
        <v>58</v>
      </c>
      <c r="S590" s="6"/>
      <c r="T590" s="5" t="str">
        <f>UPPER(IF(Tabla2[[#This Row],[FECHA DE MUESTREO ]]=0,"",TEXT(Tabla2[[#This Row],[FECHA DE MUESTREO ]],("MMMM"))))</f>
        <v>MAYO</v>
      </c>
      <c r="U590" s="6">
        <v>45791</v>
      </c>
      <c r="V590" s="5" t="s">
        <v>59</v>
      </c>
      <c r="W5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90" s="7">
        <f>IF(W590="CUMPLE",1,IF(W590="CUMPLE CON TOLERANCIA",2,IF(W590="NO CUMPLE",3)))</f>
        <v>1</v>
      </c>
      <c r="Y590" s="5">
        <v>13.9</v>
      </c>
      <c r="Z590" s="5">
        <v>7.09</v>
      </c>
      <c r="AA590" s="5">
        <v>3</v>
      </c>
      <c r="AB590" s="5">
        <v>14.3</v>
      </c>
      <c r="AC590" s="5">
        <v>44.8</v>
      </c>
      <c r="AD590" s="5">
        <v>3.97</v>
      </c>
      <c r="AE590" s="5">
        <v>66.900000000000006</v>
      </c>
      <c r="AF590" s="5">
        <v>1.2</v>
      </c>
      <c r="AG590" s="5">
        <v>27</v>
      </c>
      <c r="AH590" s="5">
        <v>2.7</v>
      </c>
      <c r="AI590" s="5">
        <f>AH590*30</f>
        <v>81</v>
      </c>
    </row>
    <row r="591" spans="1:51" x14ac:dyDescent="0.25">
      <c r="A591" s="5" t="s">
        <v>52</v>
      </c>
      <c r="B591" s="5" t="s">
        <v>93</v>
      </c>
      <c r="C591" s="5" t="s">
        <v>81</v>
      </c>
      <c r="F591" s="5" t="s">
        <v>55</v>
      </c>
      <c r="G591" s="5" t="s">
        <v>61</v>
      </c>
      <c r="H591" s="5" t="s">
        <v>57</v>
      </c>
      <c r="I591" s="5">
        <v>576</v>
      </c>
      <c r="J591" s="5" t="str">
        <f>IFERROR(VLOOKUP(I591,[1]INFO_LOCALES!$B:$C,2,FALSE),"")</f>
        <v>CASTRO I</v>
      </c>
      <c r="K591" s="5" t="str">
        <f>IFERROR(VLOOKUP(Tabla2[[#This Row],[TIENDA]],[1]INFO_LOCALES!$B:$D,3,FALSE),"")</f>
        <v>X - Los Lagos</v>
      </c>
      <c r="L591" s="5" t="str">
        <f>IFERROR(VLOOKUP(I591,[1]INFO_LOCALES!$B:$I,8,FALSE),"")</f>
        <v>Castro</v>
      </c>
      <c r="M591" s="5" t="str">
        <f>IFERROR(VLOOKUP(I591,[1]INFO_LOCALES!$B:$H,7,FALSE),"")</f>
        <v>O'Higgins 711</v>
      </c>
      <c r="N591" s="5">
        <f>IFERROR(VLOOKUP(I591,[1]INFO_LOCALES!$B:$E,4,FALSE),"")</f>
        <v>3875</v>
      </c>
      <c r="O591" s="5" t="str">
        <f>VLOOKUP(Tabla2[[#This Row],[TIENDA]],[1]INFO_LOCALES!$B:$J,9,0)</f>
        <v>SIN CONVENIO</v>
      </c>
      <c r="P591" s="5" t="str">
        <f>IFERROR(VLOOKUP(I591,[1]INFO_LOCALES!$B:$F,5,FALSE),"")</f>
        <v>SURALIS</v>
      </c>
      <c r="Q591" s="5" t="s">
        <v>85</v>
      </c>
      <c r="R591" s="5" t="s">
        <v>86</v>
      </c>
      <c r="S591" s="6">
        <v>45869</v>
      </c>
      <c r="T591" s="5" t="str">
        <f>UPPER(IF(Tabla2[[#This Row],[FECHA DE MUESTREO ]]=0,"",TEXT(Tabla2[[#This Row],[FECHA DE MUESTREO ]],("MMMM"))))</f>
        <v>JUNIO</v>
      </c>
      <c r="U591" s="6">
        <v>45832</v>
      </c>
      <c r="V591" s="5" t="s">
        <v>59</v>
      </c>
      <c r="W5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91" s="7">
        <f t="shared" si="22"/>
        <v>2</v>
      </c>
      <c r="Y591" s="5">
        <v>23.1</v>
      </c>
      <c r="Z591" s="5">
        <v>6.4</v>
      </c>
      <c r="AA591" s="5">
        <v>9</v>
      </c>
      <c r="AB591" s="5">
        <v>10.3</v>
      </c>
      <c r="AC591" s="5">
        <v>312</v>
      </c>
      <c r="AD591" s="5">
        <v>11.2</v>
      </c>
      <c r="AE591" s="5">
        <v>35.700000000000003</v>
      </c>
      <c r="AF591" s="5">
        <v>0.5</v>
      </c>
      <c r="AG591" s="5">
        <v>97</v>
      </c>
      <c r="AH591" s="5">
        <v>2</v>
      </c>
      <c r="AI591" s="5">
        <f t="shared" si="23"/>
        <v>60</v>
      </c>
    </row>
    <row r="592" spans="1:51" x14ac:dyDescent="0.25">
      <c r="A592" s="5" t="s">
        <v>52</v>
      </c>
      <c r="B592" s="5" t="s">
        <v>117</v>
      </c>
      <c r="C592" s="5" t="s">
        <v>81</v>
      </c>
      <c r="F592" s="5" t="s">
        <v>58</v>
      </c>
      <c r="G592" s="5" t="s">
        <v>65</v>
      </c>
      <c r="H592" s="5" t="s">
        <v>57</v>
      </c>
      <c r="I592" s="5">
        <v>754</v>
      </c>
      <c r="J592" s="5" t="str">
        <f>IFERROR(VLOOKUP(I592,[1]INFO_LOCALES!$B:$C,2,FALSE),"")</f>
        <v>TEMUCO IV</v>
      </c>
      <c r="K592" s="5" t="str">
        <f>IFERROR(VLOOKUP(Tabla2[[#This Row],[TIENDA]],[1]INFO_LOCALES!$B:$D,3,FALSE),"")</f>
        <v>IX - Araucanía</v>
      </c>
      <c r="L592" s="5" t="str">
        <f>IFERROR(VLOOKUP(I592,[1]INFO_LOCALES!$B:$I,8,FALSE),"")</f>
        <v>Temuco</v>
      </c>
      <c r="M592" s="5" t="str">
        <f>IFERROR(VLOOKUP(I592,[1]INFO_LOCALES!$B:$H,7,FALSE),"")</f>
        <v>Avenida Javiera Carrera 1610</v>
      </c>
      <c r="N592" s="5">
        <f>IFERROR(VLOOKUP(I592,[1]INFO_LOCALES!$B:$E,4,FALSE),"")</f>
        <v>0</v>
      </c>
      <c r="O592" s="5" t="str">
        <f>VLOOKUP(Tabla2[[#This Row],[TIENDA]],[1]INFO_LOCALES!$B:$J,9,0)</f>
        <v>CONVENIO</v>
      </c>
      <c r="P592" s="5" t="str">
        <f>IFERROR(VLOOKUP(I592,[1]INFO_LOCALES!$B:$F,5,FALSE),"")</f>
        <v>AGUAS ARAUCANIA S A</v>
      </c>
      <c r="Q592" s="5" t="s">
        <v>214</v>
      </c>
      <c r="R592" s="5" t="s">
        <v>58</v>
      </c>
      <c r="S592" s="6"/>
      <c r="T592" s="5" t="str">
        <f>UPPER(IF(Tabla2[[#This Row],[FECHA DE MUESTREO ]]=0,"",TEXT(Tabla2[[#This Row],[FECHA DE MUESTREO ]],("MMMM"))))</f>
        <v>JULIO</v>
      </c>
      <c r="U592" s="6">
        <v>45856</v>
      </c>
      <c r="V592" s="5" t="s">
        <v>59</v>
      </c>
      <c r="W5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92" s="7">
        <f t="shared" si="22"/>
        <v>2</v>
      </c>
      <c r="Y592" s="5">
        <v>13.1</v>
      </c>
      <c r="Z592" s="5">
        <v>7.82</v>
      </c>
      <c r="AA592" s="5">
        <v>3</v>
      </c>
      <c r="AB592" s="5">
        <v>11.2</v>
      </c>
      <c r="AC592" s="5">
        <v>226</v>
      </c>
      <c r="AD592" s="5">
        <v>10.1</v>
      </c>
      <c r="AE592" s="5">
        <v>93.8</v>
      </c>
      <c r="AF592" s="5">
        <v>1.5</v>
      </c>
      <c r="AG592" s="5">
        <v>108</v>
      </c>
      <c r="AH592" s="5">
        <v>4</v>
      </c>
      <c r="AI592" s="5">
        <f t="shared" si="23"/>
        <v>120</v>
      </c>
    </row>
    <row r="593" spans="1:50" x14ac:dyDescent="0.25">
      <c r="A593" s="5" t="s">
        <v>52</v>
      </c>
      <c r="B593" s="5" t="s">
        <v>90</v>
      </c>
      <c r="C593" s="5" t="s">
        <v>81</v>
      </c>
      <c r="F593" s="5" t="s">
        <v>55</v>
      </c>
      <c r="G593" s="5" t="s">
        <v>61</v>
      </c>
      <c r="H593" s="5" t="s">
        <v>57</v>
      </c>
      <c r="I593" s="5">
        <v>777</v>
      </c>
      <c r="J593" s="5" t="str">
        <f>IFERROR(VLOOKUP(I593,[1]INFO_LOCALES!$B:$C,2,FALSE),"")</f>
        <v>CENTRAL</v>
      </c>
      <c r="K593" s="5" t="str">
        <f>IFERROR(VLOOKUP(Tabla2[[#This Row],[TIENDA]],[1]INFO_LOCALES!$B:$D,3,FALSE),"")</f>
        <v>X - Los Lagos</v>
      </c>
      <c r="L593" s="5" t="str">
        <f>IFERROR(VLOOKUP(I593,[1]INFO_LOCALES!$B:$I,8,FALSE),"")</f>
        <v>Osorno</v>
      </c>
      <c r="M593" s="5" t="str">
        <f>IFERROR(VLOOKUP(I593,[1]INFO_LOCALES!$B:$H,7,FALSE),"")</f>
        <v>Patricio Lynch 1278</v>
      </c>
      <c r="N593" s="5">
        <f>IFERROR(VLOOKUP(I593,[1]INFO_LOCALES!$B:$E,4,FALSE),"")</f>
        <v>3684</v>
      </c>
      <c r="O593" s="5" t="str">
        <f>VLOOKUP(Tabla2[[#This Row],[TIENDA]],[1]INFO_LOCALES!$B:$J,9,0)</f>
        <v>CONVENIO</v>
      </c>
      <c r="P593" s="5" t="str">
        <f>IFERROR(VLOOKUP(I593,[1]INFO_LOCALES!$B:$F,5,FALSE),"")</f>
        <v>SURALIS</v>
      </c>
      <c r="Q593" s="5" t="s">
        <v>105</v>
      </c>
      <c r="R593" s="5" t="s">
        <v>58</v>
      </c>
      <c r="S593" s="6">
        <v>45869</v>
      </c>
      <c r="T593" s="5" t="str">
        <f>UPPER(IF(Tabla2[[#This Row],[FECHA DE MUESTREO ]]=0,"",TEXT(Tabla2[[#This Row],[FECHA DE MUESTREO ]],("MMMM"))))</f>
        <v>JUNIO</v>
      </c>
      <c r="U593" s="6">
        <v>45827</v>
      </c>
      <c r="V593" s="5" t="s">
        <v>59</v>
      </c>
      <c r="W5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93" s="7">
        <f t="shared" si="22"/>
        <v>1</v>
      </c>
      <c r="Y593" s="5">
        <v>14</v>
      </c>
      <c r="Z593" s="5">
        <v>7.46</v>
      </c>
      <c r="AA593" s="5">
        <v>5</v>
      </c>
      <c r="AB593" s="5">
        <v>12.8</v>
      </c>
      <c r="AC593" s="5">
        <v>170</v>
      </c>
      <c r="AD593" s="5">
        <v>6.1</v>
      </c>
      <c r="AE593" s="5">
        <v>3.04</v>
      </c>
      <c r="AF593" s="5">
        <v>0.5</v>
      </c>
      <c r="AG593" s="5">
        <v>95</v>
      </c>
      <c r="AI593" s="5">
        <f t="shared" si="23"/>
        <v>0</v>
      </c>
    </row>
    <row r="594" spans="1:50" x14ac:dyDescent="0.25">
      <c r="A594" s="5" t="s">
        <v>52</v>
      </c>
      <c r="B594" s="5" t="s">
        <v>90</v>
      </c>
      <c r="C594" s="5" t="s">
        <v>81</v>
      </c>
      <c r="F594" s="5" t="s">
        <v>55</v>
      </c>
      <c r="G594" s="5" t="s">
        <v>61</v>
      </c>
      <c r="H594" s="5" t="s">
        <v>57</v>
      </c>
      <c r="I594" s="5">
        <v>778</v>
      </c>
      <c r="J594" s="5" t="str">
        <f>IFERROR(VLOOKUP(I594,[1]INFO_LOCALES!$B:$C,2,FALSE),"")</f>
        <v>ORIENTE</v>
      </c>
      <c r="K594" s="5" t="str">
        <f>IFERROR(VLOOKUP(Tabla2[[#This Row],[TIENDA]],[1]INFO_LOCALES!$B:$D,3,FALSE),"")</f>
        <v>X - Los Lagos</v>
      </c>
      <c r="L594" s="5" t="str">
        <f>IFERROR(VLOOKUP(I594,[1]INFO_LOCALES!$B:$I,8,FALSE),"")</f>
        <v>Osorno</v>
      </c>
      <c r="M594" s="5" t="str">
        <f>IFERROR(VLOOKUP(I594,[1]INFO_LOCALES!$B:$H,7,FALSE),"")</f>
        <v>Julio Buschman 2223</v>
      </c>
      <c r="N594" s="5">
        <f>IFERROR(VLOOKUP(I594,[1]INFO_LOCALES!$B:$E,4,FALSE),"")</f>
        <v>2867</v>
      </c>
      <c r="O594" s="5" t="str">
        <f>VLOOKUP(Tabla2[[#This Row],[TIENDA]],[1]INFO_LOCALES!$B:$J,9,0)</f>
        <v>CONVENIO</v>
      </c>
      <c r="P594" s="5" t="str">
        <f>IFERROR(VLOOKUP(I594,[1]INFO_LOCALES!$B:$F,5,FALSE),"")</f>
        <v>SURALIS</v>
      </c>
      <c r="Q594" s="5" t="s">
        <v>105</v>
      </c>
      <c r="R594" s="5" t="s">
        <v>58</v>
      </c>
      <c r="S594" s="6">
        <v>45869</v>
      </c>
      <c r="T594" s="5" t="str">
        <f>UPPER(IF(Tabla2[[#This Row],[FECHA DE MUESTREO ]]=0,"",TEXT(Tabla2[[#This Row],[FECHA DE MUESTREO ]],("MMMM"))))</f>
        <v>JUNIO</v>
      </c>
      <c r="U594" s="6">
        <v>45827</v>
      </c>
      <c r="V594" s="5" t="s">
        <v>59</v>
      </c>
      <c r="W5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94" s="7">
        <f t="shared" si="22"/>
        <v>1</v>
      </c>
      <c r="Y594" s="5">
        <v>14</v>
      </c>
      <c r="Z594" s="5">
        <v>7.15</v>
      </c>
      <c r="AA594" s="5">
        <v>2</v>
      </c>
      <c r="AB594" s="5">
        <v>13.75</v>
      </c>
      <c r="AC594" s="5">
        <v>40</v>
      </c>
      <c r="AD594" s="5">
        <v>1.3</v>
      </c>
      <c r="AE594" s="5">
        <v>8.4</v>
      </c>
      <c r="AF594" s="5">
        <v>2.5</v>
      </c>
      <c r="AG594" s="5">
        <v>48</v>
      </c>
      <c r="AI594" s="5">
        <f t="shared" si="23"/>
        <v>0</v>
      </c>
    </row>
    <row r="595" spans="1:50" x14ac:dyDescent="0.25">
      <c r="A595" s="5" t="s">
        <v>52</v>
      </c>
      <c r="B595" s="5" t="s">
        <v>117</v>
      </c>
      <c r="C595" s="5" t="s">
        <v>81</v>
      </c>
      <c r="F595" s="5" t="s">
        <v>55</v>
      </c>
      <c r="G595" s="5" t="s">
        <v>65</v>
      </c>
      <c r="H595" s="5" t="s">
        <v>57</v>
      </c>
      <c r="I595" s="5">
        <v>959</v>
      </c>
      <c r="J595" s="5" t="str">
        <f>IFERROR(VLOOKUP(I595,[1]INFO_LOCALES!$B:$C,2,FALSE),"")</f>
        <v>PUCON</v>
      </c>
      <c r="K595" s="5" t="str">
        <f>IFERROR(VLOOKUP(Tabla2[[#This Row],[TIENDA]],[1]INFO_LOCALES!$B:$D,3,FALSE),"")</f>
        <v>IX - Araucanía</v>
      </c>
      <c r="L595" s="5" t="str">
        <f>IFERROR(VLOOKUP(I595,[1]INFO_LOCALES!$B:$I,8,FALSE),"")</f>
        <v>Pucon</v>
      </c>
      <c r="M595" s="5" t="str">
        <f>IFERROR(VLOOKUP(I595,[1]INFO_LOCALES!$B:$H,7,FALSE),"")</f>
        <v>Av. O´higgins 774</v>
      </c>
      <c r="N595" s="5">
        <f>IFERROR(VLOOKUP(I595,[1]INFO_LOCALES!$B:$E,4,FALSE),"")</f>
        <v>0</v>
      </c>
      <c r="O595" s="5" t="str">
        <f>VLOOKUP(Tabla2[[#This Row],[TIENDA]],[1]INFO_LOCALES!$B:$J,9,0)</f>
        <v>SIN CONVENIO</v>
      </c>
      <c r="P595" s="5" t="str">
        <f>IFERROR(VLOOKUP(I595,[1]INFO_LOCALES!$B:$F,5,FALSE),"")</f>
        <v>AGUAS ARAUCANIA S A</v>
      </c>
      <c r="Q595" s="5" t="s">
        <v>214</v>
      </c>
      <c r="R595" s="5" t="s">
        <v>58</v>
      </c>
      <c r="S595" s="6">
        <v>45845</v>
      </c>
      <c r="T595" s="5" t="str">
        <f>UPPER(IF(Tabla2[[#This Row],[FECHA DE MUESTREO ]]=0,"",TEXT(Tabla2[[#This Row],[FECHA DE MUESTREO ]],("MMMM"))))</f>
        <v>MAYO</v>
      </c>
      <c r="U595" s="6">
        <v>45796</v>
      </c>
      <c r="V595" s="5" t="s">
        <v>59</v>
      </c>
      <c r="W5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95" s="7">
        <f t="shared" si="22"/>
        <v>2</v>
      </c>
      <c r="Y595" s="5">
        <v>2</v>
      </c>
      <c r="Z595" s="5">
        <v>7.8239999999999998</v>
      </c>
      <c r="AA595" s="5">
        <v>1</v>
      </c>
      <c r="AB595" s="5">
        <v>11.52</v>
      </c>
      <c r="AC595" s="5">
        <v>334</v>
      </c>
      <c r="AD595" s="5">
        <v>6.88</v>
      </c>
      <c r="AE595" s="5">
        <v>67.7</v>
      </c>
      <c r="AF595" s="5">
        <v>0.1</v>
      </c>
      <c r="AG595" s="5">
        <v>55</v>
      </c>
      <c r="AH595" s="5">
        <f>0.1*8*3600/1000</f>
        <v>2.88</v>
      </c>
      <c r="AI595" s="5">
        <f t="shared" si="23"/>
        <v>86.399999999999991</v>
      </c>
    </row>
    <row r="596" spans="1:50" x14ac:dyDescent="0.25">
      <c r="A596" s="5" t="s">
        <v>60</v>
      </c>
      <c r="B596" s="5" t="e">
        <v>#N/A</v>
      </c>
      <c r="C596" s="5" t="e">
        <v>#N/A</v>
      </c>
      <c r="F596" s="5" t="s">
        <v>55</v>
      </c>
      <c r="G596" s="5" t="s">
        <v>61</v>
      </c>
      <c r="H596" s="5" t="s">
        <v>57</v>
      </c>
      <c r="I596" s="5">
        <v>3022</v>
      </c>
      <c r="J596" s="5" t="str">
        <f>IFERROR(VLOOKUP(I596,[1]INFO_LOCALES!$B:$C,2,FALSE),"")</f>
        <v>M10 TEMUCO II</v>
      </c>
      <c r="K596" s="5" t="str">
        <f>IFERROR(VLOOKUP(Tabla2[[#This Row],[TIENDA]],[1]INFO_LOCALES!$B:$D,3,FALSE),"")</f>
        <v>IX - Araucanía</v>
      </c>
      <c r="L596" s="5" t="str">
        <f>IFERROR(VLOOKUP(I596,[1]INFO_LOCALES!$B:$I,8,FALSE),"")</f>
        <v>Temuco</v>
      </c>
      <c r="M596" s="5" t="str">
        <f>IFERROR(VLOOKUP(I596,[1]INFO_LOCALES!$B:$H,7,FALSE),"")</f>
        <v>Pedro De Valdivia 2285</v>
      </c>
      <c r="N596" s="5">
        <f>IFERROR(VLOOKUP(I596,[1]INFO_LOCALES!$B:$E,4,FALSE),"")</f>
        <v>3721</v>
      </c>
      <c r="O596" s="5" t="str">
        <f>VLOOKUP(Tabla2[[#This Row],[TIENDA]],[1]INFO_LOCALES!$B:$J,9,0)</f>
        <v>CONVENIO</v>
      </c>
      <c r="P596" s="5" t="str">
        <f>IFERROR(VLOOKUP(I596,[1]INFO_LOCALES!$B:$F,5,FALSE),"")</f>
        <v>AGUAS ARAUCANIA S A</v>
      </c>
      <c r="Q596" s="5" t="s">
        <v>214</v>
      </c>
      <c r="R596" s="5" t="s">
        <v>58</v>
      </c>
      <c r="S596" s="6">
        <v>46210</v>
      </c>
      <c r="T596" s="5" t="str">
        <f>UPPER(IF(Tabla2[[#This Row],[FECHA DE MUESTREO ]]=0,"",TEXT(Tabla2[[#This Row],[FECHA DE MUESTREO ]],("MMMM"))))</f>
        <v>ABRIL</v>
      </c>
      <c r="U596" s="6">
        <v>45772</v>
      </c>
      <c r="V596" s="5" t="s">
        <v>59</v>
      </c>
      <c r="W5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96" s="7">
        <f t="shared" si="22"/>
        <v>1</v>
      </c>
      <c r="Y596" s="5">
        <v>2.2999999999999998</v>
      </c>
      <c r="Z596" s="5">
        <v>6.88</v>
      </c>
      <c r="AA596" s="5">
        <v>1</v>
      </c>
      <c r="AB596" s="5">
        <v>17.149999999999999</v>
      </c>
      <c r="AC596" s="5">
        <v>2.0299999999999998</v>
      </c>
      <c r="AD596" s="5">
        <v>1.06</v>
      </c>
      <c r="AE596" s="5">
        <v>5.23</v>
      </c>
      <c r="AF596" s="5">
        <v>0.1</v>
      </c>
      <c r="AG596" s="5">
        <v>13</v>
      </c>
      <c r="AH596" s="5">
        <f>0.04*3600/1000*8</f>
        <v>1.1519999999999999</v>
      </c>
      <c r="AI596" s="5">
        <f t="shared" si="23"/>
        <v>34.559999999999995</v>
      </c>
    </row>
    <row r="597" spans="1:50" x14ac:dyDescent="0.25">
      <c r="A597" s="5" t="s">
        <v>152</v>
      </c>
      <c r="B597" s="5" t="e">
        <v>#N/A</v>
      </c>
      <c r="C597" s="5" t="e">
        <v>#N/A</v>
      </c>
      <c r="F597" s="5" t="s">
        <v>58</v>
      </c>
      <c r="G597" s="5" t="s">
        <v>65</v>
      </c>
      <c r="H597" s="5" t="s">
        <v>57</v>
      </c>
      <c r="I597" s="5">
        <v>3086</v>
      </c>
      <c r="J597" s="5" t="str">
        <f>IFERROR(VLOOKUP(I597,[1]INFO_LOCALES!$B:$C,2,FALSE),"")</f>
        <v>ALVI TEMUCO</v>
      </c>
      <c r="K597" s="5" t="str">
        <f>IFERROR(VLOOKUP(Tabla2[[#This Row],[TIENDA]],[1]INFO_LOCALES!$B:$D,3,FALSE),"")</f>
        <v>IX - Araucanía</v>
      </c>
      <c r="L597" s="5" t="str">
        <f>IFERROR(VLOOKUP(I597,[1]INFO_LOCALES!$B:$I,8,FALSE),"")</f>
        <v>Temuco</v>
      </c>
      <c r="M597" s="5" t="str">
        <f>IFERROR(VLOOKUP(I597,[1]INFO_LOCALES!$B:$H,7,FALSE),"")</f>
        <v>Av. Balmaceda 1531</v>
      </c>
      <c r="N597" s="5">
        <f>IFERROR(VLOOKUP(I597,[1]INFO_LOCALES!$B:$E,4,FALSE),"")</f>
        <v>0</v>
      </c>
      <c r="O597" s="5" t="str">
        <f>VLOOKUP(Tabla2[[#This Row],[TIENDA]],[1]INFO_LOCALES!$B:$J,9,0)</f>
        <v>SIN CONVENIO</v>
      </c>
      <c r="P597" s="5" t="str">
        <f>IFERROR(VLOOKUP(I597,[1]INFO_LOCALES!$B:$F,5,FALSE),"")</f>
        <v>AGUAS ARAUCANIA S A</v>
      </c>
      <c r="Q597" s="5" t="s">
        <v>214</v>
      </c>
      <c r="R597" s="5" t="s">
        <v>58</v>
      </c>
      <c r="S597" s="6">
        <v>46210</v>
      </c>
      <c r="T597" s="5" t="str">
        <f>UPPER(IF(Tabla2[[#This Row],[FECHA DE MUESTREO ]]=0,"",TEXT(Tabla2[[#This Row],[FECHA DE MUESTREO ]],("MMMM"))))</f>
        <v>ABRIL</v>
      </c>
      <c r="U597" s="6">
        <v>45751</v>
      </c>
      <c r="V597" s="5" t="s">
        <v>59</v>
      </c>
      <c r="W5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97" s="7">
        <f t="shared" si="22"/>
        <v>2</v>
      </c>
      <c r="Y597" s="5">
        <v>2</v>
      </c>
      <c r="Z597" s="5">
        <v>7.56</v>
      </c>
      <c r="AA597" s="5">
        <v>1</v>
      </c>
      <c r="AB597" s="5">
        <v>18.399999999999999</v>
      </c>
      <c r="AC597" s="5">
        <v>206</v>
      </c>
      <c r="AD597" s="5">
        <v>1.48</v>
      </c>
      <c r="AE597" s="5">
        <v>135</v>
      </c>
      <c r="AF597" s="5">
        <v>0.1</v>
      </c>
      <c r="AG597" s="5">
        <v>135</v>
      </c>
      <c r="AH597" s="5">
        <f>0.13*8*3600/1000</f>
        <v>3.7440000000000002</v>
      </c>
      <c r="AI597" s="5">
        <f t="shared" si="23"/>
        <v>112.32000000000001</v>
      </c>
    </row>
    <row r="598" spans="1:50" x14ac:dyDescent="0.25">
      <c r="A598" s="5" t="s">
        <v>60</v>
      </c>
      <c r="B598" s="5" t="e">
        <v>#N/A</v>
      </c>
      <c r="C598" s="5" t="e">
        <v>#N/A</v>
      </c>
      <c r="F598" s="5" t="s">
        <v>55</v>
      </c>
      <c r="G598" s="5" t="s">
        <v>61</v>
      </c>
      <c r="H598" s="5" t="s">
        <v>57</v>
      </c>
      <c r="I598" s="5">
        <v>3143</v>
      </c>
      <c r="J598" s="5" t="str">
        <f>IFERROR(VLOOKUP(I598,[1]INFO_LOCALES!$B:$C,2,FALSE),"")</f>
        <v>M10 TEMUCO IV</v>
      </c>
      <c r="K598" s="5" t="str">
        <f>IFERROR(VLOOKUP(Tabla2[[#This Row],[TIENDA]],[1]INFO_LOCALES!$B:$D,3,FALSE),"")</f>
        <v>IX - Araucanía</v>
      </c>
      <c r="L598" s="5" t="str">
        <f>IFERROR(VLOOKUP(I598,[1]INFO_LOCALES!$B:$I,8,FALSE),"")</f>
        <v>Temuco</v>
      </c>
      <c r="M598" s="5" t="str">
        <f>IFERROR(VLOOKUP(I598,[1]INFO_LOCALES!$B:$H,7,FALSE),"")</f>
        <v>Francisco Salazar 01650</v>
      </c>
      <c r="N598" s="5">
        <f>IFERROR(VLOOKUP(I598,[1]INFO_LOCALES!$B:$E,4,FALSE),"")</f>
        <v>4422</v>
      </c>
      <c r="O598" s="5" t="str">
        <f>VLOOKUP(Tabla2[[#This Row],[TIENDA]],[1]INFO_LOCALES!$B:$J,9,0)</f>
        <v>CONVENIO</v>
      </c>
      <c r="P598" s="5" t="str">
        <f>IFERROR(VLOOKUP(I598,[1]INFO_LOCALES!$B:$F,5,FALSE),"")</f>
        <v>AGUAS ARAUCANIA S A</v>
      </c>
      <c r="Q598" s="5" t="s">
        <v>214</v>
      </c>
      <c r="R598" s="5" t="s">
        <v>58</v>
      </c>
      <c r="S598" s="6">
        <v>46210</v>
      </c>
      <c r="T598" s="5" t="str">
        <f>UPPER(IF(Tabla2[[#This Row],[FECHA DE MUESTREO ]]=0,"",TEXT(Tabla2[[#This Row],[FECHA DE MUESTREO ]],("MMMM"))))</f>
        <v>ABRIL</v>
      </c>
      <c r="U598" s="6">
        <v>45754</v>
      </c>
      <c r="V598" s="5" t="s">
        <v>59</v>
      </c>
      <c r="W5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598" s="7">
        <f t="shared" si="22"/>
        <v>1</v>
      </c>
      <c r="Y598" s="5">
        <v>2.2999999999999998</v>
      </c>
      <c r="Z598" s="5">
        <v>8.4450000000000003</v>
      </c>
      <c r="AA598" s="5">
        <v>1</v>
      </c>
      <c r="AB598" s="5">
        <v>19</v>
      </c>
      <c r="AC598" s="5">
        <v>20.8</v>
      </c>
      <c r="AD598" s="5">
        <v>1.43</v>
      </c>
      <c r="AE598" s="5">
        <v>24.9</v>
      </c>
      <c r="AF598" s="5">
        <v>0.3</v>
      </c>
      <c r="AG598" s="5">
        <v>19</v>
      </c>
      <c r="AH598" s="5">
        <f>0.11*8*3600/1000</f>
        <v>3.1680000000000001</v>
      </c>
      <c r="AI598" s="5">
        <f t="shared" si="23"/>
        <v>95.04</v>
      </c>
    </row>
    <row r="599" spans="1:50" x14ac:dyDescent="0.25">
      <c r="A599" s="5" t="s">
        <v>52</v>
      </c>
      <c r="B599" s="5" t="s">
        <v>76</v>
      </c>
      <c r="C599" s="5" t="s">
        <v>77</v>
      </c>
      <c r="F599" s="5" t="s">
        <v>55</v>
      </c>
      <c r="G599" s="5" t="s">
        <v>61</v>
      </c>
      <c r="H599" s="5" t="s">
        <v>57</v>
      </c>
      <c r="I599" s="5">
        <v>106</v>
      </c>
      <c r="J599" s="5" t="str">
        <f>IFERROR(VLOOKUP(I599,[1]INFO_LOCALES!$B:$C,2,FALSE),"")</f>
        <v>LOS MOLLES</v>
      </c>
      <c r="K599" s="5" t="str">
        <f>IFERROR(VLOOKUP(Tabla2[[#This Row],[TIENDA]],[1]INFO_LOCALES!$B:$D,3,FALSE),"")</f>
        <v>I - Tarapacá</v>
      </c>
      <c r="L599" s="5" t="str">
        <f>IFERROR(VLOOKUP(I599,[1]INFO_LOCALES!$B:$I,8,FALSE),"")</f>
        <v>Iquique</v>
      </c>
      <c r="M599" s="5" t="str">
        <f>IFERROR(VLOOKUP(I599,[1]INFO_LOCALES!$B:$H,7,FALSE),"")</f>
        <v>Santiago Polanco 2251</v>
      </c>
      <c r="N599" s="5">
        <f>IFERROR(VLOOKUP(I599,[1]INFO_LOCALES!$B:$E,4,FALSE),"")</f>
        <v>4050</v>
      </c>
      <c r="O599" s="5" t="str">
        <f>VLOOKUP(Tabla2[[#This Row],[TIENDA]],[1]INFO_LOCALES!$B:$J,9,0)</f>
        <v>CONVENIO</v>
      </c>
      <c r="P599" s="5" t="str">
        <f>IFERROR(VLOOKUP(I599,[1]INFO_LOCALES!$B:$F,5,FALSE),"")</f>
        <v>AGUAS DEL ALTIPLANO S.A.</v>
      </c>
      <c r="Q599" s="5" t="s">
        <v>71</v>
      </c>
      <c r="R599" s="5" t="s">
        <v>58</v>
      </c>
      <c r="S599" s="6">
        <v>45869</v>
      </c>
      <c r="T599" s="5" t="str">
        <f>UPPER(IF(Tabla2[[#This Row],[FECHA DE MUESTREO ]]=0,"",TEXT(Tabla2[[#This Row],[FECHA DE MUESTREO ]],("MMMM"))))</f>
        <v>MAYO</v>
      </c>
      <c r="U599" s="6">
        <v>45794</v>
      </c>
      <c r="V599" s="5" t="s">
        <v>59</v>
      </c>
      <c r="W5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599" s="7">
        <f t="shared" si="22"/>
        <v>2</v>
      </c>
      <c r="Y599" s="5">
        <v>0.5</v>
      </c>
      <c r="Z599" s="5">
        <v>8.1999999999999993</v>
      </c>
      <c r="AA599" s="5">
        <v>2</v>
      </c>
      <c r="AB599" s="5">
        <v>22.2</v>
      </c>
      <c r="AC599" s="5">
        <v>102</v>
      </c>
      <c r="AD599" s="5">
        <v>4.9000000000000004</v>
      </c>
      <c r="AE599" s="5">
        <v>150</v>
      </c>
      <c r="AF599" s="5">
        <v>0.1</v>
      </c>
      <c r="AG599" s="5">
        <v>6</v>
      </c>
      <c r="AI599" s="5">
        <f t="shared" si="23"/>
        <v>0</v>
      </c>
    </row>
    <row r="600" spans="1:50" x14ac:dyDescent="0.25">
      <c r="A600" s="5" t="s">
        <v>52</v>
      </c>
      <c r="B600" s="5" t="s">
        <v>74</v>
      </c>
      <c r="C600" s="5" t="s">
        <v>74</v>
      </c>
      <c r="F600" s="5" t="s">
        <v>55</v>
      </c>
      <c r="G600" s="5" t="s">
        <v>61</v>
      </c>
      <c r="H600" s="5" t="s">
        <v>57</v>
      </c>
      <c r="I600" s="5">
        <v>459</v>
      </c>
      <c r="J600" s="5" t="str">
        <f>IFERROR(VLOOKUP(I600,[1]INFO_LOCALES!$B:$C,2,FALSE),"")</f>
        <v>ALLENDE AUSTRAL</v>
      </c>
      <c r="K600" s="5" t="str">
        <f>IFERROR(VLOOKUP(Tabla2[[#This Row],[TIENDA]],[1]INFO_LOCALES!$B:$D,3,FALSE),"")</f>
        <v>XII - Magallanes</v>
      </c>
      <c r="L600" s="5" t="str">
        <f>IFERROR(VLOOKUP(I600,[1]INFO_LOCALES!$B:$I,8,FALSE),"")</f>
        <v>Punta Arenas</v>
      </c>
      <c r="M600" s="5" t="str">
        <f>IFERROR(VLOOKUP(I600,[1]INFO_LOCALES!$B:$H,7,FALSE),"")</f>
        <v>Salvador Allende 0399</v>
      </c>
      <c r="N600" s="5">
        <f>IFERROR(VLOOKUP(I600,[1]INFO_LOCALES!$B:$E,4,FALSE),"")</f>
        <v>3735</v>
      </c>
      <c r="O600" s="5" t="str">
        <f>VLOOKUP(Tabla2[[#This Row],[TIENDA]],[1]INFO_LOCALES!$B:$J,9,0)</f>
        <v>SIN CONVENIO</v>
      </c>
      <c r="P600" s="5" t="str">
        <f>IFERROR(VLOOKUP(I600,[1]INFO_LOCALES!$B:$F,5,FALSE),"")</f>
        <v>AGUAS MAGALLANES S.A.</v>
      </c>
      <c r="Q600" s="5" t="s">
        <v>71</v>
      </c>
      <c r="R600" s="5" t="s">
        <v>58</v>
      </c>
      <c r="S600" s="6">
        <v>45869</v>
      </c>
      <c r="T600" s="5" t="str">
        <f>UPPER(IF(Tabla2[[#This Row],[FECHA DE MUESTREO ]]=0,"",TEXT(Tabla2[[#This Row],[FECHA DE MUESTREO ]],("MMMM"))))</f>
        <v>JUNIO</v>
      </c>
      <c r="U600" s="6">
        <v>45827</v>
      </c>
      <c r="V600" s="5" t="s">
        <v>59</v>
      </c>
      <c r="W6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00" s="7">
        <f t="shared" si="22"/>
        <v>1</v>
      </c>
      <c r="Y600" s="5">
        <v>1.6</v>
      </c>
      <c r="AA600" s="5">
        <v>2</v>
      </c>
      <c r="AC600" s="5">
        <v>232</v>
      </c>
      <c r="AD600" s="5">
        <v>6.1</v>
      </c>
      <c r="AE600" s="5">
        <v>13</v>
      </c>
      <c r="AF600" s="5">
        <v>0.3</v>
      </c>
      <c r="AG600" s="5">
        <v>87</v>
      </c>
      <c r="AI600" s="5">
        <f t="shared" si="23"/>
        <v>0</v>
      </c>
    </row>
    <row r="601" spans="1:50" x14ac:dyDescent="0.25">
      <c r="A601" s="5" t="s">
        <v>52</v>
      </c>
      <c r="B601" s="5" t="s">
        <v>74</v>
      </c>
      <c r="C601" s="5" t="s">
        <v>74</v>
      </c>
      <c r="F601" s="5" t="s">
        <v>55</v>
      </c>
      <c r="G601" s="5" t="s">
        <v>61</v>
      </c>
      <c r="H601" s="5" t="s">
        <v>57</v>
      </c>
      <c r="I601" s="5">
        <v>463</v>
      </c>
      <c r="J601" s="5" t="str">
        <f>IFERROR(VLOOKUP(I601,[1]INFO_LOCALES!$B:$C,2,FALSE),"")</f>
        <v>BORIES AUSTRAL</v>
      </c>
      <c r="K601" s="5" t="str">
        <f>IFERROR(VLOOKUP(Tabla2[[#This Row],[TIENDA]],[1]INFO_LOCALES!$B:$D,3,FALSE),"")</f>
        <v>XII - Magallanes</v>
      </c>
      <c r="L601" s="5" t="str">
        <f>IFERROR(VLOOKUP(I601,[1]INFO_LOCALES!$B:$I,8,FALSE),"")</f>
        <v>Punta Arenas</v>
      </c>
      <c r="M601" s="5" t="str">
        <f>IFERROR(VLOOKUP(I601,[1]INFO_LOCALES!$B:$H,7,FALSE),"")</f>
        <v>Gobernador Bories 647</v>
      </c>
      <c r="N601" s="5">
        <f>IFERROR(VLOOKUP(I601,[1]INFO_LOCALES!$B:$E,4,FALSE),"")</f>
        <v>3739</v>
      </c>
      <c r="O601" s="5" t="str">
        <f>VLOOKUP(Tabla2[[#This Row],[TIENDA]],[1]INFO_LOCALES!$B:$J,9,0)</f>
        <v>SIN CONVENIO</v>
      </c>
      <c r="P601" s="5" t="str">
        <f>IFERROR(VLOOKUP(I601,[1]INFO_LOCALES!$B:$F,5,FALSE),"")</f>
        <v>AGUAS MAGALLANES S.A.</v>
      </c>
      <c r="Q601" s="5" t="s">
        <v>71</v>
      </c>
      <c r="R601" s="5" t="s">
        <v>58</v>
      </c>
      <c r="S601" s="6">
        <v>45869</v>
      </c>
      <c r="T601" s="5" t="str">
        <f>UPPER(IF(Tabla2[[#This Row],[FECHA DE MUESTREO ]]=0,"",TEXT(Tabla2[[#This Row],[FECHA DE MUESTREO ]],("MMMM"))))</f>
        <v>JUNIO</v>
      </c>
      <c r="U601" s="6">
        <v>45834</v>
      </c>
      <c r="V601" s="5" t="s">
        <v>59</v>
      </c>
      <c r="W6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01" s="7">
        <f t="shared" si="22"/>
        <v>1</v>
      </c>
      <c r="Y601" s="5">
        <v>0.5</v>
      </c>
      <c r="AA601" s="5">
        <v>2</v>
      </c>
      <c r="AC601" s="5">
        <v>65</v>
      </c>
      <c r="AD601" s="5">
        <v>0.44</v>
      </c>
      <c r="AE601" s="5">
        <v>2.8</v>
      </c>
      <c r="AF601" s="5">
        <v>0.3</v>
      </c>
      <c r="AG601" s="5">
        <v>33</v>
      </c>
      <c r="AI601" s="5">
        <f t="shared" si="23"/>
        <v>0</v>
      </c>
    </row>
    <row r="602" spans="1:50" x14ac:dyDescent="0.25">
      <c r="A602" s="5" t="s">
        <v>52</v>
      </c>
      <c r="B602" s="5" t="s">
        <v>74</v>
      </c>
      <c r="C602" s="5" t="s">
        <v>74</v>
      </c>
      <c r="F602" s="5" t="s">
        <v>55</v>
      </c>
      <c r="G602" s="5" t="s">
        <v>61</v>
      </c>
      <c r="H602" s="5" t="s">
        <v>57</v>
      </c>
      <c r="I602" s="5">
        <v>458</v>
      </c>
      <c r="J602" s="5" t="str">
        <f>IFERROR(VLOOKUP(I602,[1]INFO_LOCALES!$B:$C,2,FALSE),"")</f>
        <v>ESPAÑA AUSTRAL</v>
      </c>
      <c r="K602" s="5" t="str">
        <f>IFERROR(VLOOKUP(Tabla2[[#This Row],[TIENDA]],[1]INFO_LOCALES!$B:$D,3,FALSE),"")</f>
        <v>XII - Magallanes</v>
      </c>
      <c r="L602" s="5" t="str">
        <f>IFERROR(VLOOKUP(I602,[1]INFO_LOCALES!$B:$I,8,FALSE),"")</f>
        <v>Punta Arenas</v>
      </c>
      <c r="M602" s="5" t="str">
        <f>IFERROR(VLOOKUP(I602,[1]INFO_LOCALES!$B:$H,7,FALSE),"")</f>
        <v>Av. España 01375</v>
      </c>
      <c r="N602" s="5">
        <f>IFERROR(VLOOKUP(I602,[1]INFO_LOCALES!$B:$E,4,FALSE),"")</f>
        <v>1306</v>
      </c>
      <c r="O602" s="5" t="str">
        <f>VLOOKUP(Tabla2[[#This Row],[TIENDA]],[1]INFO_LOCALES!$B:$J,9,0)</f>
        <v>SIN CONVENIO</v>
      </c>
      <c r="P602" s="5" t="str">
        <f>IFERROR(VLOOKUP(I602,[1]INFO_LOCALES!$B:$F,5,FALSE),"")</f>
        <v>AGUAS MAGALLANES S.A.</v>
      </c>
      <c r="Q602" s="5" t="s">
        <v>71</v>
      </c>
      <c r="R602" s="5" t="s">
        <v>58</v>
      </c>
      <c r="S602" s="6">
        <v>45869</v>
      </c>
      <c r="T602" s="5" t="str">
        <f>UPPER(IF(Tabla2[[#This Row],[FECHA DE MUESTREO ]]=0,"",TEXT(Tabla2[[#This Row],[FECHA DE MUESTREO ]],("MMMM"))))</f>
        <v>JUNIO</v>
      </c>
      <c r="U602" s="6">
        <v>45826</v>
      </c>
      <c r="V602" s="5" t="s">
        <v>59</v>
      </c>
      <c r="W6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02" s="7">
        <f t="shared" si="22"/>
        <v>1</v>
      </c>
      <c r="Y602" s="5">
        <v>6.6</v>
      </c>
      <c r="AA602" s="5">
        <v>2</v>
      </c>
      <c r="AC602" s="5">
        <v>153</v>
      </c>
      <c r="AD602" s="5">
        <v>6.1</v>
      </c>
      <c r="AE602" s="5">
        <v>7.2</v>
      </c>
      <c r="AF602" s="5">
        <v>0.3</v>
      </c>
      <c r="AG602" s="5">
        <v>118</v>
      </c>
      <c r="AI602" s="5">
        <f t="shared" si="23"/>
        <v>0</v>
      </c>
    </row>
    <row r="603" spans="1:50" x14ac:dyDescent="0.25">
      <c r="A603" s="5" t="s">
        <v>52</v>
      </c>
      <c r="B603" s="5" t="s">
        <v>74</v>
      </c>
      <c r="C603" s="5" t="s">
        <v>74</v>
      </c>
      <c r="F603" s="5" t="s">
        <v>55</v>
      </c>
      <c r="G603" s="5" t="s">
        <v>65</v>
      </c>
      <c r="H603" s="5" t="s">
        <v>57</v>
      </c>
      <c r="I603" s="5">
        <v>464</v>
      </c>
      <c r="J603" s="5" t="str">
        <f>IFERROR(VLOOKUP(I603,[1]INFO_LOCALES!$B:$C,2,FALSE),"")</f>
        <v>AGUIRRE CERDA AUSTRAL</v>
      </c>
      <c r="K603" s="5" t="str">
        <f>IFERROR(VLOOKUP(Tabla2[[#This Row],[TIENDA]],[1]INFO_LOCALES!$B:$D,3,FALSE),"")</f>
        <v>XII - Magallanes</v>
      </c>
      <c r="L603" s="5" t="str">
        <f>IFERROR(VLOOKUP(I603,[1]INFO_LOCALES!$B:$I,8,FALSE),"")</f>
        <v>Punta Arenas</v>
      </c>
      <c r="M603" s="5" t="str">
        <f>IFERROR(VLOOKUP(I603,[1]INFO_LOCALES!$B:$H,7,FALSE),"")</f>
        <v>Pedro Aguirre Cerda 0413</v>
      </c>
      <c r="N603" s="5">
        <f>IFERROR(VLOOKUP(I603,[1]INFO_LOCALES!$B:$E,4,FALSE),"")</f>
        <v>0</v>
      </c>
      <c r="O603" s="5" t="str">
        <f>VLOOKUP(Tabla2[[#This Row],[TIENDA]],[1]INFO_LOCALES!$B:$J,9,0)</f>
        <v>SIN CONVENIO</v>
      </c>
      <c r="P603" s="5" t="str">
        <f>IFERROR(VLOOKUP(I603,[1]INFO_LOCALES!$B:$F,5,FALSE),"")</f>
        <v>AGUAS MAGALLANES S.A.</v>
      </c>
      <c r="Q603" s="5" t="s">
        <v>71</v>
      </c>
      <c r="R603" s="5" t="s">
        <v>58</v>
      </c>
      <c r="S603" s="6">
        <v>45869</v>
      </c>
      <c r="T603" s="5" t="str">
        <f>UPPER(IF(Tabla2[[#This Row],[FECHA DE MUESTREO ]]=0,"",TEXT(Tabla2[[#This Row],[FECHA DE MUESTREO ]],("MMMM"))))</f>
        <v>JUNIO</v>
      </c>
      <c r="U603" s="6">
        <v>45838</v>
      </c>
      <c r="V603" s="5" t="s">
        <v>59</v>
      </c>
      <c r="W6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03" s="7">
        <f t="shared" si="22"/>
        <v>1</v>
      </c>
      <c r="Y603" s="5">
        <v>5.3</v>
      </c>
      <c r="Z603" s="5">
        <v>7.81</v>
      </c>
      <c r="AA603" s="5">
        <v>2</v>
      </c>
      <c r="AB603" s="5">
        <v>25</v>
      </c>
      <c r="AC603" s="5">
        <v>298</v>
      </c>
      <c r="AD603" s="5">
        <v>0.2</v>
      </c>
      <c r="AE603" s="5">
        <v>34</v>
      </c>
      <c r="AF603" s="5">
        <v>0.2</v>
      </c>
      <c r="AG603" s="5">
        <v>89</v>
      </c>
      <c r="AI603" s="5">
        <f t="shared" si="23"/>
        <v>0</v>
      </c>
    </row>
    <row r="604" spans="1:50" x14ac:dyDescent="0.25">
      <c r="A604" s="5" t="s">
        <v>52</v>
      </c>
      <c r="B604" s="5" t="s">
        <v>82</v>
      </c>
      <c r="C604" s="5" t="s">
        <v>77</v>
      </c>
      <c r="F604" s="5" t="s">
        <v>55</v>
      </c>
      <c r="G604" s="5" t="s">
        <v>65</v>
      </c>
      <c r="H604" s="5" t="s">
        <v>57</v>
      </c>
      <c r="I604" s="5">
        <v>7</v>
      </c>
      <c r="J604" s="5" t="str">
        <f>IFERROR(VLOOKUP(I604,[1]INFO_LOCALES!$B:$C,2,FALSE),"")</f>
        <v>VALLENAR I</v>
      </c>
      <c r="K604" s="5" t="str">
        <f>IFERROR(VLOOKUP(Tabla2[[#This Row],[TIENDA]],[1]INFO_LOCALES!$B:$D,3,FALSE),"")</f>
        <v>III - Atacama</v>
      </c>
      <c r="L604" s="5" t="str">
        <f>IFERROR(VLOOKUP(I604,[1]INFO_LOCALES!$B:$I,8,FALSE),"")</f>
        <v>Vallenar</v>
      </c>
      <c r="M604" s="5" t="str">
        <f>IFERROR(VLOOKUP(I604,[1]INFO_LOCALES!$B:$H,7,FALSE),"")</f>
        <v>Brasil 663</v>
      </c>
      <c r="N604" s="5">
        <f>IFERROR(VLOOKUP(I604,[1]INFO_LOCALES!$B:$E,4,FALSE),"")</f>
        <v>0</v>
      </c>
      <c r="O604" s="5" t="str">
        <f>VLOOKUP(Tabla2[[#This Row],[TIENDA]],[1]INFO_LOCALES!$B:$J,9,0)</f>
        <v>CONVENIO</v>
      </c>
      <c r="P604" s="5" t="str">
        <f>IFERROR(VLOOKUP(I604,[1]INFO_LOCALES!$B:$F,5,FALSE),"")</f>
        <v>NUEVA ATACAMA</v>
      </c>
      <c r="Q604" s="5" t="s">
        <v>66</v>
      </c>
      <c r="R604" s="5" t="s">
        <v>58</v>
      </c>
      <c r="S604" s="6">
        <v>46210</v>
      </c>
      <c r="T604" s="5" t="str">
        <f>UPPER(IF(Tabla2[[#This Row],[FECHA DE MUESTREO ]]=0,"",TEXT(Tabla2[[#This Row],[FECHA DE MUESTREO ]],("MMMM"))))</f>
        <v>MAYO</v>
      </c>
      <c r="U604" s="6">
        <v>45800</v>
      </c>
      <c r="V604" s="5" t="s">
        <v>59</v>
      </c>
      <c r="W6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04" s="7">
        <f t="shared" si="22"/>
        <v>2</v>
      </c>
      <c r="Y604" s="5">
        <v>10.039999999999999</v>
      </c>
      <c r="AA604" s="5">
        <v>6</v>
      </c>
      <c r="AC604" s="5">
        <v>487</v>
      </c>
      <c r="AD604" s="5">
        <v>10</v>
      </c>
      <c r="AE604" s="5">
        <v>104</v>
      </c>
      <c r="AF604" s="5">
        <v>1</v>
      </c>
      <c r="AG604" s="5">
        <v>138.81</v>
      </c>
      <c r="AI604" s="5">
        <f t="shared" si="23"/>
        <v>0</v>
      </c>
      <c r="AX604" s="5">
        <v>4.5</v>
      </c>
    </row>
    <row r="605" spans="1:50" x14ac:dyDescent="0.25">
      <c r="A605" s="5" t="s">
        <v>52</v>
      </c>
      <c r="B605" s="5" t="s">
        <v>128</v>
      </c>
      <c r="C605" s="5" t="s">
        <v>77</v>
      </c>
      <c r="D605" s="5">
        <v>2025</v>
      </c>
      <c r="F605" s="5" t="s">
        <v>55</v>
      </c>
      <c r="G605" s="5" t="s">
        <v>61</v>
      </c>
      <c r="H605" s="5" t="s">
        <v>57</v>
      </c>
      <c r="I605" s="5">
        <v>5</v>
      </c>
      <c r="J605" s="5" t="str">
        <f>IFERROR(VLOOKUP(I605,[1]INFO_LOCALES!$B:$C,2,FALSE),"")</f>
        <v>LAS COMPAÑIAS</v>
      </c>
      <c r="K605" s="5" t="str">
        <f>IFERROR(VLOOKUP(Tabla2[[#This Row],[TIENDA]],[1]INFO_LOCALES!$B:$D,3,FALSE),"")</f>
        <v>IV - Coquimbo</v>
      </c>
      <c r="L605" s="5" t="str">
        <f>IFERROR(VLOOKUP(I605,[1]INFO_LOCALES!$B:$I,8,FALSE),"")</f>
        <v>La Serena</v>
      </c>
      <c r="M605" s="5" t="str">
        <f>IFERROR(VLOOKUP(I605,[1]INFO_LOCALES!$B:$H,7,FALSE),"")</f>
        <v>Nicaragua 1571</v>
      </c>
      <c r="N605" s="5">
        <f>IFERROR(VLOOKUP(I605,[1]INFO_LOCALES!$B:$E,4,FALSE),"")</f>
        <v>2644</v>
      </c>
      <c r="O605" s="5" t="str">
        <f>VLOOKUP(Tabla2[[#This Row],[TIENDA]],[1]INFO_LOCALES!$B:$J,9,0)</f>
        <v>SIN CONVENIO</v>
      </c>
      <c r="P605" s="5" t="str">
        <f>IFERROR(VLOOKUP(I605,[1]INFO_LOCALES!$B:$F,5,FALSE),"")</f>
        <v>AGUAS DEL VALLE S A</v>
      </c>
      <c r="Q605" s="5" t="s">
        <v>85</v>
      </c>
      <c r="R605" s="5" t="s">
        <v>86</v>
      </c>
      <c r="S605" s="6"/>
      <c r="T605" s="5" t="str">
        <f>UPPER(IF(Tabla2[[#This Row],[FECHA DE MUESTREO ]]=0,"",TEXT(Tabla2[[#This Row],[FECHA DE MUESTREO ]],("MMMM"))))</f>
        <v>MAYO</v>
      </c>
      <c r="U605" s="6">
        <v>45792</v>
      </c>
      <c r="V605" s="5" t="s">
        <v>59</v>
      </c>
      <c r="W6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05" s="7">
        <f t="shared" si="22"/>
        <v>1</v>
      </c>
      <c r="Y605" s="5">
        <v>9.6</v>
      </c>
      <c r="Z605" s="5">
        <v>7.96</v>
      </c>
      <c r="AA605" s="5">
        <v>2</v>
      </c>
      <c r="AB605" s="5">
        <v>17.38</v>
      </c>
      <c r="AC605" s="5">
        <v>117</v>
      </c>
      <c r="AD605" s="5">
        <v>5</v>
      </c>
      <c r="AE605" s="5">
        <v>23.17</v>
      </c>
      <c r="AF605" s="5">
        <v>0.7</v>
      </c>
      <c r="AG605" s="5">
        <v>66</v>
      </c>
      <c r="AH605" s="5">
        <f ca="1">Tabla2[[#This Row],[VOLUMEN DE DESCARGA MENSUAL (M3/M)]]*30</f>
        <v>0</v>
      </c>
      <c r="AI605" s="5">
        <f t="shared" ca="1" si="23"/>
        <v>0</v>
      </c>
    </row>
    <row r="606" spans="1:50" x14ac:dyDescent="0.25">
      <c r="A606" s="5" t="s">
        <v>52</v>
      </c>
      <c r="B606" s="5" t="s">
        <v>128</v>
      </c>
      <c r="C606" s="5" t="s">
        <v>77</v>
      </c>
      <c r="D606" s="5">
        <v>2025</v>
      </c>
      <c r="F606" s="5" t="s">
        <v>55</v>
      </c>
      <c r="G606" s="5" t="s">
        <v>61</v>
      </c>
      <c r="H606" s="5" t="s">
        <v>57</v>
      </c>
      <c r="I606" s="5">
        <v>5</v>
      </c>
      <c r="J606" s="5" t="str">
        <f>IFERROR(VLOOKUP(I606,[1]INFO_LOCALES!$B:$C,2,FALSE),"")</f>
        <v>LAS COMPAÑIAS</v>
      </c>
      <c r="K606" s="5" t="str">
        <f>IFERROR(VLOOKUP(Tabla2[[#This Row],[TIENDA]],[1]INFO_LOCALES!$B:$D,3,FALSE),"")</f>
        <v>IV - Coquimbo</v>
      </c>
      <c r="L606" s="5" t="str">
        <f>IFERROR(VLOOKUP(I606,[1]INFO_LOCALES!$B:$I,8,FALSE),"")</f>
        <v>La Serena</v>
      </c>
      <c r="M606" s="5" t="str">
        <f>IFERROR(VLOOKUP(I606,[1]INFO_LOCALES!$B:$H,7,FALSE),"")</f>
        <v>Nicaragua 1571</v>
      </c>
      <c r="N606" s="5">
        <f>IFERROR(VLOOKUP(I606,[1]INFO_LOCALES!$B:$E,4,FALSE),"")</f>
        <v>2644</v>
      </c>
      <c r="O606" s="5" t="str">
        <f>VLOOKUP(Tabla2[[#This Row],[TIENDA]],[1]INFO_LOCALES!$B:$J,9,0)</f>
        <v>SIN CONVENIO</v>
      </c>
      <c r="P606" s="5" t="str">
        <f>IFERROR(VLOOKUP(I606,[1]INFO_LOCALES!$B:$F,5,FALSE),"")</f>
        <v>AGUAS DEL VALLE S A</v>
      </c>
      <c r="Q606" s="5" t="s">
        <v>85</v>
      </c>
      <c r="R606" s="5" t="s">
        <v>86</v>
      </c>
      <c r="S606" s="6"/>
      <c r="T606" s="5" t="str">
        <f>UPPER(IF(Tabla2[[#This Row],[FECHA DE MUESTREO ]]=0,"",TEXT(Tabla2[[#This Row],[FECHA DE MUESTREO ]],("MMMM"))))</f>
        <v>JUNIO</v>
      </c>
      <c r="U606" s="6">
        <v>45834</v>
      </c>
      <c r="V606" s="5" t="s">
        <v>59</v>
      </c>
      <c r="W6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06" s="7">
        <f t="shared" si="22"/>
        <v>1</v>
      </c>
      <c r="Y606" s="5">
        <v>7.1</v>
      </c>
      <c r="Z606" s="5">
        <v>7.88</v>
      </c>
      <c r="AA606" s="5">
        <v>7</v>
      </c>
      <c r="AB606" s="5">
        <v>17.23</v>
      </c>
      <c r="AC606" s="5">
        <v>192</v>
      </c>
      <c r="AD606" s="5">
        <v>6.4</v>
      </c>
      <c r="AE606" s="5">
        <v>20.73</v>
      </c>
      <c r="AF606" s="5">
        <v>0.5</v>
      </c>
      <c r="AG606" s="5">
        <v>52.4</v>
      </c>
      <c r="AH606" s="5">
        <f>8*1.53*3600/1000</f>
        <v>44.064</v>
      </c>
      <c r="AI606" s="5">
        <f t="shared" si="23"/>
        <v>1321.92</v>
      </c>
    </row>
    <row r="607" spans="1:50" x14ac:dyDescent="0.25">
      <c r="A607" s="5" t="s">
        <v>52</v>
      </c>
      <c r="B607" s="5" t="s">
        <v>82</v>
      </c>
      <c r="C607" s="5" t="s">
        <v>77</v>
      </c>
      <c r="F607" s="5" t="s">
        <v>55</v>
      </c>
      <c r="G607" s="5" t="s">
        <v>65</v>
      </c>
      <c r="H607" s="5" t="s">
        <v>57</v>
      </c>
      <c r="I607" s="5">
        <v>7</v>
      </c>
      <c r="J607" s="5" t="str">
        <f>IFERROR(VLOOKUP(I607,[1]INFO_LOCALES!$B:$C,2,FALSE),"")</f>
        <v>VALLENAR I</v>
      </c>
      <c r="K607" s="5" t="str">
        <f>IFERROR(VLOOKUP(Tabla2[[#This Row],[TIENDA]],[1]INFO_LOCALES!$B:$D,3,FALSE),"")</f>
        <v>III - Atacama</v>
      </c>
      <c r="L607" s="5" t="str">
        <f>IFERROR(VLOOKUP(I607,[1]INFO_LOCALES!$B:$I,8,FALSE),"")</f>
        <v>Vallenar</v>
      </c>
      <c r="M607" s="5" t="str">
        <f>IFERROR(VLOOKUP(I607,[1]INFO_LOCALES!$B:$H,7,FALSE),"")</f>
        <v>Brasil 663</v>
      </c>
      <c r="N607" s="5">
        <f>IFERROR(VLOOKUP(I607,[1]INFO_LOCALES!$B:$E,4,FALSE),"")</f>
        <v>0</v>
      </c>
      <c r="O607" s="5" t="str">
        <f>VLOOKUP(Tabla2[[#This Row],[TIENDA]],[1]INFO_LOCALES!$B:$J,9,0)</f>
        <v>CONVENIO</v>
      </c>
      <c r="P607" s="5" t="str">
        <f>IFERROR(VLOOKUP(I607,[1]INFO_LOCALES!$B:$F,5,FALSE),"")</f>
        <v>NUEVA ATACAMA</v>
      </c>
      <c r="Q607" s="5" t="s">
        <v>85</v>
      </c>
      <c r="R607" s="5" t="s">
        <v>86</v>
      </c>
      <c r="S607" s="6"/>
      <c r="T607" s="5" t="s">
        <v>156</v>
      </c>
      <c r="U607" s="6">
        <v>45838</v>
      </c>
      <c r="V607" s="5" t="s">
        <v>59</v>
      </c>
      <c r="W6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07" s="7">
        <f t="shared" si="22"/>
        <v>2</v>
      </c>
      <c r="Y607" s="5">
        <v>8.6</v>
      </c>
      <c r="Z607" s="5">
        <v>7.51</v>
      </c>
      <c r="AA607" s="5">
        <v>5</v>
      </c>
      <c r="AB607" s="5">
        <v>19.29</v>
      </c>
      <c r="AC607" s="5">
        <v>390</v>
      </c>
      <c r="AD607" s="5">
        <v>10</v>
      </c>
      <c r="AE607" s="5">
        <v>51.19</v>
      </c>
      <c r="AF607" s="5">
        <v>0.5</v>
      </c>
      <c r="AG607" s="5">
        <v>84</v>
      </c>
      <c r="AH607" s="5">
        <f>8*0.4*3600/1000</f>
        <v>11.52</v>
      </c>
      <c r="AI607" s="5">
        <f t="shared" si="23"/>
        <v>345.59999999999997</v>
      </c>
    </row>
    <row r="608" spans="1:50" x14ac:dyDescent="0.25">
      <c r="A608" s="5" t="s">
        <v>52</v>
      </c>
      <c r="B608" s="5" t="s">
        <v>82</v>
      </c>
      <c r="C608" s="5" t="s">
        <v>77</v>
      </c>
      <c r="F608" s="5" t="s">
        <v>55</v>
      </c>
      <c r="G608" s="5" t="s">
        <v>65</v>
      </c>
      <c r="H608" s="5" t="s">
        <v>57</v>
      </c>
      <c r="I608" s="5">
        <v>14</v>
      </c>
      <c r="J608" s="5" t="str">
        <f>IFERROR(VLOOKUP(I608,[1]INFO_LOCALES!$B:$C,2,FALSE),"")</f>
        <v>COPIAPO</v>
      </c>
      <c r="K608" s="5" t="str">
        <f>IFERROR(VLOOKUP(Tabla2[[#This Row],[TIENDA]],[1]INFO_LOCALES!$B:$D,3,FALSE),"")</f>
        <v>III - Atacama</v>
      </c>
      <c r="L608" s="5" t="str">
        <f>IFERROR(VLOOKUP(I608,[1]INFO_LOCALES!$B:$I,8,FALSE),"")</f>
        <v>Copiapó</v>
      </c>
      <c r="M608" s="5" t="str">
        <f>IFERROR(VLOOKUP(I608,[1]INFO_LOCALES!$B:$H,7,FALSE),"")</f>
        <v>Av. Henrriquez N° 523</v>
      </c>
      <c r="N608" s="5">
        <f>IFERROR(VLOOKUP(I608,[1]INFO_LOCALES!$B:$E,4,FALSE),"")</f>
        <v>0</v>
      </c>
      <c r="O608" s="5" t="str">
        <f>VLOOKUP(Tabla2[[#This Row],[TIENDA]],[1]INFO_LOCALES!$B:$J,9,0)</f>
        <v>CONVENIO</v>
      </c>
      <c r="P608" s="5" t="str">
        <f>IFERROR(VLOOKUP(I608,[1]INFO_LOCALES!$B:$F,5,FALSE),"")</f>
        <v>NUEVA ATACAMA</v>
      </c>
      <c r="Q608" s="5" t="s">
        <v>85</v>
      </c>
      <c r="R608" s="5" t="s">
        <v>86</v>
      </c>
      <c r="S608" s="6"/>
      <c r="T608" s="5" t="str">
        <f>UPPER(IF(Tabla2[[#This Row],[FECHA DE MUESTREO ]]=0,"",TEXT(Tabla2[[#This Row],[FECHA DE MUESTREO ]],("MMMM"))))</f>
        <v>JUNIO</v>
      </c>
      <c r="U608" s="6">
        <v>45812</v>
      </c>
      <c r="V608" s="5" t="s">
        <v>59</v>
      </c>
      <c r="W6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08" s="7">
        <f t="shared" si="22"/>
        <v>1</v>
      </c>
      <c r="Y608" s="5">
        <v>7.8</v>
      </c>
      <c r="Z608" s="5">
        <v>7.04</v>
      </c>
      <c r="AA608" s="5">
        <v>4</v>
      </c>
      <c r="AB608" s="5">
        <v>20.54</v>
      </c>
      <c r="AC608" s="5">
        <v>262</v>
      </c>
      <c r="AD608" s="5">
        <v>6.8</v>
      </c>
      <c r="AE608" s="5">
        <v>18.16</v>
      </c>
      <c r="AF608" s="5">
        <v>0.5</v>
      </c>
      <c r="AG608" s="5">
        <v>33</v>
      </c>
      <c r="AH608" s="5">
        <f>8*0.86*3600/1000</f>
        <v>24.768000000000001</v>
      </c>
      <c r="AI608" s="5">
        <f t="shared" si="23"/>
        <v>743.04</v>
      </c>
    </row>
    <row r="609" spans="1:35" x14ac:dyDescent="0.25">
      <c r="A609" s="5" t="s">
        <v>52</v>
      </c>
      <c r="B609" s="5" t="s">
        <v>82</v>
      </c>
      <c r="C609" s="5" t="s">
        <v>77</v>
      </c>
      <c r="F609" s="5" t="s">
        <v>55</v>
      </c>
      <c r="G609" s="5" t="s">
        <v>65</v>
      </c>
      <c r="H609" s="5" t="s">
        <v>57</v>
      </c>
      <c r="I609" s="5">
        <v>16</v>
      </c>
      <c r="J609" s="5" t="str">
        <f>IFERROR(VLOOKUP(I609,[1]INFO_LOCALES!$B:$C,2,FALSE),"")</f>
        <v>VALLENAR II</v>
      </c>
      <c r="K609" s="5" t="str">
        <f>IFERROR(VLOOKUP(Tabla2[[#This Row],[TIENDA]],[1]INFO_LOCALES!$B:$D,3,FALSE),"")</f>
        <v>III - Atacama</v>
      </c>
      <c r="L609" s="5" t="str">
        <f>IFERROR(VLOOKUP(I609,[1]INFO_LOCALES!$B:$I,8,FALSE),"")</f>
        <v>Vallenar</v>
      </c>
      <c r="M609" s="5" t="str">
        <f>IFERROR(VLOOKUP(I609,[1]INFO_LOCALES!$B:$H,7,FALSE),"")</f>
        <v>Arturo Prat 2350</v>
      </c>
      <c r="N609" s="5">
        <f>IFERROR(VLOOKUP(I609,[1]INFO_LOCALES!$B:$E,4,FALSE),"")</f>
        <v>0</v>
      </c>
      <c r="O609" s="5" t="str">
        <f>VLOOKUP(Tabla2[[#This Row],[TIENDA]],[1]INFO_LOCALES!$B:$J,9,0)</f>
        <v>TERMINADO</v>
      </c>
      <c r="P609" s="5" t="str">
        <f>IFERROR(VLOOKUP(I609,[1]INFO_LOCALES!$B:$F,5,FALSE),"")</f>
        <v>NUEVA ATACAMA</v>
      </c>
      <c r="Q609" s="5" t="s">
        <v>85</v>
      </c>
      <c r="R609" s="5" t="s">
        <v>86</v>
      </c>
      <c r="S609" s="6"/>
      <c r="T609" s="5" t="str">
        <f>UPPER(IF(Tabla2[[#This Row],[FECHA DE MUESTREO ]]=0,"",TEXT(Tabla2[[#This Row],[FECHA DE MUESTREO ]],("MMMM"))))</f>
        <v>JUNIO</v>
      </c>
      <c r="U609" s="6">
        <v>45838</v>
      </c>
      <c r="V609" s="5" t="s">
        <v>59</v>
      </c>
      <c r="W6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09" s="7">
        <f t="shared" si="22"/>
        <v>3</v>
      </c>
      <c r="Y609" s="5">
        <v>12.2</v>
      </c>
      <c r="Z609" s="5">
        <v>7.6</v>
      </c>
      <c r="AA609" s="5">
        <v>64</v>
      </c>
      <c r="AB609" s="5">
        <v>15.4</v>
      </c>
      <c r="AC609" s="5">
        <v>546</v>
      </c>
      <c r="AD609" s="5">
        <v>20</v>
      </c>
      <c r="AE609" s="5">
        <v>5</v>
      </c>
      <c r="AF609" s="5">
        <v>1.5</v>
      </c>
      <c r="AG609" s="5">
        <v>215</v>
      </c>
      <c r="AI609" s="5">
        <f t="shared" si="23"/>
        <v>0</v>
      </c>
    </row>
    <row r="610" spans="1:35" x14ac:dyDescent="0.25">
      <c r="A610" s="5" t="s">
        <v>52</v>
      </c>
      <c r="B610" s="5" t="s">
        <v>128</v>
      </c>
      <c r="C610" s="5" t="s">
        <v>77</v>
      </c>
      <c r="D610" s="5">
        <v>2025</v>
      </c>
      <c r="F610" s="5" t="s">
        <v>55</v>
      </c>
      <c r="G610" s="5" t="s">
        <v>61</v>
      </c>
      <c r="H610" s="5" t="s">
        <v>57</v>
      </c>
      <c r="I610" s="5">
        <v>17</v>
      </c>
      <c r="J610" s="5" t="str">
        <f>IFERROR(VLOOKUP(I610,[1]INFO_LOCALES!$B:$C,2,FALSE),"")</f>
        <v>LOS ALAMOS</v>
      </c>
      <c r="K610" s="5" t="str">
        <f>IFERROR(VLOOKUP(Tabla2[[#This Row],[TIENDA]],[1]INFO_LOCALES!$B:$D,3,FALSE),"")</f>
        <v>IV - Coquimbo</v>
      </c>
      <c r="L610" s="5" t="str">
        <f>IFERROR(VLOOKUP(I610,[1]INFO_LOCALES!$B:$I,8,FALSE),"")</f>
        <v>Coquimbo</v>
      </c>
      <c r="M610" s="5" t="str">
        <f>IFERROR(VLOOKUP(I610,[1]INFO_LOCALES!$B:$H,7,FALSE),"")</f>
        <v>Los Alamos 580</v>
      </c>
      <c r="N610" s="5">
        <f>IFERROR(VLOOKUP(I610,[1]INFO_LOCALES!$B:$E,4,FALSE),"")</f>
        <v>2643</v>
      </c>
      <c r="O610" s="5" t="str">
        <f>VLOOKUP(Tabla2[[#This Row],[TIENDA]],[1]INFO_LOCALES!$B:$J,9,0)</f>
        <v>TERMINADO</v>
      </c>
      <c r="P610" s="5" t="str">
        <f>IFERROR(VLOOKUP(I610,[1]INFO_LOCALES!$B:$F,5,FALSE),"")</f>
        <v>AGUAS DEL VALLE S A</v>
      </c>
      <c r="Q610" s="5" t="s">
        <v>85</v>
      </c>
      <c r="R610" s="5" t="s">
        <v>86</v>
      </c>
      <c r="S610" s="6"/>
      <c r="T610" s="5" t="str">
        <f>UPPER(IF(Tabla2[[#This Row],[FECHA DE MUESTREO ]]=0,"",TEXT(Tabla2[[#This Row],[FECHA DE MUESTREO ]],("MMMM"))))</f>
        <v>JUNIO</v>
      </c>
      <c r="U610" s="6">
        <v>45833</v>
      </c>
      <c r="V610" s="5" t="s">
        <v>59</v>
      </c>
      <c r="W6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10" s="7">
        <f t="shared" si="22"/>
        <v>1</v>
      </c>
      <c r="Y610" s="5">
        <v>7.4</v>
      </c>
      <c r="Z610" s="5">
        <v>8.51</v>
      </c>
      <c r="AA610" s="5">
        <v>5</v>
      </c>
      <c r="AB610" s="5">
        <v>14.35</v>
      </c>
      <c r="AC610" s="5">
        <v>146</v>
      </c>
      <c r="AD610" s="5">
        <v>7.1</v>
      </c>
      <c r="AE610" s="5">
        <v>33.119999999999997</v>
      </c>
      <c r="AF610" s="5">
        <v>0.5</v>
      </c>
      <c r="AG610" s="5">
        <v>79</v>
      </c>
      <c r="AH610" s="5">
        <f>0.8*8*3600/1000</f>
        <v>23.04</v>
      </c>
      <c r="AI610" s="5">
        <f t="shared" si="23"/>
        <v>691.19999999999993</v>
      </c>
    </row>
    <row r="611" spans="1:35" x14ac:dyDescent="0.25">
      <c r="A611" s="5" t="s">
        <v>52</v>
      </c>
      <c r="B611" s="5" t="s">
        <v>82</v>
      </c>
      <c r="C611" s="5" t="s">
        <v>77</v>
      </c>
      <c r="F611" s="5" t="s">
        <v>55</v>
      </c>
      <c r="G611" s="5" t="s">
        <v>61</v>
      </c>
      <c r="H611" s="5" t="s">
        <v>57</v>
      </c>
      <c r="I611" s="5">
        <v>22</v>
      </c>
      <c r="J611" s="5" t="str">
        <f>IFERROR(VLOOKUP(I611,[1]INFO_LOCALES!$B:$C,2,FALSE),"")</f>
        <v>ATACAMA</v>
      </c>
      <c r="K611" s="5" t="str">
        <f>IFERROR(VLOOKUP(Tabla2[[#This Row],[TIENDA]],[1]INFO_LOCALES!$B:$D,3,FALSE),"")</f>
        <v>III - Atacama</v>
      </c>
      <c r="L611" s="5" t="str">
        <f>IFERROR(VLOOKUP(I611,[1]INFO_LOCALES!$B:$I,8,FALSE),"")</f>
        <v>Copiapó</v>
      </c>
      <c r="M611" s="5" t="str">
        <f>IFERROR(VLOOKUP(I611,[1]INFO_LOCALES!$B:$H,7,FALSE),"")</f>
        <v>Los Carreras 2242</v>
      </c>
      <c r="N611" s="5">
        <f>IFERROR(VLOOKUP(I611,[1]INFO_LOCALES!$B:$E,4,FALSE),"")</f>
        <v>2666</v>
      </c>
      <c r="O611" s="5" t="str">
        <f>VLOOKUP(Tabla2[[#This Row],[TIENDA]],[1]INFO_LOCALES!$B:$J,9,0)</f>
        <v>CONVENIO</v>
      </c>
      <c r="P611" s="5" t="str">
        <f>IFERROR(VLOOKUP(I611,[1]INFO_LOCALES!$B:$F,5,FALSE),"")</f>
        <v>NUEVA ATACAMA</v>
      </c>
      <c r="Q611" s="5" t="s">
        <v>85</v>
      </c>
      <c r="R611" s="5" t="s">
        <v>86</v>
      </c>
      <c r="S611" s="6"/>
      <c r="T611" s="5" t="str">
        <f>UPPER(IF(Tabla2[[#This Row],[FECHA DE MUESTREO ]]=0,"",TEXT(Tabla2[[#This Row],[FECHA DE MUESTREO ]],("MMMM"))))</f>
        <v>JUNIO</v>
      </c>
      <c r="U611" s="6">
        <v>45810</v>
      </c>
      <c r="V611" s="5" t="s">
        <v>59</v>
      </c>
      <c r="W6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11" s="7">
        <f t="shared" si="22"/>
        <v>2</v>
      </c>
      <c r="Y611" s="5">
        <v>39.1</v>
      </c>
      <c r="Z611" s="5">
        <v>7.11</v>
      </c>
      <c r="AA611" s="5">
        <v>6</v>
      </c>
      <c r="AB611" s="5">
        <v>19.34</v>
      </c>
      <c r="AC611" s="5">
        <v>387</v>
      </c>
      <c r="AD611" s="5">
        <v>14.3</v>
      </c>
      <c r="AE611" s="5">
        <v>52.32</v>
      </c>
      <c r="AF611" s="5">
        <v>0.5</v>
      </c>
      <c r="AG611" s="5">
        <v>163</v>
      </c>
      <c r="AH611" s="5">
        <f>8*0.65*3600/1000</f>
        <v>18.72</v>
      </c>
      <c r="AI611" s="5">
        <f t="shared" si="23"/>
        <v>561.59999999999991</v>
      </c>
    </row>
    <row r="612" spans="1:35" x14ac:dyDescent="0.25">
      <c r="A612" s="5" t="s">
        <v>52</v>
      </c>
      <c r="B612" s="5" t="s">
        <v>82</v>
      </c>
      <c r="C612" s="5" t="s">
        <v>77</v>
      </c>
      <c r="F612" s="5" t="s">
        <v>55</v>
      </c>
      <c r="G612" s="5" t="s">
        <v>65</v>
      </c>
      <c r="H612" s="5" t="s">
        <v>57</v>
      </c>
      <c r="I612" s="5">
        <v>23</v>
      </c>
      <c r="J612" s="5" t="str">
        <f>IFERROR(VLOOKUP(I612,[1]INFO_LOCALES!$B:$C,2,FALSE),"")</f>
        <v>LOS CARRERAS</v>
      </c>
      <c r="K612" s="5" t="str">
        <f>IFERROR(VLOOKUP(Tabla2[[#This Row],[TIENDA]],[1]INFO_LOCALES!$B:$D,3,FALSE),"")</f>
        <v>III - Atacama</v>
      </c>
      <c r="L612" s="5" t="str">
        <f>IFERROR(VLOOKUP(I612,[1]INFO_LOCALES!$B:$I,8,FALSE),"")</f>
        <v>Copiapó</v>
      </c>
      <c r="M612" s="5" t="str">
        <f>IFERROR(VLOOKUP(I612,[1]INFO_LOCALES!$B:$H,7,FALSE),"")</f>
        <v>Los Carrera 479</v>
      </c>
      <c r="N612" s="5">
        <f>IFERROR(VLOOKUP(I612,[1]INFO_LOCALES!$B:$E,4,FALSE),"")</f>
        <v>0</v>
      </c>
      <c r="O612" s="5" t="str">
        <f>VLOOKUP(Tabla2[[#This Row],[TIENDA]],[1]INFO_LOCALES!$B:$J,9,0)</f>
        <v>SIN CONVENIO</v>
      </c>
      <c r="P612" s="5" t="str">
        <f>IFERROR(VLOOKUP(I612,[1]INFO_LOCALES!$B:$F,5,FALSE),"")</f>
        <v>NUEVA ATACAMA</v>
      </c>
      <c r="Q612" s="5" t="s">
        <v>85</v>
      </c>
      <c r="R612" s="5" t="s">
        <v>86</v>
      </c>
      <c r="S612" s="6"/>
      <c r="T612" s="5" t="str">
        <f>UPPER(IF(Tabla2[[#This Row],[FECHA DE MUESTREO ]]=0,"",TEXT(Tabla2[[#This Row],[FECHA DE MUESTREO ]],("MMMM"))))</f>
        <v>JUNIO</v>
      </c>
      <c r="U612" s="6">
        <v>45817</v>
      </c>
      <c r="V612" s="5" t="s">
        <v>59</v>
      </c>
      <c r="W612" s="5" t="s">
        <v>213</v>
      </c>
      <c r="X612" s="7">
        <v>3</v>
      </c>
      <c r="Y612" s="5">
        <v>14.9</v>
      </c>
      <c r="Z612" s="5">
        <v>7.18</v>
      </c>
      <c r="AA612" s="5">
        <v>11</v>
      </c>
      <c r="AB612" s="5">
        <v>21.25</v>
      </c>
      <c r="AC612" s="5">
        <v>443</v>
      </c>
      <c r="AD612" s="5">
        <v>13.4</v>
      </c>
      <c r="AE612" s="5">
        <v>47.7</v>
      </c>
      <c r="AF612" s="5">
        <v>0.5</v>
      </c>
      <c r="AG612" s="5">
        <v>67</v>
      </c>
      <c r="AH612" s="5">
        <f>0.38*8*3600/1000</f>
        <v>10.944000000000001</v>
      </c>
      <c r="AI612" s="5">
        <f t="shared" si="23"/>
        <v>328.32000000000005</v>
      </c>
    </row>
    <row r="613" spans="1:35" x14ac:dyDescent="0.25">
      <c r="A613" s="5" t="s">
        <v>52</v>
      </c>
      <c r="B613" s="5" t="s">
        <v>82</v>
      </c>
      <c r="C613" s="5" t="s">
        <v>77</v>
      </c>
      <c r="F613" s="5" t="s">
        <v>55</v>
      </c>
      <c r="G613" s="5" t="s">
        <v>65</v>
      </c>
      <c r="H613" s="5" t="s">
        <v>57</v>
      </c>
      <c r="I613" s="5">
        <v>32</v>
      </c>
      <c r="J613" s="5" t="str">
        <f>IFERROR(VLOOKUP(I613,[1]INFO_LOCALES!$B:$C,2,FALSE),"")</f>
        <v>CHAÑARCILLO</v>
      </c>
      <c r="K613" s="5" t="str">
        <f>IFERROR(VLOOKUP(Tabla2[[#This Row],[TIENDA]],[1]INFO_LOCALES!$B:$D,3,FALSE),"")</f>
        <v>III - Atacama</v>
      </c>
      <c r="L613" s="5" t="str">
        <f>IFERROR(VLOOKUP(I613,[1]INFO_LOCALES!$B:$I,8,FALSE),"")</f>
        <v>Copiapó</v>
      </c>
      <c r="M613" s="5" t="str">
        <f>IFERROR(VLOOKUP(I613,[1]INFO_LOCALES!$B:$H,7,FALSE),"")</f>
        <v>Chacabuco Nº 231</v>
      </c>
      <c r="N613" s="5">
        <f>IFERROR(VLOOKUP(I613,[1]INFO_LOCALES!$B:$E,4,FALSE),"")</f>
        <v>0</v>
      </c>
      <c r="O613" s="5" t="str">
        <f>VLOOKUP(Tabla2[[#This Row],[TIENDA]],[1]INFO_LOCALES!$B:$J,9,0)</f>
        <v>CONVENIO</v>
      </c>
      <c r="P613" s="5" t="str">
        <f>IFERROR(VLOOKUP(I613,[1]INFO_LOCALES!$B:$F,5,FALSE),"")</f>
        <v>NUEVA ATACAMA</v>
      </c>
      <c r="Q613" s="5" t="s">
        <v>85</v>
      </c>
      <c r="R613" s="5" t="s">
        <v>86</v>
      </c>
      <c r="S613" s="6"/>
      <c r="T613" s="5" t="str">
        <f>UPPER(IF(Tabla2[[#This Row],[FECHA DE MUESTREO ]]=0,"",TEXT(Tabla2[[#This Row],[FECHA DE MUESTREO ]],("MMMM"))))</f>
        <v>JUNIO</v>
      </c>
      <c r="U613" s="6">
        <v>45835</v>
      </c>
      <c r="V613" s="5" t="s">
        <v>59</v>
      </c>
      <c r="W6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13" s="7">
        <f t="shared" ref="X613:X676" si="24">IF(W613="CUMPLE",1,IF(W613="CUMPLE CON TOLERANCIA",2,IF(W613="NO CUMPLE",3)))</f>
        <v>2</v>
      </c>
      <c r="Y613" s="5">
        <v>26.8</v>
      </c>
      <c r="Z613" s="5">
        <v>7.4</v>
      </c>
      <c r="AA613" s="5">
        <v>3</v>
      </c>
      <c r="AB613" s="5">
        <v>19.3</v>
      </c>
      <c r="AC613" s="5">
        <v>432</v>
      </c>
      <c r="AD613" s="5">
        <v>9.5</v>
      </c>
      <c r="AE613" s="5">
        <v>68.36</v>
      </c>
      <c r="AF613" s="5">
        <v>0.5</v>
      </c>
      <c r="AG613" s="5">
        <v>89</v>
      </c>
      <c r="AI613" s="5">
        <f t="shared" si="23"/>
        <v>0</v>
      </c>
    </row>
    <row r="614" spans="1:35" x14ac:dyDescent="0.25">
      <c r="A614" s="5" t="s">
        <v>52</v>
      </c>
      <c r="B614" s="5" t="s">
        <v>53</v>
      </c>
      <c r="C614" s="5" t="s">
        <v>54</v>
      </c>
      <c r="F614" s="5" t="s">
        <v>55</v>
      </c>
      <c r="G614" s="5" t="s">
        <v>61</v>
      </c>
      <c r="H614" s="5" t="s">
        <v>57</v>
      </c>
      <c r="I614" s="5">
        <v>344</v>
      </c>
      <c r="J614" s="5" t="str">
        <f>IFERROR(VLOOKUP(I614,[1]INFO_LOCALES!$B:$C,2,FALSE),"")</f>
        <v>CURICO ALAMEDA</v>
      </c>
      <c r="K614" s="5" t="str">
        <f>IFERROR(VLOOKUP(Tabla2[[#This Row],[TIENDA]],[1]INFO_LOCALES!$B:$D,3,FALSE),"")</f>
        <v>VII - Maule</v>
      </c>
      <c r="L614" s="5" t="str">
        <f>IFERROR(VLOOKUP(I614,[1]INFO_LOCALES!$B:$I,8,FALSE),"")</f>
        <v>Curicó</v>
      </c>
      <c r="M614" s="5" t="str">
        <f>IFERROR(VLOOKUP(I614,[1]INFO_LOCALES!$B:$H,7,FALSE),"")</f>
        <v>Estado 43</v>
      </c>
      <c r="N614" s="5">
        <f>IFERROR(VLOOKUP(I614,[1]INFO_LOCALES!$B:$E,4,FALSE),"")</f>
        <v>4530</v>
      </c>
      <c r="O614" s="5" t="str">
        <f>VLOOKUP(Tabla2[[#This Row],[TIENDA]],[1]INFO_LOCALES!$B:$J,9,0)</f>
        <v>SIN CONVENIO</v>
      </c>
      <c r="P614" s="5" t="str">
        <f>IFERROR(VLOOKUP(I614,[1]INFO_LOCALES!$B:$F,5,FALSE),"")</f>
        <v>NUEVOSUR S.A.</v>
      </c>
      <c r="Q614" s="5" t="s">
        <v>85</v>
      </c>
      <c r="R614" s="5" t="s">
        <v>86</v>
      </c>
      <c r="S614" s="6"/>
      <c r="T614" s="5" t="str">
        <f>UPPER(IF(Tabla2[[#This Row],[FECHA DE MUESTREO ]]=0,"",TEXT(Tabla2[[#This Row],[FECHA DE MUESTREO ]],("MMMM"))))</f>
        <v>JUNIO</v>
      </c>
      <c r="U614" s="6">
        <v>45818</v>
      </c>
      <c r="V614" s="5" t="s">
        <v>59</v>
      </c>
      <c r="W6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14" s="7">
        <f t="shared" si="24"/>
        <v>2</v>
      </c>
      <c r="Y614" s="5">
        <v>16</v>
      </c>
      <c r="Z614" s="5">
        <v>6.85</v>
      </c>
      <c r="AA614" s="5">
        <v>2</v>
      </c>
      <c r="AB614" s="5">
        <v>11.26</v>
      </c>
      <c r="AC614" s="5">
        <v>225</v>
      </c>
      <c r="AD614" s="5">
        <v>16.600000000000001</v>
      </c>
      <c r="AE614" s="5">
        <v>16.399999999999999</v>
      </c>
      <c r="AF614" s="5">
        <v>2</v>
      </c>
      <c r="AG614" s="5">
        <v>176</v>
      </c>
      <c r="AI614" s="5">
        <f t="shared" si="23"/>
        <v>0</v>
      </c>
    </row>
    <row r="615" spans="1:35" x14ac:dyDescent="0.25">
      <c r="A615" s="5" t="s">
        <v>52</v>
      </c>
      <c r="B615" s="5" t="s">
        <v>73</v>
      </c>
      <c r="C615" s="5" t="s">
        <v>74</v>
      </c>
      <c r="F615" s="5" t="s">
        <v>55</v>
      </c>
      <c r="G615" s="5" t="s">
        <v>61</v>
      </c>
      <c r="H615" s="5" t="s">
        <v>57</v>
      </c>
      <c r="I615" s="5">
        <v>442</v>
      </c>
      <c r="J615" s="5" t="str">
        <f>IFERROR(VLOOKUP(I615,[1]INFO_LOCALES!$B:$C,2,FALSE),"")</f>
        <v>COYHAIQUE</v>
      </c>
      <c r="K615" s="5" t="str">
        <f>IFERROR(VLOOKUP(Tabla2[[#This Row],[TIENDA]],[1]INFO_LOCALES!$B:$D,3,FALSE),"")</f>
        <v>XI - Aysén</v>
      </c>
      <c r="L615" s="5" t="str">
        <f>IFERROR(VLOOKUP(I615,[1]INFO_LOCALES!$B:$I,8,FALSE),"")</f>
        <v>Coyhaique</v>
      </c>
      <c r="M615" s="5" t="str">
        <f>IFERROR(VLOOKUP(I615,[1]INFO_LOCALES!$B:$H,7,FALSE),"")</f>
        <v>Lautaro 331</v>
      </c>
      <c r="N615" s="5">
        <f>IFERROR(VLOOKUP(I615,[1]INFO_LOCALES!$B:$E,4,FALSE),"")</f>
        <v>1320</v>
      </c>
      <c r="O615" s="5" t="str">
        <f>VLOOKUP(Tabla2[[#This Row],[TIENDA]],[1]INFO_LOCALES!$B:$J,9,0)</f>
        <v>SIN CONVENIO</v>
      </c>
      <c r="P615" s="5" t="str">
        <f>IFERROR(VLOOKUP(I615,[1]INFO_LOCALES!$B:$F,5,FALSE),"")</f>
        <v>AGUAS PATAGONIA</v>
      </c>
      <c r="Q615" s="5" t="s">
        <v>85</v>
      </c>
      <c r="R615" s="5" t="s">
        <v>86</v>
      </c>
      <c r="S615" s="6"/>
      <c r="T615" s="5" t="str">
        <f>UPPER(IF(Tabla2[[#This Row],[FECHA DE MUESTREO ]]=0,"",TEXT(Tabla2[[#This Row],[FECHA DE MUESTREO ]],("MMMM"))))</f>
        <v>JUNIO</v>
      </c>
      <c r="U615" s="6">
        <v>45820</v>
      </c>
      <c r="V615" s="5" t="s">
        <v>59</v>
      </c>
      <c r="W6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15" s="7">
        <f t="shared" si="24"/>
        <v>1</v>
      </c>
      <c r="Y615" s="5">
        <v>4.4000000000000004</v>
      </c>
      <c r="Z615" s="5">
        <v>7.36</v>
      </c>
      <c r="AA615" s="5">
        <v>2</v>
      </c>
      <c r="AB615" s="5">
        <v>19</v>
      </c>
      <c r="AC615" s="5">
        <v>292</v>
      </c>
      <c r="AD615" s="5">
        <v>4.3</v>
      </c>
      <c r="AE615" s="5">
        <v>16</v>
      </c>
      <c r="AF615" s="5">
        <v>1</v>
      </c>
      <c r="AG615" s="5">
        <v>117</v>
      </c>
      <c r="AI615" s="5">
        <f t="shared" si="23"/>
        <v>0</v>
      </c>
    </row>
    <row r="616" spans="1:35" x14ac:dyDescent="0.25">
      <c r="A616" s="5" t="s">
        <v>52</v>
      </c>
      <c r="B616" s="5" t="s">
        <v>74</v>
      </c>
      <c r="C616" s="5" t="s">
        <v>74</v>
      </c>
      <c r="F616" s="5" t="s">
        <v>55</v>
      </c>
      <c r="G616" s="5" t="s">
        <v>61</v>
      </c>
      <c r="H616" s="5" t="s">
        <v>57</v>
      </c>
      <c r="I616" s="5">
        <v>458</v>
      </c>
      <c r="J616" s="5" t="str">
        <f>IFERROR(VLOOKUP(I616,[1]INFO_LOCALES!$B:$C,2,FALSE),"")</f>
        <v>ESPAÑA AUSTRAL</v>
      </c>
      <c r="K616" s="5" t="str">
        <f>IFERROR(VLOOKUP(Tabla2[[#This Row],[TIENDA]],[1]INFO_LOCALES!$B:$D,3,FALSE),"")</f>
        <v>XII - Magallanes</v>
      </c>
      <c r="L616" s="5" t="str">
        <f>IFERROR(VLOOKUP(I616,[1]INFO_LOCALES!$B:$I,8,FALSE),"")</f>
        <v>Punta Arenas</v>
      </c>
      <c r="M616" s="5" t="str">
        <f>IFERROR(VLOOKUP(I616,[1]INFO_LOCALES!$B:$H,7,FALSE),"")</f>
        <v>Av. España 01375</v>
      </c>
      <c r="N616" s="5">
        <f>IFERROR(VLOOKUP(I616,[1]INFO_LOCALES!$B:$E,4,FALSE),"")</f>
        <v>1306</v>
      </c>
      <c r="O616" s="5" t="str">
        <f>VLOOKUP(Tabla2[[#This Row],[TIENDA]],[1]INFO_LOCALES!$B:$J,9,0)</f>
        <v>SIN CONVENIO</v>
      </c>
      <c r="P616" s="5" t="str">
        <f>IFERROR(VLOOKUP(I616,[1]INFO_LOCALES!$B:$F,5,FALSE),"")</f>
        <v>AGUAS MAGALLANES S.A.</v>
      </c>
      <c r="Q616" s="5" t="s">
        <v>85</v>
      </c>
      <c r="R616" s="5" t="s">
        <v>86</v>
      </c>
      <c r="S616" s="6"/>
      <c r="T616" s="5" t="str">
        <f>UPPER(IF(Tabla2[[#This Row],[FECHA DE MUESTREO ]]=0,"",TEXT(Tabla2[[#This Row],[FECHA DE MUESTREO ]],("MMMM"))))</f>
        <v>JUNIO</v>
      </c>
      <c r="U616" s="6">
        <v>45826</v>
      </c>
      <c r="V616" s="5" t="s">
        <v>59</v>
      </c>
      <c r="W6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16" s="7">
        <f t="shared" si="24"/>
        <v>1</v>
      </c>
      <c r="Y616" s="5">
        <v>6.6</v>
      </c>
      <c r="Z616" s="5">
        <v>7.71</v>
      </c>
      <c r="AA616" s="5">
        <v>2</v>
      </c>
      <c r="AB616" s="5">
        <v>9.4</v>
      </c>
      <c r="AC616" s="5">
        <v>153</v>
      </c>
      <c r="AD616" s="5">
        <v>6.1</v>
      </c>
      <c r="AE616" s="5">
        <v>7.2</v>
      </c>
      <c r="AF616" s="5">
        <v>0.3</v>
      </c>
      <c r="AG616" s="5">
        <v>118</v>
      </c>
      <c r="AH616" s="5">
        <f>3.5*8</f>
        <v>28</v>
      </c>
      <c r="AI616" s="5">
        <f t="shared" si="23"/>
        <v>840</v>
      </c>
    </row>
    <row r="617" spans="1:35" x14ac:dyDescent="0.25">
      <c r="A617" s="5" t="s">
        <v>52</v>
      </c>
      <c r="B617" s="5" t="s">
        <v>74</v>
      </c>
      <c r="C617" s="5" t="s">
        <v>74</v>
      </c>
      <c r="F617" s="5" t="s">
        <v>55</v>
      </c>
      <c r="G617" s="5" t="s">
        <v>61</v>
      </c>
      <c r="H617" s="5" t="s">
        <v>57</v>
      </c>
      <c r="I617" s="5">
        <v>459</v>
      </c>
      <c r="J617" s="5" t="str">
        <f>IFERROR(VLOOKUP(I617,[1]INFO_LOCALES!$B:$C,2,FALSE),"")</f>
        <v>ALLENDE AUSTRAL</v>
      </c>
      <c r="K617" s="5" t="str">
        <f>IFERROR(VLOOKUP(Tabla2[[#This Row],[TIENDA]],[1]INFO_LOCALES!$B:$D,3,FALSE),"")</f>
        <v>XII - Magallanes</v>
      </c>
      <c r="L617" s="5" t="str">
        <f>IFERROR(VLOOKUP(I617,[1]INFO_LOCALES!$B:$I,8,FALSE),"")</f>
        <v>Punta Arenas</v>
      </c>
      <c r="M617" s="5" t="str">
        <f>IFERROR(VLOOKUP(I617,[1]INFO_LOCALES!$B:$H,7,FALSE),"")</f>
        <v>Salvador Allende 0399</v>
      </c>
      <c r="N617" s="5">
        <f>IFERROR(VLOOKUP(I617,[1]INFO_LOCALES!$B:$E,4,FALSE),"")</f>
        <v>3735</v>
      </c>
      <c r="O617" s="5" t="str">
        <f>VLOOKUP(Tabla2[[#This Row],[TIENDA]],[1]INFO_LOCALES!$B:$J,9,0)</f>
        <v>SIN CONVENIO</v>
      </c>
      <c r="P617" s="5" t="str">
        <f>IFERROR(VLOOKUP(I617,[1]INFO_LOCALES!$B:$F,5,FALSE),"")</f>
        <v>AGUAS MAGALLANES S.A.</v>
      </c>
      <c r="Q617" s="5" t="s">
        <v>85</v>
      </c>
      <c r="R617" s="5" t="s">
        <v>86</v>
      </c>
      <c r="S617" s="6"/>
      <c r="T617" s="5" t="str">
        <f>UPPER(IF(Tabla2[[#This Row],[FECHA DE MUESTREO ]]=0,"",TEXT(Tabla2[[#This Row],[FECHA DE MUESTREO ]],("MMMM"))))</f>
        <v>JUNIO</v>
      </c>
      <c r="U617" s="6">
        <v>45826</v>
      </c>
      <c r="V617" s="5" t="s">
        <v>59</v>
      </c>
      <c r="W6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17" s="7">
        <f t="shared" si="24"/>
        <v>1</v>
      </c>
      <c r="Y617" s="5">
        <v>1.6</v>
      </c>
      <c r="Z617" s="5">
        <v>7.77</v>
      </c>
      <c r="AA617" s="5">
        <v>2</v>
      </c>
      <c r="AB617" s="5">
        <v>9.6999999999999993</v>
      </c>
      <c r="AC617" s="5">
        <v>232</v>
      </c>
      <c r="AD617" s="5">
        <v>6.1</v>
      </c>
      <c r="AE617" s="5">
        <v>12</v>
      </c>
      <c r="AF617" s="5">
        <v>0.3</v>
      </c>
      <c r="AG617" s="5">
        <v>87</v>
      </c>
      <c r="AH617" s="5">
        <f>8*2.36</f>
        <v>18.88</v>
      </c>
      <c r="AI617" s="5">
        <f t="shared" si="23"/>
        <v>566.4</v>
      </c>
    </row>
    <row r="618" spans="1:35" x14ac:dyDescent="0.25">
      <c r="A618" s="5" t="s">
        <v>52</v>
      </c>
      <c r="B618" s="5" t="s">
        <v>74</v>
      </c>
      <c r="C618" s="5" t="s">
        <v>74</v>
      </c>
      <c r="F618" s="5" t="s">
        <v>55</v>
      </c>
      <c r="G618" s="5" t="s">
        <v>61</v>
      </c>
      <c r="H618" s="5" t="s">
        <v>57</v>
      </c>
      <c r="I618" s="5">
        <v>465</v>
      </c>
      <c r="J618" s="5" t="str">
        <f>IFERROR(VLOOKUP(I618,[1]INFO_LOCALES!$B:$C,2,FALSE),"")</f>
        <v>PUERTO NATALES</v>
      </c>
      <c r="K618" s="5" t="str">
        <f>IFERROR(VLOOKUP(Tabla2[[#This Row],[TIENDA]],[1]INFO_LOCALES!$B:$D,3,FALSE),"")</f>
        <v>XII - Magallanes</v>
      </c>
      <c r="L618" s="5" t="str">
        <f>IFERROR(VLOOKUP(I618,[1]INFO_LOCALES!$B:$I,8,FALSE),"")</f>
        <v>Puerto Natales</v>
      </c>
      <c r="M618" s="5" t="str">
        <f>IFERROR(VLOOKUP(I618,[1]INFO_LOCALES!$B:$H,7,FALSE),"")</f>
        <v>Bulnes 742</v>
      </c>
      <c r="N618" s="5">
        <f>IFERROR(VLOOKUP(I618,[1]INFO_LOCALES!$B:$E,4,FALSE),"")</f>
        <v>1133</v>
      </c>
      <c r="O618" s="5" t="str">
        <f>VLOOKUP(Tabla2[[#This Row],[TIENDA]],[1]INFO_LOCALES!$B:$J,9,0)</f>
        <v>SIN CONVENIO</v>
      </c>
      <c r="P618" s="5" t="str">
        <f>IFERROR(VLOOKUP(I618,[1]INFO_LOCALES!$B:$F,5,FALSE),"")</f>
        <v>AGUAS MAGALLANES S.A.</v>
      </c>
      <c r="Q618" s="5" t="s">
        <v>85</v>
      </c>
      <c r="R618" s="5" t="s">
        <v>86</v>
      </c>
      <c r="S618" s="6"/>
      <c r="T618" s="5" t="str">
        <f>UPPER(IF(Tabla2[[#This Row],[FECHA DE MUESTREO ]]=0,"",TEXT(Tabla2[[#This Row],[FECHA DE MUESTREO ]],("MMMM"))))</f>
        <v/>
      </c>
      <c r="U618" s="6"/>
      <c r="W6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18" s="7">
        <f t="shared" si="24"/>
        <v>1</v>
      </c>
      <c r="AI618" s="5">
        <f t="shared" si="23"/>
        <v>0</v>
      </c>
    </row>
    <row r="619" spans="1:35" x14ac:dyDescent="0.25">
      <c r="A619" s="5" t="s">
        <v>52</v>
      </c>
      <c r="B619" s="5" t="s">
        <v>82</v>
      </c>
      <c r="C619" s="5" t="s">
        <v>77</v>
      </c>
      <c r="F619" s="5" t="s">
        <v>55</v>
      </c>
      <c r="G619" s="5" t="s">
        <v>65</v>
      </c>
      <c r="H619" s="5" t="s">
        <v>57</v>
      </c>
      <c r="I619" s="5">
        <v>472</v>
      </c>
      <c r="J619" s="5" t="str">
        <f>IFERROR(VLOOKUP(I619,[1]INFO_LOCALES!$B:$C,2,FALSE),"")</f>
        <v>CALDERA I</v>
      </c>
      <c r="K619" s="5" t="str">
        <f>IFERROR(VLOOKUP(Tabla2[[#This Row],[TIENDA]],[1]INFO_LOCALES!$B:$D,3,FALSE),"")</f>
        <v>III - Atacama</v>
      </c>
      <c r="L619" s="5" t="str">
        <f>IFERROR(VLOOKUP(I619,[1]INFO_LOCALES!$B:$I,8,FALSE),"")</f>
        <v>Caldera</v>
      </c>
      <c r="M619" s="5" t="str">
        <f>IFERROR(VLOOKUP(I619,[1]INFO_LOCALES!$B:$H,7,FALSE),"")</f>
        <v>Batallon Atacama 319</v>
      </c>
      <c r="N619" s="5">
        <f>IFERROR(VLOOKUP(I619,[1]INFO_LOCALES!$B:$E,4,FALSE),"")</f>
        <v>0</v>
      </c>
      <c r="O619" s="5" t="str">
        <f>VLOOKUP(Tabla2[[#This Row],[TIENDA]],[1]INFO_LOCALES!$B:$J,9,0)</f>
        <v>CONVENIO</v>
      </c>
      <c r="P619" s="5" t="str">
        <f>IFERROR(VLOOKUP(I619,[1]INFO_LOCALES!$B:$F,5,FALSE),"")</f>
        <v>NUEVA ATACAMA</v>
      </c>
      <c r="Q619" s="5" t="s">
        <v>85</v>
      </c>
      <c r="R619" s="5" t="s">
        <v>86</v>
      </c>
      <c r="S619" s="6"/>
      <c r="T619" s="5" t="str">
        <f>UPPER(IF(Tabla2[[#This Row],[FECHA DE MUESTREO ]]=0,"",TEXT(Tabla2[[#This Row],[FECHA DE MUESTREO ]],("MMMM"))))</f>
        <v/>
      </c>
      <c r="U619" s="6"/>
      <c r="W6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19" s="7">
        <f t="shared" si="24"/>
        <v>1</v>
      </c>
      <c r="AI619" s="5">
        <f t="shared" si="23"/>
        <v>0</v>
      </c>
    </row>
    <row r="620" spans="1:35" x14ac:dyDescent="0.25">
      <c r="A620" s="5" t="s">
        <v>52</v>
      </c>
      <c r="B620" s="5" t="s">
        <v>93</v>
      </c>
      <c r="C620" s="5" t="s">
        <v>81</v>
      </c>
      <c r="F620" s="5" t="s">
        <v>55</v>
      </c>
      <c r="G620" s="5" t="s">
        <v>61</v>
      </c>
      <c r="H620" s="5" t="s">
        <v>57</v>
      </c>
      <c r="I620" s="5">
        <v>576</v>
      </c>
      <c r="J620" s="5" t="str">
        <f>IFERROR(VLOOKUP(I620,[1]INFO_LOCALES!$B:$C,2,FALSE),"")</f>
        <v>CASTRO I</v>
      </c>
      <c r="K620" s="5" t="str">
        <f>IFERROR(VLOOKUP(Tabla2[[#This Row],[TIENDA]],[1]INFO_LOCALES!$B:$D,3,FALSE),"")</f>
        <v>X - Los Lagos</v>
      </c>
      <c r="L620" s="5" t="str">
        <f>IFERROR(VLOOKUP(I620,[1]INFO_LOCALES!$B:$I,8,FALSE),"")</f>
        <v>Castro</v>
      </c>
      <c r="M620" s="5" t="str">
        <f>IFERROR(VLOOKUP(I620,[1]INFO_LOCALES!$B:$H,7,FALSE),"")</f>
        <v>O'Higgins 711</v>
      </c>
      <c r="N620" s="5">
        <f>IFERROR(VLOOKUP(I620,[1]INFO_LOCALES!$B:$E,4,FALSE),"")</f>
        <v>3875</v>
      </c>
      <c r="O620" s="5" t="str">
        <f>VLOOKUP(Tabla2[[#This Row],[TIENDA]],[1]INFO_LOCALES!$B:$J,9,0)</f>
        <v>SIN CONVENIO</v>
      </c>
      <c r="P620" s="5" t="str">
        <f>IFERROR(VLOOKUP(I620,[1]INFO_LOCALES!$B:$F,5,FALSE),"")</f>
        <v>SURALIS</v>
      </c>
      <c r="Q620" s="5" t="s">
        <v>85</v>
      </c>
      <c r="R620" s="5" t="s">
        <v>86</v>
      </c>
      <c r="S620" s="6"/>
      <c r="T620" s="5" t="str">
        <f>UPPER(IF(Tabla2[[#This Row],[FECHA DE MUESTREO ]]=0,"",TEXT(Tabla2[[#This Row],[FECHA DE MUESTREO ]],("MMMM"))))</f>
        <v/>
      </c>
      <c r="U620" s="6"/>
      <c r="W6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20" s="7">
        <f t="shared" si="24"/>
        <v>1</v>
      </c>
      <c r="AI620" s="5">
        <f t="shared" si="23"/>
        <v>0</v>
      </c>
    </row>
    <row r="621" spans="1:35" x14ac:dyDescent="0.25">
      <c r="A621" s="5" t="s">
        <v>60</v>
      </c>
      <c r="B621" s="5" t="e">
        <v>#N/A</v>
      </c>
      <c r="C621" s="5" t="e">
        <v>#N/A</v>
      </c>
      <c r="F621" s="5" t="s">
        <v>55</v>
      </c>
      <c r="G621" s="5" t="s">
        <v>61</v>
      </c>
      <c r="H621" s="5" t="s">
        <v>57</v>
      </c>
      <c r="I621" s="5">
        <v>3022</v>
      </c>
      <c r="J621" s="5" t="str">
        <f>IFERROR(VLOOKUP(I621,[1]INFO_LOCALES!$B:$C,2,FALSE),"")</f>
        <v>M10 TEMUCO II</v>
      </c>
      <c r="K621" s="5" t="str">
        <f>IFERROR(VLOOKUP(Tabla2[[#This Row],[TIENDA]],[1]INFO_LOCALES!$B:$D,3,FALSE),"")</f>
        <v>IX - Araucanía</v>
      </c>
      <c r="L621" s="5" t="str">
        <f>IFERROR(VLOOKUP(I621,[1]INFO_LOCALES!$B:$I,8,FALSE),"")</f>
        <v>Temuco</v>
      </c>
      <c r="M621" s="5" t="str">
        <f>IFERROR(VLOOKUP(I621,[1]INFO_LOCALES!$B:$H,7,FALSE),"")</f>
        <v>Pedro De Valdivia 2285</v>
      </c>
      <c r="N621" s="5">
        <f>IFERROR(VLOOKUP(I621,[1]INFO_LOCALES!$B:$E,4,FALSE),"")</f>
        <v>3721</v>
      </c>
      <c r="O621" s="5" t="str">
        <f>VLOOKUP(Tabla2[[#This Row],[TIENDA]],[1]INFO_LOCALES!$B:$J,9,0)</f>
        <v>CONVENIO</v>
      </c>
      <c r="P621" s="5" t="str">
        <f>IFERROR(VLOOKUP(I621,[1]INFO_LOCALES!$B:$F,5,FALSE),"")</f>
        <v>AGUAS ARAUCANIA S A</v>
      </c>
      <c r="Q621" s="5" t="s">
        <v>85</v>
      </c>
      <c r="R621" s="5" t="s">
        <v>58</v>
      </c>
      <c r="S621" s="6"/>
      <c r="T621" s="5" t="str">
        <f>UPPER(IF(Tabla2[[#This Row],[FECHA DE MUESTREO ]]=0,"",TEXT(Tabla2[[#This Row],[FECHA DE MUESTREO ]],("MMMM"))))</f>
        <v>JULIO</v>
      </c>
      <c r="U621" s="6">
        <v>45863</v>
      </c>
      <c r="V621" s="5" t="s">
        <v>59</v>
      </c>
      <c r="W6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21" s="7">
        <f t="shared" si="24"/>
        <v>1</v>
      </c>
      <c r="Y621" s="5">
        <v>3.6</v>
      </c>
      <c r="Z621" s="5">
        <v>7.61</v>
      </c>
      <c r="AA621" s="5">
        <v>7</v>
      </c>
      <c r="AB621" s="5">
        <v>13.1</v>
      </c>
      <c r="AC621" s="5">
        <v>101</v>
      </c>
      <c r="AD621" s="5">
        <v>3.5</v>
      </c>
      <c r="AE621" s="5">
        <v>21.4</v>
      </c>
      <c r="AF621" s="5">
        <v>0.1</v>
      </c>
      <c r="AG621" s="5">
        <v>28</v>
      </c>
      <c r="AH621" s="5">
        <v>2.52</v>
      </c>
      <c r="AI621" s="5">
        <f t="shared" si="23"/>
        <v>75.599999999999994</v>
      </c>
    </row>
    <row r="622" spans="1:35" x14ac:dyDescent="0.25">
      <c r="A622" s="5" t="s">
        <v>60</v>
      </c>
      <c r="B622" s="5" t="e">
        <v>#N/A</v>
      </c>
      <c r="C622" s="5" t="e">
        <v>#N/A</v>
      </c>
      <c r="F622" s="5" t="s">
        <v>55</v>
      </c>
      <c r="I622" s="5">
        <v>5714</v>
      </c>
      <c r="J622" s="5" t="str">
        <f>IFERROR(VLOOKUP(I622,[1]INFO_LOCALES!$B:$C,2,FALSE),"")</f>
        <v/>
      </c>
      <c r="K622" s="5" t="str">
        <f>IFERROR(VLOOKUP(Tabla2[[#This Row],[TIENDA]],[1]INFO_LOCALES!$B:$D,3,FALSE),"")</f>
        <v/>
      </c>
      <c r="L622" s="5" t="str">
        <f>IFERROR(VLOOKUP(I622,[1]INFO_LOCALES!$B:$I,8,FALSE),"")</f>
        <v/>
      </c>
      <c r="M622" s="5" t="str">
        <f>IFERROR(VLOOKUP(I622,[1]INFO_LOCALES!$B:$H,7,FALSE),"")</f>
        <v/>
      </c>
      <c r="N622" s="5" t="str">
        <f>IFERROR(VLOOKUP(I622,[1]INFO_LOCALES!$B:$E,4,FALSE),"")</f>
        <v/>
      </c>
      <c r="O622" s="5" t="e">
        <f>VLOOKUP(Tabla2[[#This Row],[TIENDA]],[1]INFO_LOCALES!$B:$J,9,0)</f>
        <v>#N/A</v>
      </c>
      <c r="P622" s="5" t="str">
        <f>IFERROR(VLOOKUP(I622,[1]INFO_LOCALES!$B:$F,5,FALSE),"")</f>
        <v/>
      </c>
      <c r="Q622" s="5" t="s">
        <v>85</v>
      </c>
      <c r="R622" s="5" t="s">
        <v>86</v>
      </c>
      <c r="S622" s="6"/>
      <c r="T622" s="5" t="str">
        <f>UPPER(IF(Tabla2[[#This Row],[FECHA DE MUESTREO ]]=0,"",TEXT(Tabla2[[#This Row],[FECHA DE MUESTREO ]],("MMMM"))))</f>
        <v/>
      </c>
      <c r="U622" s="6"/>
      <c r="W6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22" s="7">
        <f t="shared" si="24"/>
        <v>1</v>
      </c>
      <c r="AI622" s="5">
        <f t="shared" si="23"/>
        <v>0</v>
      </c>
    </row>
    <row r="623" spans="1:35" x14ac:dyDescent="0.25">
      <c r="A623" s="5" t="s">
        <v>52</v>
      </c>
      <c r="B623" s="5" t="e">
        <v>#N/A</v>
      </c>
      <c r="C623" s="5" t="e">
        <v>#N/A</v>
      </c>
      <c r="F623" s="5" t="s">
        <v>55</v>
      </c>
      <c r="G623" s="5" t="s">
        <v>61</v>
      </c>
      <c r="H623" s="5" t="s">
        <v>57</v>
      </c>
      <c r="I623" s="5">
        <v>9139</v>
      </c>
      <c r="J623" s="5" t="str">
        <f>IFERROR(VLOOKUP(I623,[1]INFO_LOCALES!$B:$C,2,FALSE),"")</f>
        <v>CD LO AGUIRRE</v>
      </c>
      <c r="K623" s="5" t="str">
        <f>IFERROR(VLOOKUP(Tabla2[[#This Row],[TIENDA]],[1]INFO_LOCALES!$B:$D,3,FALSE),"")</f>
        <v>RM - Santiago</v>
      </c>
      <c r="L623" s="5" t="str">
        <f>IFERROR(VLOOKUP(I623,[1]INFO_LOCALES!$B:$I,8,FALSE),"")</f>
        <v>Pudahuel</v>
      </c>
      <c r="M623" s="5" t="str">
        <f>IFERROR(VLOOKUP(I623,[1]INFO_LOCALES!$B:$H,7,FALSE),"")</f>
        <v>CAMINO LO AGUIRRE SUR 537</v>
      </c>
      <c r="N623" s="5">
        <f>IFERROR(VLOOKUP(I623,[1]INFO_LOCALES!$B:$E,4,FALSE),"")</f>
        <v>3552</v>
      </c>
      <c r="O623" s="5" t="str">
        <f>VLOOKUP(Tabla2[[#This Row],[TIENDA]],[1]INFO_LOCALES!$B:$J,9,0)</f>
        <v>SIN CONVENIO</v>
      </c>
      <c r="P623" s="5" t="str">
        <f>IFERROR(VLOOKUP(I623,[1]INFO_LOCALES!$B:$F,5,FALSE),"")</f>
        <v>AGUAS IZARRA</v>
      </c>
      <c r="Q623" s="5" t="s">
        <v>85</v>
      </c>
      <c r="R623" s="5" t="s">
        <v>86</v>
      </c>
      <c r="S623" s="6"/>
      <c r="T623" s="5" t="str">
        <f>UPPER(IF(Tabla2[[#This Row],[FECHA DE MUESTREO ]]=0,"",TEXT(Tabla2[[#This Row],[FECHA DE MUESTREO ]],("MMMM"))))</f>
        <v>JULIO</v>
      </c>
      <c r="U623" s="6">
        <v>45866</v>
      </c>
      <c r="V623" s="5" t="s">
        <v>59</v>
      </c>
      <c r="W6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23" s="7">
        <f t="shared" si="24"/>
        <v>1</v>
      </c>
      <c r="Y623" s="5">
        <v>11.8</v>
      </c>
      <c r="Z623" s="5">
        <v>7.84</v>
      </c>
      <c r="AA623" s="5">
        <v>4</v>
      </c>
      <c r="AB623" s="5">
        <v>16.809999999999999</v>
      </c>
      <c r="AC623" s="5">
        <v>68</v>
      </c>
      <c r="AD623" s="5">
        <v>3.2</v>
      </c>
      <c r="AE623" s="5">
        <v>19.02</v>
      </c>
      <c r="AF623" s="5">
        <v>1</v>
      </c>
      <c r="AG623" s="5">
        <v>1</v>
      </c>
      <c r="AH623" s="5">
        <f>0.65*3600*8/1000</f>
        <v>18.72</v>
      </c>
      <c r="AI623" s="5">
        <f t="shared" si="23"/>
        <v>561.59999999999991</v>
      </c>
    </row>
    <row r="624" spans="1:35" x14ac:dyDescent="0.25">
      <c r="A624" s="5" t="s">
        <v>52</v>
      </c>
      <c r="B624" s="5" t="s">
        <v>76</v>
      </c>
      <c r="C624" s="5" t="s">
        <v>77</v>
      </c>
      <c r="F624" s="5" t="s">
        <v>55</v>
      </c>
      <c r="G624" s="5" t="s">
        <v>61</v>
      </c>
      <c r="H624" s="5" t="s">
        <v>57</v>
      </c>
      <c r="I624" s="5">
        <v>106</v>
      </c>
      <c r="J624" s="5" t="str">
        <f>IFERROR(VLOOKUP(I624,[1]INFO_LOCALES!$B:$C,2,FALSE),"")</f>
        <v>LOS MOLLES</v>
      </c>
      <c r="K624" s="5" t="str">
        <f>IFERROR(VLOOKUP(Tabla2[[#This Row],[TIENDA]],[1]INFO_LOCALES!$B:$D,3,FALSE),"")</f>
        <v>I - Tarapacá</v>
      </c>
      <c r="L624" s="5" t="str">
        <f>IFERROR(VLOOKUP(I624,[1]INFO_LOCALES!$B:$I,8,FALSE),"")</f>
        <v>Iquique</v>
      </c>
      <c r="M624" s="5" t="str">
        <f>IFERROR(VLOOKUP(I624,[1]INFO_LOCALES!$B:$H,7,FALSE),"")</f>
        <v>Santiago Polanco 2251</v>
      </c>
      <c r="N624" s="5">
        <f>IFERROR(VLOOKUP(I624,[1]INFO_LOCALES!$B:$E,4,FALSE),"")</f>
        <v>4050</v>
      </c>
      <c r="O624" s="5" t="str">
        <f>VLOOKUP(Tabla2[[#This Row],[TIENDA]],[1]INFO_LOCALES!$B:$J,9,0)</f>
        <v>CONVENIO</v>
      </c>
      <c r="P624" s="5" t="str">
        <f>IFERROR(VLOOKUP(I624,[1]INFO_LOCALES!$B:$F,5,FALSE),"")</f>
        <v>AGUAS DEL ALTIPLANO S.A.</v>
      </c>
      <c r="Q624" s="5" t="s">
        <v>85</v>
      </c>
      <c r="R624" s="5" t="s">
        <v>86</v>
      </c>
      <c r="S624" s="6"/>
      <c r="T624" s="5" t="str">
        <f>UPPER(IF(Tabla2[[#This Row],[FECHA DE MUESTREO ]]=0,"",TEXT(Tabla2[[#This Row],[FECHA DE MUESTREO ]],("MMMM"))))</f>
        <v>JULIO</v>
      </c>
      <c r="U624" s="6">
        <v>45861</v>
      </c>
      <c r="V624" s="5" t="s">
        <v>59</v>
      </c>
      <c r="W6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24" s="7">
        <f t="shared" si="24"/>
        <v>2</v>
      </c>
      <c r="Y624" s="5">
        <v>10.3</v>
      </c>
      <c r="Z624" s="5">
        <v>6.8</v>
      </c>
      <c r="AA624" s="5">
        <v>2</v>
      </c>
      <c r="AB624" s="5">
        <v>19.09</v>
      </c>
      <c r="AC624" s="5">
        <v>384</v>
      </c>
      <c r="AD624" s="5">
        <v>4.7</v>
      </c>
      <c r="AE624" s="5">
        <v>18.75</v>
      </c>
      <c r="AF624" s="5">
        <v>2.5</v>
      </c>
      <c r="AG624" s="5">
        <v>107</v>
      </c>
      <c r="AH624" s="5">
        <f>0.38*3600*8/1000</f>
        <v>10.944000000000001</v>
      </c>
      <c r="AI624" s="5">
        <f t="shared" si="23"/>
        <v>328.32000000000005</v>
      </c>
    </row>
    <row r="625" spans="1:51" x14ac:dyDescent="0.25">
      <c r="A625" s="5" t="s">
        <v>52</v>
      </c>
      <c r="B625" s="5" t="s">
        <v>103</v>
      </c>
      <c r="C625" s="5" t="s">
        <v>77</v>
      </c>
      <c r="F625" s="5" t="s">
        <v>55</v>
      </c>
      <c r="G625" s="5" t="s">
        <v>61</v>
      </c>
      <c r="H625" s="5" t="s">
        <v>57</v>
      </c>
      <c r="I625" s="5">
        <v>111</v>
      </c>
      <c r="J625" s="5" t="str">
        <f>IFERROR(VLOOKUP(I625,[1]INFO_LOCALES!$B:$C,2,FALSE),"")</f>
        <v>CALAMA II</v>
      </c>
      <c r="K625" s="5" t="str">
        <f>IFERROR(VLOOKUP(Tabla2[[#This Row],[TIENDA]],[1]INFO_LOCALES!$B:$D,3,FALSE),"")</f>
        <v>II - Antofagasta</v>
      </c>
      <c r="L625" s="5" t="str">
        <f>IFERROR(VLOOKUP(I625,[1]INFO_LOCALES!$B:$I,8,FALSE),"")</f>
        <v>Calama</v>
      </c>
      <c r="M625" s="5" t="str">
        <f>IFERROR(VLOOKUP(I625,[1]INFO_LOCALES!$B:$H,7,FALSE),"")</f>
        <v>Aconcagua 2588</v>
      </c>
      <c r="N625" s="5">
        <f>IFERROR(VLOOKUP(I625,[1]INFO_LOCALES!$B:$E,4,FALSE),"")</f>
        <v>2966</v>
      </c>
      <c r="O625" s="5" t="str">
        <f>VLOOKUP(Tabla2[[#This Row],[TIENDA]],[1]INFO_LOCALES!$B:$J,9,0)</f>
        <v>SIN CONVENIO</v>
      </c>
      <c r="P625" s="5" t="str">
        <f>IFERROR(VLOOKUP(I625,[1]INFO_LOCALES!$B:$F,5,FALSE),"")</f>
        <v>AGUAS DE ANTOFAGASTA S A</v>
      </c>
      <c r="Q625" s="5" t="s">
        <v>85</v>
      </c>
      <c r="R625" s="5" t="s">
        <v>86</v>
      </c>
      <c r="S625" s="6"/>
      <c r="T625" s="5" t="str">
        <f>UPPER(IF(Tabla2[[#This Row],[FECHA DE MUESTREO ]]=0,"",TEXT(Tabla2[[#This Row],[FECHA DE MUESTREO ]],("MMMM"))))</f>
        <v>JULIO</v>
      </c>
      <c r="U625" s="6">
        <v>45866</v>
      </c>
      <c r="V625" s="5" t="s">
        <v>59</v>
      </c>
      <c r="W6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25" s="7">
        <f t="shared" si="24"/>
        <v>3</v>
      </c>
      <c r="Y625" s="5">
        <v>18</v>
      </c>
      <c r="Z625" s="5">
        <v>7.5</v>
      </c>
      <c r="AA625" s="5">
        <v>21</v>
      </c>
      <c r="AB625" s="5">
        <v>20.16</v>
      </c>
      <c r="AC625" s="5">
        <v>329</v>
      </c>
      <c r="AD625" s="5">
        <v>6.3</v>
      </c>
      <c r="AE625" s="5">
        <v>9.73</v>
      </c>
      <c r="AF625" s="5">
        <v>0.5</v>
      </c>
      <c r="AG625" s="5">
        <v>52.7</v>
      </c>
      <c r="AH625" s="5">
        <f>0.85*3600*8/1000</f>
        <v>24.48</v>
      </c>
      <c r="AI625" s="5">
        <f t="shared" si="23"/>
        <v>734.4</v>
      </c>
    </row>
    <row r="626" spans="1:51" x14ac:dyDescent="0.25">
      <c r="A626" s="5" t="s">
        <v>52</v>
      </c>
      <c r="B626" s="5" t="s">
        <v>103</v>
      </c>
      <c r="C626" s="5" t="s">
        <v>77</v>
      </c>
      <c r="F626" s="5" t="s">
        <v>55</v>
      </c>
      <c r="G626" s="5" t="s">
        <v>61</v>
      </c>
      <c r="H626" s="5" t="s">
        <v>57</v>
      </c>
      <c r="I626" s="5">
        <v>46</v>
      </c>
      <c r="J626" s="5" t="str">
        <f>IFERROR(VLOOKUP(I626,[1]INFO_LOCALES!$B:$C,2,FALSE),"")</f>
        <v>CALAMA I</v>
      </c>
      <c r="K626" s="5" t="str">
        <f>IFERROR(VLOOKUP(Tabla2[[#This Row],[TIENDA]],[1]INFO_LOCALES!$B:$D,3,FALSE),"")</f>
        <v>II - Antofagasta</v>
      </c>
      <c r="L626" s="5" t="str">
        <f>IFERROR(VLOOKUP(I626,[1]INFO_LOCALES!$B:$I,8,FALSE),"")</f>
        <v>Calama</v>
      </c>
      <c r="M626" s="5" t="str">
        <f>IFERROR(VLOOKUP(I626,[1]INFO_LOCALES!$B:$H,7,FALSE),"")</f>
        <v>Granaderos 3180</v>
      </c>
      <c r="N626" s="5">
        <f>IFERROR(VLOOKUP(I626,[1]INFO_LOCALES!$B:$E,4,FALSE),"")</f>
        <v>3035</v>
      </c>
      <c r="O626" s="5" t="str">
        <f>VLOOKUP(Tabla2[[#This Row],[TIENDA]],[1]INFO_LOCALES!$B:$J,9,0)</f>
        <v>SIN CONVENIO</v>
      </c>
      <c r="P626" s="5" t="str">
        <f>IFERROR(VLOOKUP(I626,[1]INFO_LOCALES!$B:$F,5,FALSE),"")</f>
        <v>AGUAS DE ANTOFAGASTA S A</v>
      </c>
      <c r="Q626" s="5" t="s">
        <v>85</v>
      </c>
      <c r="R626" s="5" t="s">
        <v>86</v>
      </c>
      <c r="S626" s="6"/>
      <c r="T626" s="5" t="str">
        <f>UPPER(IF(Tabla2[[#This Row],[FECHA DE MUESTREO ]]=0,"",TEXT(Tabla2[[#This Row],[FECHA DE MUESTREO ]],("MMMM"))))</f>
        <v>JULIO</v>
      </c>
      <c r="U626" s="6">
        <v>45866</v>
      </c>
      <c r="V626" s="5" t="s">
        <v>59</v>
      </c>
      <c r="W6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26" s="7">
        <f t="shared" si="24"/>
        <v>3</v>
      </c>
      <c r="Y626" s="5">
        <v>19.600000000000001</v>
      </c>
      <c r="Z626" s="5">
        <v>7.63</v>
      </c>
      <c r="AA626" s="5">
        <v>22</v>
      </c>
      <c r="AB626" s="5">
        <v>19.28</v>
      </c>
      <c r="AC626" s="5">
        <v>371</v>
      </c>
      <c r="AD626" s="5">
        <v>6.3</v>
      </c>
      <c r="AE626" s="5">
        <v>10.94</v>
      </c>
      <c r="AF626" s="5">
        <v>0.5</v>
      </c>
      <c r="AG626" s="5">
        <v>58</v>
      </c>
      <c r="AI626" s="5">
        <f t="shared" si="23"/>
        <v>0</v>
      </c>
    </row>
    <row r="627" spans="1:51" x14ac:dyDescent="0.25">
      <c r="A627" s="5" t="s">
        <v>52</v>
      </c>
      <c r="B627" s="5" t="s">
        <v>82</v>
      </c>
      <c r="C627" s="5" t="s">
        <v>77</v>
      </c>
      <c r="F627" s="5" t="s">
        <v>55</v>
      </c>
      <c r="G627" s="5" t="s">
        <v>65</v>
      </c>
      <c r="H627" s="5" t="s">
        <v>57</v>
      </c>
      <c r="I627" s="5">
        <v>16</v>
      </c>
      <c r="J627" s="5" t="str">
        <f>IFERROR(VLOOKUP(I627,[1]INFO_LOCALES!$B:$C,2,FALSE),"")</f>
        <v>VALLENAR II</v>
      </c>
      <c r="K627" s="5" t="str">
        <f>IFERROR(VLOOKUP(Tabla2[[#This Row],[TIENDA]],[1]INFO_LOCALES!$B:$D,3,FALSE),"")</f>
        <v>III - Atacama</v>
      </c>
      <c r="L627" s="5" t="str">
        <f>IFERROR(VLOOKUP(I627,[1]INFO_LOCALES!$B:$I,8,FALSE),"")</f>
        <v>Vallenar</v>
      </c>
      <c r="M627" s="5" t="str">
        <f>IFERROR(VLOOKUP(I627,[1]INFO_LOCALES!$B:$H,7,FALSE),"")</f>
        <v>Arturo Prat 2350</v>
      </c>
      <c r="N627" s="5">
        <f>IFERROR(VLOOKUP(I627,[1]INFO_LOCALES!$B:$E,4,FALSE),"")</f>
        <v>0</v>
      </c>
      <c r="O627" s="5" t="str">
        <f>VLOOKUP(Tabla2[[#This Row],[TIENDA]],[1]INFO_LOCALES!$B:$J,9,0)</f>
        <v>TERMINADO</v>
      </c>
      <c r="P627" s="5" t="str">
        <f>IFERROR(VLOOKUP(I627,[1]INFO_LOCALES!$B:$F,5,FALSE),"")</f>
        <v>NUEVA ATACAMA</v>
      </c>
      <c r="Q627" s="5" t="s">
        <v>85</v>
      </c>
      <c r="R627" s="5" t="s">
        <v>86</v>
      </c>
      <c r="S627" s="6"/>
      <c r="T627" s="5" t="str">
        <f>UPPER(IF(Tabla2[[#This Row],[FECHA DE MUESTREO ]]=0,"",TEXT(Tabla2[[#This Row],[FECHA DE MUESTREO ]],("MMMM"))))</f>
        <v>JULIO</v>
      </c>
      <c r="U627" s="6">
        <v>45866</v>
      </c>
      <c r="V627" s="5" t="s">
        <v>59</v>
      </c>
      <c r="W6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27" s="7">
        <f t="shared" si="24"/>
        <v>3</v>
      </c>
      <c r="Y627" s="5">
        <v>3.9</v>
      </c>
      <c r="Z627" s="5">
        <v>7.56</v>
      </c>
      <c r="AA627" s="5">
        <v>74</v>
      </c>
      <c r="AB627" s="5">
        <v>17.45</v>
      </c>
      <c r="AC627" s="5">
        <v>181</v>
      </c>
      <c r="AD627" s="5">
        <v>3.1</v>
      </c>
      <c r="AE627" s="5">
        <v>5</v>
      </c>
      <c r="AF627" s="5">
        <v>0.5</v>
      </c>
      <c r="AG627" s="5">
        <v>29.6</v>
      </c>
      <c r="AH627" s="5">
        <f>0.28*3600*8/1000</f>
        <v>8.0640000000000001</v>
      </c>
      <c r="AI627" s="5">
        <f t="shared" si="23"/>
        <v>241.92000000000002</v>
      </c>
    </row>
    <row r="628" spans="1:51" x14ac:dyDescent="0.25">
      <c r="A628" s="5" t="s">
        <v>52</v>
      </c>
      <c r="B628" s="5" t="s">
        <v>82</v>
      </c>
      <c r="C628" s="5" t="s">
        <v>77</v>
      </c>
      <c r="F628" s="5" t="s">
        <v>55</v>
      </c>
      <c r="G628" s="5" t="s">
        <v>65</v>
      </c>
      <c r="H628" s="5" t="s">
        <v>57</v>
      </c>
      <c r="I628" s="5">
        <v>472</v>
      </c>
      <c r="J628" s="5" t="str">
        <f>IFERROR(VLOOKUP(I628,[1]INFO_LOCALES!$B:$C,2,FALSE),"")</f>
        <v>CALDERA I</v>
      </c>
      <c r="K628" s="5" t="str">
        <f>IFERROR(VLOOKUP(Tabla2[[#This Row],[TIENDA]],[1]INFO_LOCALES!$B:$D,3,FALSE),"")</f>
        <v>III - Atacama</v>
      </c>
      <c r="L628" s="5" t="str">
        <f>IFERROR(VLOOKUP(I628,[1]INFO_LOCALES!$B:$I,8,FALSE),"")</f>
        <v>Caldera</v>
      </c>
      <c r="M628" s="5" t="str">
        <f>IFERROR(VLOOKUP(I628,[1]INFO_LOCALES!$B:$H,7,FALSE),"")</f>
        <v>Batallon Atacama 319</v>
      </c>
      <c r="N628" s="5">
        <f>IFERROR(VLOOKUP(I628,[1]INFO_LOCALES!$B:$E,4,FALSE),"")</f>
        <v>0</v>
      </c>
      <c r="O628" s="5" t="str">
        <f>VLOOKUP(Tabla2[[#This Row],[TIENDA]],[1]INFO_LOCALES!$B:$J,9,0)</f>
        <v>CONVENIO</v>
      </c>
      <c r="P628" s="5" t="str">
        <f>IFERROR(VLOOKUP(I628,[1]INFO_LOCALES!$B:$F,5,FALSE),"")</f>
        <v>NUEVA ATACAMA</v>
      </c>
      <c r="Q628" s="5" t="s">
        <v>85</v>
      </c>
      <c r="R628" s="5" t="s">
        <v>86</v>
      </c>
      <c r="S628" s="6"/>
      <c r="T628" s="5" t="str">
        <f>UPPER(IF(Tabla2[[#This Row],[FECHA DE MUESTREO ]]=0,"",TEXT(Tabla2[[#This Row],[FECHA DE MUESTREO ]],("MMMM"))))</f>
        <v>JULIO</v>
      </c>
      <c r="U628" s="6">
        <v>45867</v>
      </c>
      <c r="V628" s="5" t="s">
        <v>59</v>
      </c>
      <c r="W6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28" s="7">
        <f t="shared" si="24"/>
        <v>2</v>
      </c>
      <c r="Y628" s="5">
        <v>12.5</v>
      </c>
      <c r="Z628" s="5">
        <v>7.08</v>
      </c>
      <c r="AA628" s="5">
        <v>12</v>
      </c>
      <c r="AB628" s="5">
        <v>12.98</v>
      </c>
      <c r="AC628" s="5">
        <v>399</v>
      </c>
      <c r="AD628" s="5">
        <v>18.399999999999999</v>
      </c>
      <c r="AE628" s="5">
        <v>40.54</v>
      </c>
      <c r="AF628" s="5">
        <v>0.5</v>
      </c>
      <c r="AG628" s="5">
        <v>47</v>
      </c>
      <c r="AH628" s="5">
        <f>0.55*3600*8/1000</f>
        <v>15.840000000000002</v>
      </c>
      <c r="AI628" s="5">
        <f t="shared" si="23"/>
        <v>475.20000000000005</v>
      </c>
    </row>
    <row r="629" spans="1:51" x14ac:dyDescent="0.25">
      <c r="A629" s="5" t="s">
        <v>52</v>
      </c>
      <c r="B629" s="5" t="s">
        <v>82</v>
      </c>
      <c r="C629" s="5" t="s">
        <v>77</v>
      </c>
      <c r="F629" s="5" t="s">
        <v>55</v>
      </c>
      <c r="G629" s="5" t="s">
        <v>65</v>
      </c>
      <c r="H629" s="5" t="s">
        <v>57</v>
      </c>
      <c r="I629" s="5">
        <v>7</v>
      </c>
      <c r="J629" s="5" t="str">
        <f>IFERROR(VLOOKUP(I629,[1]INFO_LOCALES!$B:$C,2,FALSE),"")</f>
        <v>VALLENAR I</v>
      </c>
      <c r="K629" s="5" t="str">
        <f>IFERROR(VLOOKUP(Tabla2[[#This Row],[TIENDA]],[1]INFO_LOCALES!$B:$D,3,FALSE),"")</f>
        <v>III - Atacama</v>
      </c>
      <c r="L629" s="5" t="str">
        <f>IFERROR(VLOOKUP(I629,[1]INFO_LOCALES!$B:$I,8,FALSE),"")</f>
        <v>Vallenar</v>
      </c>
      <c r="M629" s="5" t="str">
        <f>IFERROR(VLOOKUP(I629,[1]INFO_LOCALES!$B:$H,7,FALSE),"")</f>
        <v>Brasil 663</v>
      </c>
      <c r="N629" s="5">
        <f>IFERROR(VLOOKUP(I629,[1]INFO_LOCALES!$B:$E,4,FALSE),"")</f>
        <v>0</v>
      </c>
      <c r="O629" s="5" t="str">
        <f>VLOOKUP(Tabla2[[#This Row],[TIENDA]],[1]INFO_LOCALES!$B:$J,9,0)</f>
        <v>CONVENIO</v>
      </c>
      <c r="P629" s="5" t="str">
        <f>IFERROR(VLOOKUP(I629,[1]INFO_LOCALES!$B:$F,5,FALSE),"")</f>
        <v>NUEVA ATACAMA</v>
      </c>
      <c r="Q629" s="5" t="s">
        <v>85</v>
      </c>
      <c r="R629" s="5" t="s">
        <v>86</v>
      </c>
      <c r="S629" s="6"/>
      <c r="T629" s="5" t="str">
        <f>UPPER(IF(Tabla2[[#This Row],[FECHA DE MUESTREO ]]=0,"",TEXT(Tabla2[[#This Row],[FECHA DE MUESTREO ]],("MMMM"))))</f>
        <v>JULIO</v>
      </c>
      <c r="U629" s="6">
        <v>45866</v>
      </c>
      <c r="V629" s="5" t="s">
        <v>59</v>
      </c>
      <c r="W6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29" s="7">
        <f t="shared" si="24"/>
        <v>3</v>
      </c>
      <c r="Y629" s="5">
        <v>18.399999999999999</v>
      </c>
      <c r="Z629" s="5">
        <v>7.1</v>
      </c>
      <c r="AA629" s="5">
        <v>22</v>
      </c>
      <c r="AB629" s="5">
        <v>16.89</v>
      </c>
      <c r="AC629" s="5">
        <v>408</v>
      </c>
      <c r="AD629" s="5">
        <v>9.9</v>
      </c>
      <c r="AE629" s="5">
        <v>20.81</v>
      </c>
      <c r="AF629" s="5">
        <v>0.5</v>
      </c>
      <c r="AG629" s="5">
        <v>96</v>
      </c>
      <c r="AH629" s="5">
        <f>0.46*3600*8/1000</f>
        <v>13.247999999999999</v>
      </c>
      <c r="AI629" s="5">
        <f t="shared" si="23"/>
        <v>397.44</v>
      </c>
    </row>
    <row r="630" spans="1:51" x14ac:dyDescent="0.25">
      <c r="A630" s="5" t="s">
        <v>52</v>
      </c>
      <c r="B630" s="5" t="s">
        <v>76</v>
      </c>
      <c r="C630" s="5" t="s">
        <v>77</v>
      </c>
      <c r="F630" s="5" t="s">
        <v>55</v>
      </c>
      <c r="G630" s="5" t="s">
        <v>61</v>
      </c>
      <c r="H630" s="5" t="s">
        <v>57</v>
      </c>
      <c r="I630" s="5">
        <v>86</v>
      </c>
      <c r="J630" s="5" t="str">
        <f>IFERROR(VLOOKUP(I630,[1]INFO_LOCALES!$B:$C,2,FALSE),"")</f>
        <v>BILBAO</v>
      </c>
      <c r="K630" s="5" t="str">
        <f>IFERROR(VLOOKUP(Tabla2[[#This Row],[TIENDA]],[1]INFO_LOCALES!$B:$D,3,FALSE),"")</f>
        <v>I - Tarapacá</v>
      </c>
      <c r="L630" s="5" t="str">
        <f>IFERROR(VLOOKUP(I630,[1]INFO_LOCALES!$B:$I,8,FALSE),"")</f>
        <v>Iquique</v>
      </c>
      <c r="M630" s="5" t="str">
        <f>IFERROR(VLOOKUP(I630,[1]INFO_LOCALES!$B:$H,7,FALSE),"")</f>
        <v>Fco.Bilbao 3545</v>
      </c>
      <c r="N630" s="5">
        <f>IFERROR(VLOOKUP(I630,[1]INFO_LOCALES!$B:$E,4,FALSE),"")</f>
        <v>4049</v>
      </c>
      <c r="O630" s="5" t="str">
        <f>VLOOKUP(Tabla2[[#This Row],[TIENDA]],[1]INFO_LOCALES!$B:$J,9,0)</f>
        <v>CONVENIO</v>
      </c>
      <c r="P630" s="5" t="str">
        <f>IFERROR(VLOOKUP(I630,[1]INFO_LOCALES!$B:$F,5,FALSE),"")</f>
        <v>AGUAS DEL ALTIPLANO S.A.</v>
      </c>
      <c r="Q630" s="5" t="s">
        <v>85</v>
      </c>
      <c r="R630" s="5" t="s">
        <v>86</v>
      </c>
      <c r="S630" s="6"/>
      <c r="T630" s="5" t="str">
        <f>UPPER(IF(Tabla2[[#This Row],[FECHA DE MUESTREO ]]=0,"",TEXT(Tabla2[[#This Row],[FECHA DE MUESTREO ]],("MMMM"))))</f>
        <v>JULIO</v>
      </c>
      <c r="U630" s="6">
        <v>45861</v>
      </c>
      <c r="V630" s="5" t="s">
        <v>59</v>
      </c>
      <c r="W6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30" s="7">
        <f t="shared" si="24"/>
        <v>3</v>
      </c>
      <c r="Y630" s="5">
        <v>27.5</v>
      </c>
      <c r="Z630" s="5">
        <v>6.9</v>
      </c>
      <c r="AA630" s="5">
        <v>5</v>
      </c>
      <c r="AB630" s="5">
        <v>21.34</v>
      </c>
      <c r="AC630" s="5">
        <v>878</v>
      </c>
      <c r="AD630" s="5">
        <v>5.8</v>
      </c>
      <c r="AE630" s="5">
        <v>8.5299999999999994</v>
      </c>
      <c r="AF630" s="5">
        <v>1</v>
      </c>
      <c r="AG630" s="5">
        <v>121.3</v>
      </c>
      <c r="AH630" s="5">
        <f>0.51*3600*8/1000</f>
        <v>14.688000000000001</v>
      </c>
      <c r="AI630" s="5">
        <f t="shared" si="23"/>
        <v>440.64000000000004</v>
      </c>
    </row>
    <row r="631" spans="1:51" x14ac:dyDescent="0.25">
      <c r="A631" s="5" t="s">
        <v>52</v>
      </c>
      <c r="B631" s="5" t="s">
        <v>82</v>
      </c>
      <c r="C631" s="5" t="s">
        <v>77</v>
      </c>
      <c r="F631" s="5" t="s">
        <v>55</v>
      </c>
      <c r="G631" s="5" t="s">
        <v>65</v>
      </c>
      <c r="H631" s="5" t="s">
        <v>57</v>
      </c>
      <c r="I631" s="5">
        <v>24</v>
      </c>
      <c r="J631" s="5" t="str">
        <f>IFERROR(VLOOKUP(I631,[1]INFO_LOCALES!$B:$C,2,FALSE),"")</f>
        <v>CHACABUCO</v>
      </c>
      <c r="K631" s="5" t="str">
        <f>IFERROR(VLOOKUP(Tabla2[[#This Row],[TIENDA]],[1]INFO_LOCALES!$B:$D,3,FALSE),"")</f>
        <v>III - Atacama</v>
      </c>
      <c r="L631" s="5" t="str">
        <f>IFERROR(VLOOKUP(I631,[1]INFO_LOCALES!$B:$I,8,FALSE),"")</f>
        <v>Copiapó</v>
      </c>
      <c r="M631" s="5" t="str">
        <f>IFERROR(VLOOKUP(I631,[1]INFO_LOCALES!$B:$H,7,FALSE),"")</f>
        <v>Los Carreras  586</v>
      </c>
      <c r="N631" s="5">
        <f>IFERROR(VLOOKUP(I631,[1]INFO_LOCALES!$B:$E,4,FALSE),"")</f>
        <v>0</v>
      </c>
      <c r="O631" s="5" t="str">
        <f>VLOOKUP(Tabla2[[#This Row],[TIENDA]],[1]INFO_LOCALES!$B:$J,9,0)</f>
        <v>SIN CONVENIO</v>
      </c>
      <c r="P631" s="5" t="str">
        <f>IFERROR(VLOOKUP(I631,[1]INFO_LOCALES!$B:$F,5,FALSE),"")</f>
        <v>NUEVA ATACAMA</v>
      </c>
      <c r="Q631" s="5" t="s">
        <v>85</v>
      </c>
      <c r="R631" s="5" t="s">
        <v>86</v>
      </c>
      <c r="S631" s="6"/>
      <c r="T631" s="5" t="str">
        <f>UPPER(IF(Tabla2[[#This Row],[FECHA DE MUESTREO ]]=0,"",TEXT(Tabla2[[#This Row],[FECHA DE MUESTREO ]],("MMMM"))))</f>
        <v>JULIO</v>
      </c>
      <c r="U631" s="6">
        <v>45859</v>
      </c>
      <c r="V631" s="5" t="s">
        <v>59</v>
      </c>
      <c r="W6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31" s="7">
        <f t="shared" si="24"/>
        <v>2</v>
      </c>
      <c r="Y631" s="5">
        <v>14.2</v>
      </c>
      <c r="Z631" s="5">
        <v>7.11</v>
      </c>
      <c r="AA631" s="5">
        <v>2</v>
      </c>
      <c r="AB631" s="5">
        <v>19.440000000000001</v>
      </c>
      <c r="AC631" s="5">
        <v>350</v>
      </c>
      <c r="AD631" s="5">
        <v>13.2</v>
      </c>
      <c r="AE631" s="5">
        <v>52.19</v>
      </c>
      <c r="AF631" s="5">
        <v>3</v>
      </c>
      <c r="AG631" s="5">
        <v>97</v>
      </c>
      <c r="AH631" s="5">
        <f>0.35*3600*8/1000</f>
        <v>10.08</v>
      </c>
      <c r="AI631" s="5">
        <f t="shared" si="23"/>
        <v>302.39999999999998</v>
      </c>
    </row>
    <row r="632" spans="1:51" x14ac:dyDescent="0.25">
      <c r="A632" s="5" t="s">
        <v>52</v>
      </c>
      <c r="B632" s="5" t="s">
        <v>82</v>
      </c>
      <c r="C632" s="5" t="s">
        <v>77</v>
      </c>
      <c r="F632" s="5" t="s">
        <v>55</v>
      </c>
      <c r="G632" s="5" t="s">
        <v>61</v>
      </c>
      <c r="H632" s="5" t="s">
        <v>57</v>
      </c>
      <c r="I632" s="5">
        <v>472</v>
      </c>
      <c r="J632" s="5" t="str">
        <f>IFERROR(VLOOKUP(I632,[1]INFO_LOCALES!$B:$C,2,FALSE),"")</f>
        <v>CALDERA I</v>
      </c>
      <c r="K632" s="5" t="str">
        <f>IFERROR(VLOOKUP(Tabla2[[#This Row],[TIENDA]],[1]INFO_LOCALES!$B:$D,3,FALSE),"")</f>
        <v>III - Atacama</v>
      </c>
      <c r="L632" s="5" t="str">
        <f>IFERROR(VLOOKUP(I632,[1]INFO_LOCALES!$B:$I,8,FALSE),"")</f>
        <v>Caldera</v>
      </c>
      <c r="M632" s="5" t="str">
        <f>IFERROR(VLOOKUP(I632,[1]INFO_LOCALES!$B:$H,7,FALSE),"")</f>
        <v>Batallon Atacama 319</v>
      </c>
      <c r="N632" s="5">
        <f>IFERROR(VLOOKUP(I632,[1]INFO_LOCALES!$B:$E,4,FALSE),"")</f>
        <v>0</v>
      </c>
      <c r="O632" s="5" t="str">
        <f>VLOOKUP(Tabla2[[#This Row],[TIENDA]],[1]INFO_LOCALES!$B:$J,9,0)</f>
        <v>CONVENIO</v>
      </c>
      <c r="P632" s="5" t="str">
        <f>IFERROR(VLOOKUP(I632,[1]INFO_LOCALES!$B:$F,5,FALSE),"")</f>
        <v>NUEVA ATACAMA</v>
      </c>
      <c r="Q632" s="5" t="s">
        <v>66</v>
      </c>
      <c r="R632" s="5" t="s">
        <v>58</v>
      </c>
      <c r="S632" s="6"/>
      <c r="T632" s="5" t="str">
        <f>UPPER(IF(Tabla2[[#This Row],[FECHA DE MUESTREO ]]=0,"",TEXT(Tabla2[[#This Row],[FECHA DE MUESTREO ]],("MMMM"))))</f>
        <v>JUNIO</v>
      </c>
      <c r="U632" s="6">
        <v>45819</v>
      </c>
      <c r="V632" s="5" t="s">
        <v>59</v>
      </c>
      <c r="W6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32" s="7">
        <f t="shared" si="24"/>
        <v>3</v>
      </c>
      <c r="Y632" s="5">
        <v>9.17</v>
      </c>
      <c r="AA632" s="5">
        <v>6</v>
      </c>
      <c r="AC632" s="5">
        <v>678</v>
      </c>
      <c r="AD632" s="5">
        <v>21.88</v>
      </c>
      <c r="AE632" s="5">
        <v>39.049999999999997</v>
      </c>
      <c r="AF632" s="5">
        <v>1</v>
      </c>
      <c r="AG632" s="5">
        <v>131.66999999999999</v>
      </c>
      <c r="AI632" s="5">
        <f t="shared" si="23"/>
        <v>0</v>
      </c>
      <c r="AY632" s="5">
        <v>2.14</v>
      </c>
    </row>
    <row r="633" spans="1:51" x14ac:dyDescent="0.25">
      <c r="A633" s="5" t="s">
        <v>52</v>
      </c>
      <c r="B633" s="5" t="s">
        <v>82</v>
      </c>
      <c r="C633" s="5" t="s">
        <v>77</v>
      </c>
      <c r="F633" s="5" t="s">
        <v>55</v>
      </c>
      <c r="G633" s="5" t="s">
        <v>65</v>
      </c>
      <c r="H633" s="5" t="s">
        <v>57</v>
      </c>
      <c r="I633" s="5">
        <v>32</v>
      </c>
      <c r="J633" s="5" t="str">
        <f>IFERROR(VLOOKUP(I633,[1]INFO_LOCALES!$B:$C,2,FALSE),"")</f>
        <v>CHAÑARCILLO</v>
      </c>
      <c r="K633" s="5" t="str">
        <f>IFERROR(VLOOKUP(Tabla2[[#This Row],[TIENDA]],[1]INFO_LOCALES!$B:$D,3,FALSE),"")</f>
        <v>III - Atacama</v>
      </c>
      <c r="L633" s="5" t="str">
        <f>IFERROR(VLOOKUP(I633,[1]INFO_LOCALES!$B:$I,8,FALSE),"")</f>
        <v>Copiapó</v>
      </c>
      <c r="M633" s="5" t="str">
        <f>IFERROR(VLOOKUP(I633,[1]INFO_LOCALES!$B:$H,7,FALSE),"")</f>
        <v>Chacabuco Nº 231</v>
      </c>
      <c r="N633" s="5">
        <f>IFERROR(VLOOKUP(I633,[1]INFO_LOCALES!$B:$E,4,FALSE),"")</f>
        <v>0</v>
      </c>
      <c r="O633" s="5" t="str">
        <f>VLOOKUP(Tabla2[[#This Row],[TIENDA]],[1]INFO_LOCALES!$B:$J,9,0)</f>
        <v>CONVENIO</v>
      </c>
      <c r="P633" s="5" t="str">
        <f>IFERROR(VLOOKUP(I633,[1]INFO_LOCALES!$B:$F,5,FALSE),"")</f>
        <v>NUEVA ATACAMA</v>
      </c>
      <c r="Q633" s="5" t="s">
        <v>66</v>
      </c>
      <c r="R633" s="5" t="s">
        <v>58</v>
      </c>
      <c r="S633" s="6"/>
      <c r="T633" s="5" t="str">
        <f>UPPER(IF(Tabla2[[#This Row],[FECHA DE MUESTREO ]]=0,"",TEXT(Tabla2[[#This Row],[FECHA DE MUESTREO ]],("MMMM"))))</f>
        <v>JUNIO</v>
      </c>
      <c r="U633" s="6">
        <v>45818</v>
      </c>
      <c r="V633" s="5" t="s">
        <v>59</v>
      </c>
      <c r="W6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33" s="7">
        <f t="shared" si="24"/>
        <v>2</v>
      </c>
      <c r="Y633" s="5">
        <v>8.36</v>
      </c>
      <c r="AA633" s="5">
        <v>2</v>
      </c>
      <c r="AC633" s="5">
        <v>373</v>
      </c>
      <c r="AD633" s="5">
        <v>8.65</v>
      </c>
      <c r="AE633" s="5">
        <v>32.1</v>
      </c>
      <c r="AF633" s="5">
        <v>2.5</v>
      </c>
      <c r="AG633" s="5">
        <v>221.28</v>
      </c>
      <c r="AI633" s="5">
        <f t="shared" si="23"/>
        <v>0</v>
      </c>
      <c r="AY633" s="5">
        <v>5.01</v>
      </c>
    </row>
    <row r="634" spans="1:51" x14ac:dyDescent="0.25">
      <c r="A634" s="5" t="s">
        <v>52</v>
      </c>
      <c r="B634" s="5" t="s">
        <v>82</v>
      </c>
      <c r="C634" s="5" t="s">
        <v>77</v>
      </c>
      <c r="F634" s="5" t="s">
        <v>55</v>
      </c>
      <c r="G634" s="5" t="s">
        <v>65</v>
      </c>
      <c r="H634" s="5" t="s">
        <v>57</v>
      </c>
      <c r="I634" s="5">
        <v>14</v>
      </c>
      <c r="J634" s="5" t="str">
        <f>IFERROR(VLOOKUP(I634,[1]INFO_LOCALES!$B:$C,2,FALSE),"")</f>
        <v>COPIAPO</v>
      </c>
      <c r="K634" s="5" t="str">
        <f>IFERROR(VLOOKUP(Tabla2[[#This Row],[TIENDA]],[1]INFO_LOCALES!$B:$D,3,FALSE),"")</f>
        <v>III - Atacama</v>
      </c>
      <c r="L634" s="5" t="str">
        <f>IFERROR(VLOOKUP(I634,[1]INFO_LOCALES!$B:$I,8,FALSE),"")</f>
        <v>Copiapó</v>
      </c>
      <c r="M634" s="5" t="str">
        <f>IFERROR(VLOOKUP(I634,[1]INFO_LOCALES!$B:$H,7,FALSE),"")</f>
        <v>Av. Henrriquez N° 523</v>
      </c>
      <c r="N634" s="5">
        <f>IFERROR(VLOOKUP(I634,[1]INFO_LOCALES!$B:$E,4,FALSE),"")</f>
        <v>0</v>
      </c>
      <c r="O634" s="5" t="str">
        <f>VLOOKUP(Tabla2[[#This Row],[TIENDA]],[1]INFO_LOCALES!$B:$J,9,0)</f>
        <v>CONVENIO</v>
      </c>
      <c r="P634" s="5" t="str">
        <f>IFERROR(VLOOKUP(I634,[1]INFO_LOCALES!$B:$F,5,FALSE),"")</f>
        <v>NUEVA ATACAMA</v>
      </c>
      <c r="Q634" s="5" t="s">
        <v>66</v>
      </c>
      <c r="R634" s="5" t="s">
        <v>58</v>
      </c>
      <c r="S634" s="6"/>
      <c r="T634" s="5" t="str">
        <f>UPPER(IF(Tabla2[[#This Row],[FECHA DE MUESTREO ]]=0,"",TEXT(Tabla2[[#This Row],[FECHA DE MUESTREO ]],("MMMM"))))</f>
        <v>JUNIO</v>
      </c>
      <c r="U634" s="6">
        <v>45813</v>
      </c>
      <c r="V634" s="5" t="s">
        <v>59</v>
      </c>
      <c r="W6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34" s="7">
        <f t="shared" si="24"/>
        <v>1</v>
      </c>
      <c r="Y634" s="5">
        <v>7.24</v>
      </c>
      <c r="AA634" s="5">
        <v>3</v>
      </c>
      <c r="AC634" s="5">
        <v>283</v>
      </c>
      <c r="AD634" s="5">
        <v>8.06</v>
      </c>
      <c r="AE634" s="5">
        <v>30</v>
      </c>
      <c r="AF634" s="5">
        <v>1</v>
      </c>
      <c r="AG634" s="5">
        <v>41</v>
      </c>
      <c r="AI634" s="5">
        <f t="shared" si="23"/>
        <v>0</v>
      </c>
      <c r="AY634" s="5">
        <v>4.74</v>
      </c>
    </row>
    <row r="635" spans="1:51" x14ac:dyDescent="0.25">
      <c r="A635" s="5" t="s">
        <v>52</v>
      </c>
      <c r="B635" s="5" t="s">
        <v>82</v>
      </c>
      <c r="C635" s="5" t="s">
        <v>77</v>
      </c>
      <c r="F635" s="5" t="s">
        <v>55</v>
      </c>
      <c r="G635" s="5" t="s">
        <v>65</v>
      </c>
      <c r="H635" s="5" t="s">
        <v>57</v>
      </c>
      <c r="I635" s="5">
        <v>7</v>
      </c>
      <c r="J635" s="5" t="str">
        <f>IFERROR(VLOOKUP(I635,[1]INFO_LOCALES!$B:$C,2,FALSE),"")</f>
        <v>VALLENAR I</v>
      </c>
      <c r="K635" s="5" t="str">
        <f>IFERROR(VLOOKUP(Tabla2[[#This Row],[TIENDA]],[1]INFO_LOCALES!$B:$D,3,FALSE),"")</f>
        <v>III - Atacama</v>
      </c>
      <c r="L635" s="5" t="str">
        <f>IFERROR(VLOOKUP(I635,[1]INFO_LOCALES!$B:$I,8,FALSE),"")</f>
        <v>Vallenar</v>
      </c>
      <c r="M635" s="5" t="str">
        <f>IFERROR(VLOOKUP(I635,[1]INFO_LOCALES!$B:$H,7,FALSE),"")</f>
        <v>Brasil 663</v>
      </c>
      <c r="N635" s="5">
        <f>IFERROR(VLOOKUP(I635,[1]INFO_LOCALES!$B:$E,4,FALSE),"")</f>
        <v>0</v>
      </c>
      <c r="O635" s="5" t="str">
        <f>VLOOKUP(Tabla2[[#This Row],[TIENDA]],[1]INFO_LOCALES!$B:$J,9,0)</f>
        <v>CONVENIO</v>
      </c>
      <c r="P635" s="5" t="str">
        <f>IFERROR(VLOOKUP(I635,[1]INFO_LOCALES!$B:$F,5,FALSE),"")</f>
        <v>NUEVA ATACAMA</v>
      </c>
      <c r="Q635" s="5" t="s">
        <v>66</v>
      </c>
      <c r="R635" s="5" t="s">
        <v>58</v>
      </c>
      <c r="S635" s="6"/>
      <c r="T635" s="5" t="str">
        <f>UPPER(IF(Tabla2[[#This Row],[FECHA DE MUESTREO ]]=0,"",TEXT(Tabla2[[#This Row],[FECHA DE MUESTREO ]],("MMMM"))))</f>
        <v>JUNIO</v>
      </c>
      <c r="U635" s="6">
        <v>45821</v>
      </c>
      <c r="V635" s="5" t="s">
        <v>59</v>
      </c>
      <c r="W6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35" s="7">
        <f t="shared" si="24"/>
        <v>2</v>
      </c>
      <c r="Y635" s="5">
        <v>11.46</v>
      </c>
      <c r="AA635" s="5">
        <v>2</v>
      </c>
      <c r="AC635" s="5">
        <v>340</v>
      </c>
      <c r="AD635" s="5">
        <v>11.69</v>
      </c>
      <c r="AE635" s="5">
        <v>0.28000000000000003</v>
      </c>
      <c r="AF635" s="5">
        <v>2</v>
      </c>
      <c r="AG635" s="5">
        <v>135.21</v>
      </c>
      <c r="AI635" s="5">
        <f t="shared" si="23"/>
        <v>0</v>
      </c>
      <c r="AY635" s="5">
        <v>2.02</v>
      </c>
    </row>
    <row r="636" spans="1:51" x14ac:dyDescent="0.25">
      <c r="A636" s="5" t="s">
        <v>52</v>
      </c>
      <c r="B636" s="5" t="s">
        <v>82</v>
      </c>
      <c r="C636" s="5" t="s">
        <v>77</v>
      </c>
      <c r="F636" s="5" t="s">
        <v>55</v>
      </c>
      <c r="G636" s="5" t="s">
        <v>61</v>
      </c>
      <c r="H636" s="5" t="s">
        <v>57</v>
      </c>
      <c r="I636" s="5">
        <v>22</v>
      </c>
      <c r="J636" s="5" t="str">
        <f>IFERROR(VLOOKUP(I636,[1]INFO_LOCALES!$B:$C,2,FALSE),"")</f>
        <v>ATACAMA</v>
      </c>
      <c r="K636" s="5" t="str">
        <f>IFERROR(VLOOKUP(Tabla2[[#This Row],[TIENDA]],[1]INFO_LOCALES!$B:$D,3,FALSE),"")</f>
        <v>III - Atacama</v>
      </c>
      <c r="L636" s="5" t="str">
        <f>IFERROR(VLOOKUP(I636,[1]INFO_LOCALES!$B:$I,8,FALSE),"")</f>
        <v>Copiapó</v>
      </c>
      <c r="M636" s="5" t="str">
        <f>IFERROR(VLOOKUP(I636,[1]INFO_LOCALES!$B:$H,7,FALSE),"")</f>
        <v>Los Carreras 2242</v>
      </c>
      <c r="N636" s="5">
        <f>IFERROR(VLOOKUP(I636,[1]INFO_LOCALES!$B:$E,4,FALSE),"")</f>
        <v>2666</v>
      </c>
      <c r="O636" s="5" t="str">
        <f>VLOOKUP(Tabla2[[#This Row],[TIENDA]],[1]INFO_LOCALES!$B:$J,9,0)</f>
        <v>CONVENIO</v>
      </c>
      <c r="P636" s="5" t="str">
        <f>IFERROR(VLOOKUP(I636,[1]INFO_LOCALES!$B:$F,5,FALSE),"")</f>
        <v>NUEVA ATACAMA</v>
      </c>
      <c r="Q636" s="5" t="s">
        <v>66</v>
      </c>
      <c r="R636" s="5" t="s">
        <v>58</v>
      </c>
      <c r="S636" s="6"/>
      <c r="T636" s="5" t="str">
        <f>UPPER(IF(Tabla2[[#This Row],[FECHA DE MUESTREO ]]=0,"",TEXT(Tabla2[[#This Row],[FECHA DE MUESTREO ]],("MMMM"))))</f>
        <v>JUNIO</v>
      </c>
      <c r="U636" s="6">
        <v>45818</v>
      </c>
      <c r="V636" s="5" t="s">
        <v>59</v>
      </c>
      <c r="W6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36" s="7">
        <f t="shared" si="24"/>
        <v>2</v>
      </c>
      <c r="Y636" s="5">
        <v>6.53</v>
      </c>
      <c r="AA636" s="5">
        <v>2</v>
      </c>
      <c r="AC636" s="5">
        <v>419</v>
      </c>
      <c r="AD636" s="5">
        <v>10.039999999999999</v>
      </c>
      <c r="AE636" s="5">
        <v>99.5</v>
      </c>
      <c r="AF636" s="5">
        <v>2</v>
      </c>
      <c r="AG636" s="5">
        <v>186.21</v>
      </c>
      <c r="AI636" s="5">
        <f t="shared" si="23"/>
        <v>0</v>
      </c>
      <c r="AY636" s="5">
        <v>3.49</v>
      </c>
    </row>
    <row r="637" spans="1:51" x14ac:dyDescent="0.25">
      <c r="A637" s="5" t="s">
        <v>52</v>
      </c>
      <c r="B637" s="5" t="s">
        <v>82</v>
      </c>
      <c r="C637" s="5" t="s">
        <v>77</v>
      </c>
      <c r="F637" s="5" t="s">
        <v>55</v>
      </c>
      <c r="G637" s="5" t="s">
        <v>65</v>
      </c>
      <c r="H637" s="5" t="s">
        <v>57</v>
      </c>
      <c r="I637" s="5">
        <v>14</v>
      </c>
      <c r="J637" s="5" t="str">
        <f>IFERROR(VLOOKUP(I637,[1]INFO_LOCALES!$B:$C,2,FALSE),"")</f>
        <v>COPIAPO</v>
      </c>
      <c r="K637" s="5" t="str">
        <f>IFERROR(VLOOKUP(Tabla2[[#This Row],[TIENDA]],[1]INFO_LOCALES!$B:$D,3,FALSE),"")</f>
        <v>III - Atacama</v>
      </c>
      <c r="L637" s="5" t="str">
        <f>IFERROR(VLOOKUP(I637,[1]INFO_LOCALES!$B:$I,8,FALSE),"")</f>
        <v>Copiapó</v>
      </c>
      <c r="M637" s="5" t="str">
        <f>IFERROR(VLOOKUP(I637,[1]INFO_LOCALES!$B:$H,7,FALSE),"")</f>
        <v>Av. Henrriquez N° 523</v>
      </c>
      <c r="N637" s="5">
        <f>IFERROR(VLOOKUP(I637,[1]INFO_LOCALES!$B:$E,4,FALSE),"")</f>
        <v>0</v>
      </c>
      <c r="O637" s="5" t="str">
        <f>VLOOKUP(Tabla2[[#This Row],[TIENDA]],[1]INFO_LOCALES!$B:$J,9,0)</f>
        <v>CONVENIO</v>
      </c>
      <c r="P637" s="5" t="str">
        <f>IFERROR(VLOOKUP(I637,[1]INFO_LOCALES!$B:$F,5,FALSE),"")</f>
        <v>NUEVA ATACAMA</v>
      </c>
      <c r="Q637" s="5" t="s">
        <v>85</v>
      </c>
      <c r="R637" s="5" t="s">
        <v>86</v>
      </c>
      <c r="S637" s="6"/>
      <c r="T637" s="5" t="str">
        <f>UPPER(IF(Tabla2[[#This Row],[FECHA DE MUESTREO ]]=0,"",TEXT(Tabla2[[#This Row],[FECHA DE MUESTREO ]],("MMMM"))))</f>
        <v>AGOSTO</v>
      </c>
      <c r="U637" s="6">
        <v>45873</v>
      </c>
      <c r="V637" s="5" t="s">
        <v>59</v>
      </c>
      <c r="W6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37" s="7">
        <f t="shared" si="24"/>
        <v>2</v>
      </c>
      <c r="Y637" s="5">
        <v>15.5</v>
      </c>
      <c r="Z637" s="5">
        <v>7.14</v>
      </c>
      <c r="AA637" s="5">
        <v>5</v>
      </c>
      <c r="AB637" s="5">
        <v>22.41</v>
      </c>
      <c r="AC637" s="5">
        <v>518</v>
      </c>
      <c r="AD637" s="5">
        <v>9</v>
      </c>
      <c r="AE637" s="5">
        <v>5</v>
      </c>
      <c r="AF637" s="5">
        <v>0.5</v>
      </c>
      <c r="AG637" s="5">
        <v>49</v>
      </c>
      <c r="AH637" s="5">
        <f>0.65*3600*8/1000</f>
        <v>18.72</v>
      </c>
      <c r="AI637" s="5">
        <f t="shared" ref="AI637:AI700" si="25">AH637*30</f>
        <v>561.59999999999991</v>
      </c>
    </row>
    <row r="638" spans="1:51" x14ac:dyDescent="0.25">
      <c r="A638" s="5" t="s">
        <v>52</v>
      </c>
      <c r="B638" s="5" t="s">
        <v>82</v>
      </c>
      <c r="C638" s="5" t="s">
        <v>77</v>
      </c>
      <c r="F638" s="5" t="s">
        <v>55</v>
      </c>
      <c r="G638" s="5" t="s">
        <v>65</v>
      </c>
      <c r="H638" s="5" t="s">
        <v>57</v>
      </c>
      <c r="I638" s="5">
        <v>24</v>
      </c>
      <c r="J638" s="5" t="str">
        <f>IFERROR(VLOOKUP(I638,[1]INFO_LOCALES!$B:$C,2,FALSE),"")</f>
        <v>CHACABUCO</v>
      </c>
      <c r="K638" s="5" t="str">
        <f>IFERROR(VLOOKUP(Tabla2[[#This Row],[TIENDA]],[1]INFO_LOCALES!$B:$D,3,FALSE),"")</f>
        <v>III - Atacama</v>
      </c>
      <c r="L638" s="5" t="str">
        <f>IFERROR(VLOOKUP(I638,[1]INFO_LOCALES!$B:$I,8,FALSE),"")</f>
        <v>Copiapó</v>
      </c>
      <c r="M638" s="5" t="str">
        <f>IFERROR(VLOOKUP(I638,[1]INFO_LOCALES!$B:$H,7,FALSE),"")</f>
        <v>Los Carreras  586</v>
      </c>
      <c r="N638" s="5">
        <f>IFERROR(VLOOKUP(I638,[1]INFO_LOCALES!$B:$E,4,FALSE),"")</f>
        <v>0</v>
      </c>
      <c r="O638" s="5" t="str">
        <f>VLOOKUP(Tabla2[[#This Row],[TIENDA]],[1]INFO_LOCALES!$B:$J,9,0)</f>
        <v>SIN CONVENIO</v>
      </c>
      <c r="P638" s="5" t="str">
        <f>IFERROR(VLOOKUP(I638,[1]INFO_LOCALES!$B:$F,5,FALSE),"")</f>
        <v>NUEVA ATACAMA</v>
      </c>
      <c r="Q638" s="5" t="s">
        <v>85</v>
      </c>
      <c r="R638" s="5" t="s">
        <v>86</v>
      </c>
      <c r="S638" s="6"/>
      <c r="T638" s="5" t="str">
        <f>UPPER(IF(Tabla2[[#This Row],[FECHA DE MUESTREO ]]=0,"",TEXT(Tabla2[[#This Row],[FECHA DE MUESTREO ]],("MMMM"))))</f>
        <v>AGOSTO</v>
      </c>
      <c r="U638" s="6">
        <v>45874</v>
      </c>
      <c r="V638" s="5" t="s">
        <v>59</v>
      </c>
      <c r="W6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38" s="7">
        <f t="shared" si="24"/>
        <v>2</v>
      </c>
      <c r="Y638" s="5">
        <v>42.8</v>
      </c>
      <c r="Z638" s="5">
        <v>7.14</v>
      </c>
      <c r="AA638" s="5">
        <v>3</v>
      </c>
      <c r="AB638" s="5">
        <v>18.04</v>
      </c>
      <c r="AC638" s="5">
        <v>365</v>
      </c>
      <c r="AD638" s="5">
        <v>2.5</v>
      </c>
      <c r="AE638" s="5">
        <v>5</v>
      </c>
      <c r="AF638" s="5">
        <v>1.5</v>
      </c>
      <c r="AG638" s="5">
        <v>74.7</v>
      </c>
      <c r="AI638" s="5">
        <f t="shared" si="25"/>
        <v>0</v>
      </c>
    </row>
    <row r="639" spans="1:51" x14ac:dyDescent="0.25">
      <c r="A639" s="5" t="s">
        <v>52</v>
      </c>
      <c r="B639" s="5" t="s">
        <v>76</v>
      </c>
      <c r="C639" s="5" t="s">
        <v>77</v>
      </c>
      <c r="F639" s="5" t="s">
        <v>55</v>
      </c>
      <c r="G639" s="5" t="s">
        <v>61</v>
      </c>
      <c r="H639" s="5" t="s">
        <v>57</v>
      </c>
      <c r="I639" s="5">
        <v>105</v>
      </c>
      <c r="J639" s="5" t="str">
        <f>IFERROR(VLOOKUP(I639,[1]INFO_LOCALES!$B:$C,2,FALSE),"")</f>
        <v>IQUIQUE CENTRO</v>
      </c>
      <c r="K639" s="5" t="str">
        <f>IFERROR(VLOOKUP(Tabla2[[#This Row],[TIENDA]],[1]INFO_LOCALES!$B:$D,3,FALSE),"")</f>
        <v>I - Tarapacá</v>
      </c>
      <c r="L639" s="5" t="str">
        <f>IFERROR(VLOOKUP(I639,[1]INFO_LOCALES!$B:$I,8,FALSE),"")</f>
        <v>Iquique</v>
      </c>
      <c r="M639" s="5" t="str">
        <f>IFERROR(VLOOKUP(I639,[1]INFO_LOCALES!$B:$H,7,FALSE),"")</f>
        <v>Tarapaca 579</v>
      </c>
      <c r="N639" s="5">
        <f>IFERROR(VLOOKUP(I639,[1]INFO_LOCALES!$B:$E,4,FALSE),"")</f>
        <v>4051</v>
      </c>
      <c r="O639" s="5" t="str">
        <f>VLOOKUP(Tabla2[[#This Row],[TIENDA]],[1]INFO_LOCALES!$B:$J,9,0)</f>
        <v>TERMINADO</v>
      </c>
      <c r="P639" s="5" t="str">
        <f>IFERROR(VLOOKUP(I639,[1]INFO_LOCALES!$B:$F,5,FALSE),"")</f>
        <v>AGUAS DEL ALTIPLANO S.A.</v>
      </c>
      <c r="Q639" s="5" t="s">
        <v>85</v>
      </c>
      <c r="R639" s="5" t="s">
        <v>86</v>
      </c>
      <c r="S639" s="6"/>
      <c r="T639" s="5" t="str">
        <f>UPPER(IF(Tabla2[[#This Row],[FECHA DE MUESTREO ]]=0,"",TEXT(Tabla2[[#This Row],[FECHA DE MUESTREO ]],("MMMM"))))</f>
        <v>AGOSTO</v>
      </c>
      <c r="U639" s="6">
        <v>45874</v>
      </c>
      <c r="V639" s="5" t="s">
        <v>59</v>
      </c>
      <c r="W6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39" s="7">
        <f t="shared" si="24"/>
        <v>1</v>
      </c>
      <c r="Y639" s="5">
        <v>31.2</v>
      </c>
      <c r="Z639" s="5">
        <v>6.67</v>
      </c>
      <c r="AA639" s="5">
        <v>5</v>
      </c>
      <c r="AB639" s="5">
        <v>23.63</v>
      </c>
      <c r="AC639" s="5">
        <v>112</v>
      </c>
      <c r="AD639" s="5">
        <v>2.5</v>
      </c>
      <c r="AE639" s="5">
        <v>8.17</v>
      </c>
      <c r="AF639" s="5">
        <v>0.8</v>
      </c>
      <c r="AG639" s="5">
        <v>141.30000000000001</v>
      </c>
      <c r="AH639" s="5">
        <f>0.47*3600*8/1000</f>
        <v>13.536</v>
      </c>
      <c r="AI639" s="5">
        <f t="shared" si="25"/>
        <v>406.08</v>
      </c>
    </row>
    <row r="640" spans="1:51" x14ac:dyDescent="0.25">
      <c r="A640" s="5" t="s">
        <v>52</v>
      </c>
      <c r="B640" s="5" t="s">
        <v>82</v>
      </c>
      <c r="C640" s="5" t="s">
        <v>77</v>
      </c>
      <c r="F640" s="5" t="s">
        <v>55</v>
      </c>
      <c r="G640" s="5" t="s">
        <v>61</v>
      </c>
      <c r="H640" s="5" t="s">
        <v>57</v>
      </c>
      <c r="I640" s="5">
        <v>25</v>
      </c>
      <c r="J640" s="5" t="str">
        <f>IFERROR(VLOOKUP(I640,[1]INFO_LOCALES!$B:$C,2,FALSE),"")</f>
        <v>EL PALOMAR</v>
      </c>
      <c r="K640" s="5" t="str">
        <f>IFERROR(VLOOKUP(Tabla2[[#This Row],[TIENDA]],[1]INFO_LOCALES!$B:$D,3,FALSE),"")</f>
        <v>III - Atacama</v>
      </c>
      <c r="L640" s="5" t="str">
        <f>IFERROR(VLOOKUP(I640,[1]INFO_LOCALES!$B:$I,8,FALSE),"")</f>
        <v>Copiapó</v>
      </c>
      <c r="M640" s="5" t="str">
        <f>IFERROR(VLOOKUP(I640,[1]INFO_LOCALES!$B:$H,7,FALSE),"")</f>
        <v>Av. Palomar 1525</v>
      </c>
      <c r="N640" s="5">
        <f>IFERROR(VLOOKUP(I640,[1]INFO_LOCALES!$B:$E,4,FALSE),"")</f>
        <v>3868</v>
      </c>
      <c r="O640" s="5" t="str">
        <f>VLOOKUP(Tabla2[[#This Row],[TIENDA]],[1]INFO_LOCALES!$B:$J,9,0)</f>
        <v>TERMINADO</v>
      </c>
      <c r="P640" s="5" t="str">
        <f>IFERROR(VLOOKUP(I640,[1]INFO_LOCALES!$B:$F,5,FALSE),"")</f>
        <v>NUEVA ATACAMA</v>
      </c>
      <c r="Q640" s="5" t="s">
        <v>85</v>
      </c>
      <c r="R640" s="5" t="s">
        <v>86</v>
      </c>
      <c r="S640" s="6"/>
      <c r="T640" s="5" t="str">
        <f>UPPER(IF(Tabla2[[#This Row],[FECHA DE MUESTREO ]]=0,"",TEXT(Tabla2[[#This Row],[FECHA DE MUESTREO ]],("MMMM"))))</f>
        <v>AGOSTO</v>
      </c>
      <c r="U640" s="6">
        <v>45873</v>
      </c>
      <c r="V640" s="5" t="s">
        <v>59</v>
      </c>
      <c r="W6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40" s="7">
        <f t="shared" si="24"/>
        <v>1</v>
      </c>
      <c r="Y640" s="5">
        <v>24</v>
      </c>
      <c r="Z640" s="5">
        <v>7.6</v>
      </c>
      <c r="AA640" s="5">
        <v>2</v>
      </c>
      <c r="AB640" s="5">
        <v>19.2</v>
      </c>
      <c r="AC640" s="5">
        <v>117</v>
      </c>
      <c r="AD640" s="5">
        <v>4.4000000000000004</v>
      </c>
      <c r="AE640" s="5">
        <v>13.28</v>
      </c>
      <c r="AF640" s="5">
        <v>1.5</v>
      </c>
      <c r="AG640" s="5">
        <v>58.7</v>
      </c>
      <c r="AI640" s="5">
        <f t="shared" si="25"/>
        <v>0</v>
      </c>
    </row>
    <row r="641" spans="1:51" x14ac:dyDescent="0.25">
      <c r="A641" s="5" t="s">
        <v>52</v>
      </c>
      <c r="B641" s="5" t="s">
        <v>104</v>
      </c>
      <c r="C641" s="5" t="s">
        <v>54</v>
      </c>
      <c r="F641" s="5" t="s">
        <v>55</v>
      </c>
      <c r="G641" s="5" t="s">
        <v>61</v>
      </c>
      <c r="H641" s="5" t="s">
        <v>57</v>
      </c>
      <c r="I641" s="5">
        <v>555</v>
      </c>
      <c r="J641" s="5" t="str">
        <f>IFERROR(VLOOKUP(I641,[1]INFO_LOCALES!$B:$C,2,FALSE),"")</f>
        <v>GRANEROS</v>
      </c>
      <c r="K641" s="5" t="str">
        <f>IFERROR(VLOOKUP(Tabla2[[#This Row],[TIENDA]],[1]INFO_LOCALES!$B:$D,3,FALSE),"")</f>
        <v>VI - O'Higgins</v>
      </c>
      <c r="L641" s="5" t="str">
        <f>IFERROR(VLOOKUP(I641,[1]INFO_LOCALES!$B:$I,8,FALSE),"")</f>
        <v>Graneros</v>
      </c>
      <c r="M641" s="5" t="str">
        <f>IFERROR(VLOOKUP(I641,[1]INFO_LOCALES!$B:$H,7,FALSE),"")</f>
        <v>Obispo Rafael Lira 042</v>
      </c>
      <c r="N641" s="5">
        <f>IFERROR(VLOOKUP(I641,[1]INFO_LOCALES!$B:$E,4,FALSE),"")</f>
        <v>4574</v>
      </c>
      <c r="O641" s="5" t="str">
        <f>VLOOKUP(Tabla2[[#This Row],[TIENDA]],[1]INFO_LOCALES!$B:$J,9,0)</f>
        <v>SIN CONVENIO</v>
      </c>
      <c r="P641" s="5" t="str">
        <f>IFERROR(VLOOKUP(I641,[1]INFO_LOCALES!$B:$F,5,FALSE),"")</f>
        <v>ESSBIO S.A.</v>
      </c>
      <c r="Q641" s="5" t="s">
        <v>85</v>
      </c>
      <c r="R641" s="5" t="s">
        <v>86</v>
      </c>
      <c r="S641" s="6"/>
      <c r="T641" s="5" t="str">
        <f>UPPER(IF(Tabla2[[#This Row],[FECHA DE MUESTREO ]]=0,"",TEXT(Tabla2[[#This Row],[FECHA DE MUESTREO ]],("MMMM"))))</f>
        <v>AGOSTO</v>
      </c>
      <c r="U641" s="6">
        <v>45876</v>
      </c>
      <c r="V641" s="5" t="s">
        <v>59</v>
      </c>
      <c r="W6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41" s="7">
        <f t="shared" si="24"/>
        <v>2</v>
      </c>
      <c r="Y641" s="5">
        <v>35.4</v>
      </c>
      <c r="Z641" s="5">
        <v>7.42</v>
      </c>
      <c r="AA641" s="5">
        <v>2</v>
      </c>
      <c r="AB641" s="5">
        <v>14.74</v>
      </c>
      <c r="AC641" s="5">
        <v>530</v>
      </c>
      <c r="AD641" s="5">
        <v>4.7</v>
      </c>
      <c r="AE641" s="5">
        <v>12.75</v>
      </c>
      <c r="AF641" s="5">
        <v>10</v>
      </c>
      <c r="AG641" s="5">
        <v>370</v>
      </c>
      <c r="AH641" s="5">
        <f>0.85*3600*8/1000</f>
        <v>24.48</v>
      </c>
      <c r="AI641" s="5">
        <f t="shared" si="25"/>
        <v>734.4</v>
      </c>
    </row>
    <row r="642" spans="1:51" x14ac:dyDescent="0.25">
      <c r="A642" s="5" t="s">
        <v>60</v>
      </c>
      <c r="B642" s="5" t="e">
        <v>#N/A</v>
      </c>
      <c r="C642" s="5" t="e">
        <v>#N/A</v>
      </c>
      <c r="F642" s="5" t="s">
        <v>55</v>
      </c>
      <c r="G642" s="5" t="s">
        <v>61</v>
      </c>
      <c r="H642" s="5" t="s">
        <v>57</v>
      </c>
      <c r="I642" s="5">
        <v>3014</v>
      </c>
      <c r="J642" s="5" t="str">
        <f>IFERROR(VLOOKUP(I642,[1]INFO_LOCALES!$B:$C,2,FALSE),"")</f>
        <v>M10 SAN FERNANDO</v>
      </c>
      <c r="K642" s="5" t="str">
        <f>IFERROR(VLOOKUP(Tabla2[[#This Row],[TIENDA]],[1]INFO_LOCALES!$B:$D,3,FALSE),"")</f>
        <v>VI - O'Higgins</v>
      </c>
      <c r="L642" s="5" t="str">
        <f>IFERROR(VLOOKUP(I642,[1]INFO_LOCALES!$B:$I,8,FALSE),"")</f>
        <v>San Fernando</v>
      </c>
      <c r="M642" s="5" t="str">
        <f>IFERROR(VLOOKUP(I642,[1]INFO_LOCALES!$B:$H,7,FALSE),"")</f>
        <v>Chillan 745</v>
      </c>
      <c r="N642" s="5">
        <f>IFERROR(VLOOKUP(I642,[1]INFO_LOCALES!$B:$E,4,FALSE),"")</f>
        <v>1298</v>
      </c>
      <c r="O642" s="5" t="str">
        <f>VLOOKUP(Tabla2[[#This Row],[TIENDA]],[1]INFO_LOCALES!$B:$J,9,0)</f>
        <v>TERMINADO</v>
      </c>
      <c r="P642" s="5" t="str">
        <f>IFERROR(VLOOKUP(I642,[1]INFO_LOCALES!$B:$F,5,FALSE),"")</f>
        <v>ESSBIO S.A.</v>
      </c>
      <c r="Q642" s="5" t="s">
        <v>85</v>
      </c>
      <c r="R642" s="5" t="s">
        <v>86</v>
      </c>
      <c r="S642" s="6"/>
      <c r="T642" s="5" t="str">
        <f>UPPER(IF(Tabla2[[#This Row],[FECHA DE MUESTREO ]]=0,"",TEXT(Tabla2[[#This Row],[FECHA DE MUESTREO ]],("MMMM"))))</f>
        <v>AGOSTO</v>
      </c>
      <c r="U642" s="6">
        <v>45874</v>
      </c>
      <c r="V642" s="5" t="s">
        <v>118</v>
      </c>
      <c r="W6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42" s="7">
        <f t="shared" si="24"/>
        <v>1</v>
      </c>
      <c r="Y642" s="5">
        <v>9.6999999999999993</v>
      </c>
      <c r="Z642" s="5">
        <v>7.29</v>
      </c>
      <c r="AA642" s="5">
        <v>2</v>
      </c>
      <c r="AB642" s="5">
        <v>14.69</v>
      </c>
      <c r="AC642" s="5">
        <v>105</v>
      </c>
      <c r="AD642" s="5">
        <v>3.2</v>
      </c>
      <c r="AE642" s="5">
        <v>6.75</v>
      </c>
      <c r="AF642" s="5">
        <v>9</v>
      </c>
      <c r="AG642" s="5">
        <v>116</v>
      </c>
      <c r="AH642" s="5">
        <f>0.79*3600*8/1000</f>
        <v>22.751999999999999</v>
      </c>
      <c r="AI642" s="5">
        <f t="shared" si="25"/>
        <v>682.56</v>
      </c>
      <c r="AJ642" s="5">
        <v>0.18179999999999999</v>
      </c>
      <c r="AK642" s="5">
        <v>2E-3</v>
      </c>
      <c r="AL642" s="5">
        <v>0.1552</v>
      </c>
      <c r="AM642" s="5">
        <v>0.01</v>
      </c>
      <c r="AN642" s="5">
        <v>0.1</v>
      </c>
      <c r="AO642" s="5">
        <v>0.3579</v>
      </c>
      <c r="AP642" s="5">
        <v>0.1242</v>
      </c>
      <c r="AQ642" s="5">
        <v>0.05</v>
      </c>
      <c r="AR642" s="5">
        <v>0.05</v>
      </c>
      <c r="AS642" s="5">
        <v>10</v>
      </c>
      <c r="AT642" s="5">
        <v>2.8199999999999999E-2</v>
      </c>
      <c r="AU642" s="5">
        <v>1E-3</v>
      </c>
      <c r="AV642" s="5">
        <v>0.05</v>
      </c>
      <c r="AW642" s="5">
        <v>0.05</v>
      </c>
      <c r="AX642" s="5">
        <v>246</v>
      </c>
      <c r="AY642" s="5">
        <v>0.5</v>
      </c>
    </row>
    <row r="643" spans="1:51" x14ac:dyDescent="0.25">
      <c r="A643" s="5" t="s">
        <v>52</v>
      </c>
      <c r="B643" s="5" t="s">
        <v>82</v>
      </c>
      <c r="C643" s="5" t="s">
        <v>77</v>
      </c>
      <c r="F643" s="5" t="s">
        <v>55</v>
      </c>
      <c r="G643" s="5" t="s">
        <v>65</v>
      </c>
      <c r="H643" s="5" t="s">
        <v>57</v>
      </c>
      <c r="I643" s="5">
        <v>23</v>
      </c>
      <c r="J643" s="5" t="str">
        <f>IFERROR(VLOOKUP(I643,[1]INFO_LOCALES!$B:$C,2,FALSE),"")</f>
        <v>LOS CARRERAS</v>
      </c>
      <c r="K643" s="5" t="str">
        <f>IFERROR(VLOOKUP(Tabla2[[#This Row],[TIENDA]],[1]INFO_LOCALES!$B:$D,3,FALSE),"")</f>
        <v>III - Atacama</v>
      </c>
      <c r="L643" s="5" t="str">
        <f>IFERROR(VLOOKUP(I643,[1]INFO_LOCALES!$B:$I,8,FALSE),"")</f>
        <v>Copiapó</v>
      </c>
      <c r="M643" s="5" t="str">
        <f>IFERROR(VLOOKUP(I643,[1]INFO_LOCALES!$B:$H,7,FALSE),"")</f>
        <v>Los Carrera 479</v>
      </c>
      <c r="N643" s="5">
        <f>IFERROR(VLOOKUP(I643,[1]INFO_LOCALES!$B:$E,4,FALSE),"")</f>
        <v>0</v>
      </c>
      <c r="O643" s="5" t="str">
        <f>VLOOKUP(Tabla2[[#This Row],[TIENDA]],[1]INFO_LOCALES!$B:$J,9,0)</f>
        <v>SIN CONVENIO</v>
      </c>
      <c r="P643" s="5" t="str">
        <f>IFERROR(VLOOKUP(I643,[1]INFO_LOCALES!$B:$F,5,FALSE),"")</f>
        <v>NUEVA ATACAMA</v>
      </c>
      <c r="Q643" s="5" t="s">
        <v>85</v>
      </c>
      <c r="R643" s="5" t="s">
        <v>86</v>
      </c>
      <c r="S643" s="6"/>
      <c r="T643" s="5" t="str">
        <f>UPPER(IF(Tabla2[[#This Row],[FECHA DE MUESTREO ]]=0,"",TEXT(Tabla2[[#This Row],[FECHA DE MUESTREO ]],("MMMM"))))</f>
        <v>AGOSTO</v>
      </c>
      <c r="U643" s="6">
        <v>45877</v>
      </c>
      <c r="V643" s="5" t="s">
        <v>59</v>
      </c>
      <c r="W6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43" s="7">
        <f t="shared" si="24"/>
        <v>3</v>
      </c>
      <c r="Y643" s="5">
        <v>38.5</v>
      </c>
      <c r="Z643" s="5">
        <v>6.89</v>
      </c>
      <c r="AA643" s="5">
        <v>8</v>
      </c>
      <c r="AB643" s="5">
        <v>22</v>
      </c>
      <c r="AC643" s="5">
        <v>622</v>
      </c>
      <c r="AD643" s="5">
        <v>13.4</v>
      </c>
      <c r="AE643" s="5">
        <v>45.88</v>
      </c>
      <c r="AF643" s="5">
        <v>0.5</v>
      </c>
      <c r="AG643" s="5">
        <v>81</v>
      </c>
      <c r="AI643" s="5">
        <f t="shared" si="25"/>
        <v>0</v>
      </c>
    </row>
    <row r="644" spans="1:51" x14ac:dyDescent="0.25">
      <c r="A644" s="5" t="s">
        <v>52</v>
      </c>
      <c r="B644" s="5" t="s">
        <v>103</v>
      </c>
      <c r="C644" s="5" t="s">
        <v>77</v>
      </c>
      <c r="F644" s="5" t="s">
        <v>55</v>
      </c>
      <c r="G644" s="5" t="s">
        <v>65</v>
      </c>
      <c r="H644" s="5" t="s">
        <v>57</v>
      </c>
      <c r="I644" s="5">
        <v>674</v>
      </c>
      <c r="J644" s="5" t="str">
        <f>IFERROR(VLOOKUP(I644,[1]INFO_LOCALES!$B:$C,2,FALSE),"")</f>
        <v>BRASILIA</v>
      </c>
      <c r="K644" s="5" t="str">
        <f>IFERROR(VLOOKUP(Tabla2[[#This Row],[TIENDA]],[1]INFO_LOCALES!$B:$D,3,FALSE),"")</f>
        <v>II - Antofagasta</v>
      </c>
      <c r="L644" s="5" t="str">
        <f>IFERROR(VLOOKUP(I644,[1]INFO_LOCALES!$B:$I,8,FALSE),"")</f>
        <v>Calama</v>
      </c>
      <c r="M644" s="5" t="str">
        <f>IFERROR(VLOOKUP(I644,[1]INFO_LOCALES!$B:$H,7,FALSE),"")</f>
        <v>Brasilia 2386</v>
      </c>
      <c r="N644" s="5">
        <f>IFERROR(VLOOKUP(I644,[1]INFO_LOCALES!$B:$E,4,FALSE),"")</f>
        <v>0</v>
      </c>
      <c r="O644" s="5" t="str">
        <f>VLOOKUP(Tabla2[[#This Row],[TIENDA]],[1]INFO_LOCALES!$B:$J,9,0)</f>
        <v>SIN CONVENIO</v>
      </c>
      <c r="P644" s="5" t="str">
        <f>IFERROR(VLOOKUP(I644,[1]INFO_LOCALES!$B:$F,5,FALSE),"")</f>
        <v>AGUAS DE ANTOFAGASTA S A</v>
      </c>
      <c r="Q644" s="5" t="s">
        <v>105</v>
      </c>
      <c r="R644" s="5" t="s">
        <v>58</v>
      </c>
      <c r="S644" s="6"/>
      <c r="T644" s="5" t="str">
        <f>UPPER(IF(Tabla2[[#This Row],[FECHA DE MUESTREO ]]=0,"",TEXT(Tabla2[[#This Row],[FECHA DE MUESTREO ]],("MMMM"))))</f>
        <v>MAYO</v>
      </c>
      <c r="U644" s="6">
        <v>45806</v>
      </c>
      <c r="V644" s="5" t="s">
        <v>59</v>
      </c>
      <c r="W6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44" s="7">
        <f t="shared" si="24"/>
        <v>1</v>
      </c>
      <c r="Y644" s="5">
        <v>47</v>
      </c>
      <c r="Z644" s="5">
        <v>7.14</v>
      </c>
      <c r="AA644" s="5">
        <v>6</v>
      </c>
      <c r="AB644" s="5">
        <v>18</v>
      </c>
      <c r="AC644" s="5">
        <v>284</v>
      </c>
      <c r="AD644" s="5">
        <v>2.2799999999999998</v>
      </c>
      <c r="AE644" s="5">
        <v>10.220000000000001</v>
      </c>
      <c r="AF644" s="5">
        <v>2</v>
      </c>
      <c r="AG644" s="5">
        <v>136</v>
      </c>
      <c r="AH644" s="5">
        <v>3.71</v>
      </c>
      <c r="AI644" s="5">
        <f t="shared" si="25"/>
        <v>111.3</v>
      </c>
    </row>
    <row r="645" spans="1:51" x14ac:dyDescent="0.25">
      <c r="A645" s="5" t="s">
        <v>52</v>
      </c>
      <c r="B645" s="5" t="s">
        <v>82</v>
      </c>
      <c r="C645" s="5" t="s">
        <v>77</v>
      </c>
      <c r="F645" s="5" t="s">
        <v>55</v>
      </c>
      <c r="G645" s="5" t="s">
        <v>61</v>
      </c>
      <c r="H645" s="5" t="s">
        <v>57</v>
      </c>
      <c r="I645" s="5">
        <v>22</v>
      </c>
      <c r="J645" s="5" t="str">
        <f>IFERROR(VLOOKUP(I645,[1]INFO_LOCALES!$B:$C,2,FALSE),"")</f>
        <v>ATACAMA</v>
      </c>
      <c r="K645" s="5" t="str">
        <f>IFERROR(VLOOKUP(Tabla2[[#This Row],[TIENDA]],[1]INFO_LOCALES!$B:$D,3,FALSE),"")</f>
        <v>III - Atacama</v>
      </c>
      <c r="L645" s="5" t="str">
        <f>IFERROR(VLOOKUP(I645,[1]INFO_LOCALES!$B:$I,8,FALSE),"")</f>
        <v>Copiapó</v>
      </c>
      <c r="M645" s="5" t="str">
        <f>IFERROR(VLOOKUP(I645,[1]INFO_LOCALES!$B:$H,7,FALSE),"")</f>
        <v>Los Carreras 2242</v>
      </c>
      <c r="N645" s="5">
        <f>IFERROR(VLOOKUP(I645,[1]INFO_LOCALES!$B:$E,4,FALSE),"")</f>
        <v>2666</v>
      </c>
      <c r="O645" s="5" t="str">
        <f>VLOOKUP(Tabla2[[#This Row],[TIENDA]],[1]INFO_LOCALES!$B:$J,9,0)</f>
        <v>CONVENIO</v>
      </c>
      <c r="P645" s="5" t="str">
        <f>IFERROR(VLOOKUP(I645,[1]INFO_LOCALES!$B:$F,5,FALSE),"")</f>
        <v>NUEVA ATACAMA</v>
      </c>
      <c r="Q645" s="5" t="s">
        <v>85</v>
      </c>
      <c r="R645" s="5" t="s">
        <v>86</v>
      </c>
      <c r="S645" s="6"/>
      <c r="T645" s="5" t="str">
        <f>UPPER(IF(Tabla2[[#This Row],[FECHA DE MUESTREO ]]=0,"",TEXT(Tabla2[[#This Row],[FECHA DE MUESTREO ]],("MMMM"))))</f>
        <v>AGOSTO</v>
      </c>
      <c r="U645" s="6">
        <v>45887</v>
      </c>
      <c r="V645" s="5" t="s">
        <v>59</v>
      </c>
      <c r="W6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45" s="7">
        <f t="shared" si="24"/>
        <v>2</v>
      </c>
      <c r="Y645" s="5">
        <v>19.100000000000001</v>
      </c>
      <c r="Z645" s="5">
        <v>7.21</v>
      </c>
      <c r="AA645" s="5">
        <v>12</v>
      </c>
      <c r="AB645" s="5">
        <v>19.8</v>
      </c>
      <c r="AC645" s="5">
        <v>552</v>
      </c>
      <c r="AD645" s="5">
        <v>24.9</v>
      </c>
      <c r="AE645" s="5">
        <v>89.98</v>
      </c>
      <c r="AF645" s="5">
        <v>0.5</v>
      </c>
      <c r="AG645" s="5">
        <v>96</v>
      </c>
      <c r="AI645" s="5">
        <f t="shared" si="25"/>
        <v>0</v>
      </c>
    </row>
    <row r="646" spans="1:51" x14ac:dyDescent="0.25">
      <c r="A646" s="5" t="s">
        <v>52</v>
      </c>
      <c r="B646" s="5" t="s">
        <v>128</v>
      </c>
      <c r="C646" s="5" t="s">
        <v>77</v>
      </c>
      <c r="D646" s="5">
        <v>2025</v>
      </c>
      <c r="F646" s="5" t="s">
        <v>55</v>
      </c>
      <c r="G646" s="5" t="s">
        <v>61</v>
      </c>
      <c r="H646" s="5" t="s">
        <v>57</v>
      </c>
      <c r="I646" s="5">
        <v>6</v>
      </c>
      <c r="J646" s="5" t="str">
        <f>IFERROR(VLOOKUP(I646,[1]INFO_LOCALES!$B:$C,2,FALSE),"")</f>
        <v>SINDEMPART</v>
      </c>
      <c r="K646" s="5" t="str">
        <f>IFERROR(VLOOKUP(Tabla2[[#This Row],[TIENDA]],[1]INFO_LOCALES!$B:$D,3,FALSE),"")</f>
        <v>IV - Coquimbo</v>
      </c>
      <c r="L646" s="5" t="str">
        <f>IFERROR(VLOOKUP(I646,[1]INFO_LOCALES!$B:$I,8,FALSE),"")</f>
        <v>Coquimbo</v>
      </c>
      <c r="M646" s="5" t="str">
        <f>IFERROR(VLOOKUP(I646,[1]INFO_LOCALES!$B:$H,7,FALSE),"")</f>
        <v>El Sauce 981</v>
      </c>
      <c r="N646" s="5">
        <f>IFERROR(VLOOKUP(I646,[1]INFO_LOCALES!$B:$E,4,FALSE),"")</f>
        <v>0</v>
      </c>
      <c r="O646" s="5" t="str">
        <f>VLOOKUP(Tabla2[[#This Row],[TIENDA]],[1]INFO_LOCALES!$B:$J,9,0)</f>
        <v>SIN CONVENIO</v>
      </c>
      <c r="P646" s="5" t="str">
        <f>IFERROR(VLOOKUP(I646,[1]INFO_LOCALES!$B:$F,5,FALSE),"")</f>
        <v>AGUAS DEL VALLE S A</v>
      </c>
      <c r="Q646" s="5" t="s">
        <v>66</v>
      </c>
      <c r="R646" s="5" t="s">
        <v>58</v>
      </c>
      <c r="S646" s="6"/>
      <c r="T646" s="5" t="str">
        <f>UPPER(IF(Tabla2[[#This Row],[FECHA DE MUESTREO ]]=0,"",TEXT(Tabla2[[#This Row],[FECHA DE MUESTREO ]],("MMMM"))))</f>
        <v>AGOSTO</v>
      </c>
      <c r="U646" s="6">
        <v>45876</v>
      </c>
      <c r="V646" s="5" t="s">
        <v>59</v>
      </c>
      <c r="W6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46" s="7">
        <f t="shared" si="24"/>
        <v>3</v>
      </c>
      <c r="Y646" s="5">
        <v>10.9</v>
      </c>
      <c r="Z646" s="5">
        <v>8</v>
      </c>
      <c r="AA646" s="5">
        <v>37</v>
      </c>
      <c r="AB646" s="5">
        <v>15.4</v>
      </c>
      <c r="AC646" s="5">
        <v>327</v>
      </c>
      <c r="AD646" s="5">
        <v>6.22</v>
      </c>
      <c r="AE646" s="5">
        <v>44.9</v>
      </c>
      <c r="AF646" s="5">
        <v>8</v>
      </c>
      <c r="AG646" s="5">
        <v>217.31</v>
      </c>
      <c r="AH646" s="5">
        <v>3.593</v>
      </c>
      <c r="AI646" s="5">
        <f t="shared" si="25"/>
        <v>107.78999999999999</v>
      </c>
    </row>
    <row r="647" spans="1:51" x14ac:dyDescent="0.25">
      <c r="A647" s="5" t="s">
        <v>52</v>
      </c>
      <c r="B647" s="5" t="s">
        <v>90</v>
      </c>
      <c r="C647" s="5" t="s">
        <v>81</v>
      </c>
      <c r="F647" s="5" t="s">
        <v>55</v>
      </c>
      <c r="G647" s="5" t="s">
        <v>61</v>
      </c>
      <c r="H647" s="5" t="s">
        <v>57</v>
      </c>
      <c r="I647" s="5">
        <v>778</v>
      </c>
      <c r="J647" s="5" t="str">
        <f>IFERROR(VLOOKUP(I647,[1]INFO_LOCALES!$B:$C,2,FALSE),"")</f>
        <v>ORIENTE</v>
      </c>
      <c r="K647" s="5" t="str">
        <f>IFERROR(VLOOKUP(Tabla2[[#This Row],[TIENDA]],[1]INFO_LOCALES!$B:$D,3,FALSE),"")</f>
        <v>X - Los Lagos</v>
      </c>
      <c r="L647" s="5" t="str">
        <f>IFERROR(VLOOKUP(I647,[1]INFO_LOCALES!$B:$I,8,FALSE),"")</f>
        <v>Osorno</v>
      </c>
      <c r="M647" s="5" t="str">
        <f>IFERROR(VLOOKUP(I647,[1]INFO_LOCALES!$B:$H,7,FALSE),"")</f>
        <v>Julio Buschman 2223</v>
      </c>
      <c r="N647" s="5">
        <f>IFERROR(VLOOKUP(I647,[1]INFO_LOCALES!$B:$E,4,FALSE),"")</f>
        <v>2867</v>
      </c>
      <c r="O647" s="5" t="str">
        <f>VLOOKUP(Tabla2[[#This Row],[TIENDA]],[1]INFO_LOCALES!$B:$J,9,0)</f>
        <v>CONVENIO</v>
      </c>
      <c r="P647" s="5" t="str">
        <f>IFERROR(VLOOKUP(I647,[1]INFO_LOCALES!$B:$F,5,FALSE),"")</f>
        <v>SURALIS</v>
      </c>
      <c r="Q647" s="5" t="s">
        <v>215</v>
      </c>
      <c r="R647" s="5" t="s">
        <v>58</v>
      </c>
      <c r="S647" s="6"/>
      <c r="T647" s="5" t="str">
        <f>UPPER(IF(Tabla2[[#This Row],[FECHA DE MUESTREO ]]=0,"",TEXT(Tabla2[[#This Row],[FECHA DE MUESTREO ]],("MMMM"))))</f>
        <v>JULIO</v>
      </c>
      <c r="U647" s="6">
        <v>45859</v>
      </c>
      <c r="V647" s="5" t="s">
        <v>59</v>
      </c>
      <c r="W6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47" s="7">
        <f t="shared" si="24"/>
        <v>1</v>
      </c>
      <c r="Y647" s="5">
        <v>28</v>
      </c>
      <c r="Z647" s="5">
        <v>7.15</v>
      </c>
      <c r="AA647" s="5">
        <v>3</v>
      </c>
      <c r="AB647" s="5">
        <v>12</v>
      </c>
      <c r="AC647" s="5">
        <v>249</v>
      </c>
      <c r="AD647" s="5">
        <v>9.6</v>
      </c>
      <c r="AE647" s="5">
        <v>78.69</v>
      </c>
      <c r="AF647" s="5">
        <v>12</v>
      </c>
      <c r="AG647" s="5">
        <v>140</v>
      </c>
      <c r="AH647" s="5">
        <v>9</v>
      </c>
      <c r="AI647" s="5">
        <f t="shared" si="25"/>
        <v>270</v>
      </c>
    </row>
    <row r="648" spans="1:51" x14ac:dyDescent="0.25">
      <c r="A648" s="5" t="s">
        <v>52</v>
      </c>
      <c r="B648" s="5" t="s">
        <v>90</v>
      </c>
      <c r="C648" s="5" t="s">
        <v>81</v>
      </c>
      <c r="F648" s="5" t="s">
        <v>55</v>
      </c>
      <c r="G648" s="5" t="s">
        <v>61</v>
      </c>
      <c r="H648" s="5" t="s">
        <v>57</v>
      </c>
      <c r="I648" s="5">
        <v>777</v>
      </c>
      <c r="J648" s="5" t="str">
        <f>IFERROR(VLOOKUP(I648,[1]INFO_LOCALES!$B:$C,2,FALSE),"")</f>
        <v>CENTRAL</v>
      </c>
      <c r="K648" s="5" t="str">
        <f>IFERROR(VLOOKUP(Tabla2[[#This Row],[TIENDA]],[1]INFO_LOCALES!$B:$D,3,FALSE),"")</f>
        <v>X - Los Lagos</v>
      </c>
      <c r="L648" s="5" t="str">
        <f>IFERROR(VLOOKUP(I648,[1]INFO_LOCALES!$B:$I,8,FALSE),"")</f>
        <v>Osorno</v>
      </c>
      <c r="M648" s="5" t="str">
        <f>IFERROR(VLOOKUP(I648,[1]INFO_LOCALES!$B:$H,7,FALSE),"")</f>
        <v>Patricio Lynch 1278</v>
      </c>
      <c r="N648" s="5">
        <f>IFERROR(VLOOKUP(I648,[1]INFO_LOCALES!$B:$E,4,FALSE),"")</f>
        <v>3684</v>
      </c>
      <c r="O648" s="5" t="str">
        <f>VLOOKUP(Tabla2[[#This Row],[TIENDA]],[1]INFO_LOCALES!$B:$J,9,0)</f>
        <v>CONVENIO</v>
      </c>
      <c r="P648" s="5" t="str">
        <f>IFERROR(VLOOKUP(I648,[1]INFO_LOCALES!$B:$F,5,FALSE),"")</f>
        <v>SURALIS</v>
      </c>
      <c r="Q648" s="5" t="s">
        <v>105</v>
      </c>
      <c r="R648" s="5" t="s">
        <v>58</v>
      </c>
      <c r="S648" s="6"/>
      <c r="T648" s="5" t="str">
        <f>UPPER(IF(Tabla2[[#This Row],[FECHA DE MUESTREO ]]=0,"",TEXT(Tabla2[[#This Row],[FECHA DE MUESTREO ]],("MMMM"))))</f>
        <v>JULIO</v>
      </c>
      <c r="U648" s="6">
        <v>45860</v>
      </c>
      <c r="V648" s="5" t="s">
        <v>59</v>
      </c>
      <c r="W6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48" s="7">
        <f t="shared" si="24"/>
        <v>1</v>
      </c>
      <c r="Y648" s="5">
        <v>14</v>
      </c>
      <c r="Z648" s="5">
        <v>7.4</v>
      </c>
      <c r="AA648" s="5">
        <v>6</v>
      </c>
      <c r="AB648" s="5">
        <v>14.2</v>
      </c>
      <c r="AC648" s="5">
        <v>262</v>
      </c>
      <c r="AD648" s="5">
        <v>9.3000000000000007</v>
      </c>
      <c r="AE648" s="5">
        <v>1.3</v>
      </c>
      <c r="AF648" s="5">
        <v>0.5</v>
      </c>
      <c r="AG648" s="5">
        <v>87</v>
      </c>
      <c r="AH648" s="5">
        <v>4</v>
      </c>
      <c r="AI648" s="5">
        <f t="shared" si="25"/>
        <v>120</v>
      </c>
    </row>
    <row r="649" spans="1:51" x14ac:dyDescent="0.25">
      <c r="A649" s="5" t="s">
        <v>52</v>
      </c>
      <c r="B649" s="5" t="s">
        <v>128</v>
      </c>
      <c r="C649" s="5" t="s">
        <v>77</v>
      </c>
      <c r="D649" s="5">
        <v>2025</v>
      </c>
      <c r="F649" s="5" t="s">
        <v>55</v>
      </c>
      <c r="G649" s="5" t="s">
        <v>61</v>
      </c>
      <c r="H649" s="5" t="s">
        <v>57</v>
      </c>
      <c r="I649" s="5">
        <v>626</v>
      </c>
      <c r="J649" s="5" t="str">
        <f>IFERROR(VLOOKUP(I649,[1]INFO_LOCALES!$B:$C,2,FALSE),"")</f>
        <v>EL MILAGRO</v>
      </c>
      <c r="K649" s="5" t="str">
        <f>IFERROR(VLOOKUP(Tabla2[[#This Row],[TIENDA]],[1]INFO_LOCALES!$B:$D,3,FALSE),"")</f>
        <v>IV - Coquimbo</v>
      </c>
      <c r="L649" s="5" t="str">
        <f>IFERROR(VLOOKUP(I649,[1]INFO_LOCALES!$B:$I,8,FALSE),"")</f>
        <v>La Serena</v>
      </c>
      <c r="M649" s="5" t="str">
        <f>IFERROR(VLOOKUP(I649,[1]INFO_LOCALES!$B:$H,7,FALSE),"")</f>
        <v>Santiago Del Apostol 4063</v>
      </c>
      <c r="N649" s="5">
        <f>IFERROR(VLOOKUP(I649,[1]INFO_LOCALES!$B:$E,4,FALSE),"")</f>
        <v>0</v>
      </c>
      <c r="O649" s="5" t="str">
        <f>VLOOKUP(Tabla2[[#This Row],[TIENDA]],[1]INFO_LOCALES!$B:$J,9,0)</f>
        <v>SIN CONVENIO</v>
      </c>
      <c r="P649" s="5" t="str">
        <f>IFERROR(VLOOKUP(I649,[1]INFO_LOCALES!$B:$F,5,FALSE),"")</f>
        <v>AGUAS DEL VALLE S A</v>
      </c>
      <c r="Q649" s="5" t="s">
        <v>66</v>
      </c>
      <c r="R649" s="5" t="s">
        <v>58</v>
      </c>
      <c r="S649" s="6"/>
      <c r="T649" s="5" t="str">
        <f>UPPER(IF(Tabla2[[#This Row],[FECHA DE MUESTREO ]]=0,"",TEXT(Tabla2[[#This Row],[FECHA DE MUESTREO ]],("MMMM"))))</f>
        <v>MARZO</v>
      </c>
      <c r="U649" s="6">
        <v>45728</v>
      </c>
      <c r="V649" s="5" t="s">
        <v>59</v>
      </c>
      <c r="W6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49" s="7">
        <f t="shared" si="24"/>
        <v>3</v>
      </c>
      <c r="Y649" s="5">
        <v>24.19</v>
      </c>
      <c r="Z649" s="5">
        <v>7.7</v>
      </c>
      <c r="AA649" s="5">
        <v>21.7</v>
      </c>
      <c r="AB649" s="5">
        <v>20.7</v>
      </c>
      <c r="AC649" s="5">
        <v>434</v>
      </c>
      <c r="AD649" s="5">
        <v>13.78</v>
      </c>
      <c r="AE649" s="5">
        <v>137.19999999999999</v>
      </c>
      <c r="AF649" s="5">
        <v>2</v>
      </c>
      <c r="AG649" s="5">
        <v>209.09</v>
      </c>
      <c r="AH649" s="5">
        <f>0.88*3600*8/1000</f>
        <v>25.344000000000001</v>
      </c>
      <c r="AI649" s="5">
        <f t="shared" si="25"/>
        <v>760.32</v>
      </c>
    </row>
    <row r="650" spans="1:51" x14ac:dyDescent="0.25">
      <c r="A650" s="5" t="s">
        <v>52</v>
      </c>
      <c r="B650" s="5" t="s">
        <v>128</v>
      </c>
      <c r="C650" s="5" t="s">
        <v>77</v>
      </c>
      <c r="D650" s="5">
        <v>2025</v>
      </c>
      <c r="F650" s="5" t="s">
        <v>55</v>
      </c>
      <c r="G650" s="5" t="s">
        <v>65</v>
      </c>
      <c r="H650" s="5" t="s">
        <v>57</v>
      </c>
      <c r="I650" s="5">
        <v>626</v>
      </c>
      <c r="J650" s="5" t="str">
        <f>IFERROR(VLOOKUP(I650,[1]INFO_LOCALES!$B:$C,2,FALSE),"")</f>
        <v>EL MILAGRO</v>
      </c>
      <c r="K650" s="5" t="str">
        <f>IFERROR(VLOOKUP(Tabla2[[#This Row],[TIENDA]],[1]INFO_LOCALES!$B:$D,3,FALSE),"")</f>
        <v>IV - Coquimbo</v>
      </c>
      <c r="L650" s="5" t="str">
        <f>IFERROR(VLOOKUP(I650,[1]INFO_LOCALES!$B:$I,8,FALSE),"")</f>
        <v>La Serena</v>
      </c>
      <c r="M650" s="5" t="str">
        <f>IFERROR(VLOOKUP(I650,[1]INFO_LOCALES!$B:$H,7,FALSE),"")</f>
        <v>Santiago Del Apostol 4063</v>
      </c>
      <c r="N650" s="5">
        <f>IFERROR(VLOOKUP(I650,[1]INFO_LOCALES!$B:$E,4,FALSE),"")</f>
        <v>0</v>
      </c>
      <c r="O650" s="5" t="str">
        <f>VLOOKUP(Tabla2[[#This Row],[TIENDA]],[1]INFO_LOCALES!$B:$J,9,0)</f>
        <v>SIN CONVENIO</v>
      </c>
      <c r="P650" s="5" t="str">
        <f>IFERROR(VLOOKUP(I650,[1]INFO_LOCALES!$B:$F,5,FALSE),"")</f>
        <v>AGUAS DEL VALLE S A</v>
      </c>
      <c r="Q650" s="5" t="s">
        <v>85</v>
      </c>
      <c r="R650" s="5" t="s">
        <v>58</v>
      </c>
      <c r="S650" s="6"/>
      <c r="T650" s="5" t="str">
        <f>UPPER(IF(Tabla2[[#This Row],[FECHA DE MUESTREO ]]=0,"",TEXT(Tabla2[[#This Row],[FECHA DE MUESTREO ]],("MMMM"))))</f>
        <v>JUNIO</v>
      </c>
      <c r="U650" s="6">
        <v>45810</v>
      </c>
      <c r="V650" s="5" t="s">
        <v>59</v>
      </c>
      <c r="W6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50" s="7">
        <f t="shared" si="24"/>
        <v>2</v>
      </c>
      <c r="Y650" s="5">
        <v>34.700000000000003</v>
      </c>
      <c r="AA650" s="5">
        <v>2</v>
      </c>
      <c r="AB650" s="5">
        <v>5.6</v>
      </c>
      <c r="AC650" s="5">
        <v>412</v>
      </c>
      <c r="AD650" s="5">
        <v>8.5</v>
      </c>
      <c r="AE650" s="5">
        <v>67.209999999999994</v>
      </c>
      <c r="AF650" s="5">
        <v>0.5</v>
      </c>
      <c r="AG650" s="5">
        <v>130</v>
      </c>
      <c r="AI650" s="5">
        <f t="shared" si="25"/>
        <v>0</v>
      </c>
    </row>
    <row r="651" spans="1:51" x14ac:dyDescent="0.25">
      <c r="A651" s="5" t="s">
        <v>52</v>
      </c>
      <c r="B651" s="5" t="s">
        <v>82</v>
      </c>
      <c r="C651" s="5" t="s">
        <v>77</v>
      </c>
      <c r="F651" s="5" t="s">
        <v>55</v>
      </c>
      <c r="G651" s="5" t="s">
        <v>65</v>
      </c>
      <c r="H651" s="5" t="s">
        <v>57</v>
      </c>
      <c r="I651" s="5">
        <v>32</v>
      </c>
      <c r="J651" s="5" t="str">
        <f>IFERROR(VLOOKUP(I651,[1]INFO_LOCALES!$B:$C,2,FALSE),"")</f>
        <v>CHAÑARCILLO</v>
      </c>
      <c r="K651" s="5" t="str">
        <f>IFERROR(VLOOKUP(Tabla2[[#This Row],[TIENDA]],[1]INFO_LOCALES!$B:$D,3,FALSE),"")</f>
        <v>III - Atacama</v>
      </c>
      <c r="L651" s="5" t="str">
        <f>IFERROR(VLOOKUP(I651,[1]INFO_LOCALES!$B:$I,8,FALSE),"")</f>
        <v>Copiapó</v>
      </c>
      <c r="M651" s="5" t="str">
        <f>IFERROR(VLOOKUP(I651,[1]INFO_LOCALES!$B:$H,7,FALSE),"")</f>
        <v>Chacabuco Nº 231</v>
      </c>
      <c r="N651" s="5">
        <f>IFERROR(VLOOKUP(I651,[1]INFO_LOCALES!$B:$E,4,FALSE),"")</f>
        <v>0</v>
      </c>
      <c r="O651" s="5" t="str">
        <f>VLOOKUP(Tabla2[[#This Row],[TIENDA]],[1]INFO_LOCALES!$B:$J,9,0)</f>
        <v>CONVENIO</v>
      </c>
      <c r="P651" s="5" t="str">
        <f>IFERROR(VLOOKUP(I651,[1]INFO_LOCALES!$B:$F,5,FALSE),"")</f>
        <v>NUEVA ATACAMA</v>
      </c>
      <c r="Q651" s="5" t="s">
        <v>85</v>
      </c>
      <c r="R651" s="5" t="s">
        <v>86</v>
      </c>
      <c r="S651" s="6"/>
      <c r="T651" s="5" t="str">
        <f>UPPER(IF(Tabla2[[#This Row],[FECHA DE MUESTREO ]]=0,"",TEXT(Tabla2[[#This Row],[FECHA DE MUESTREO ]],("MMMM"))))</f>
        <v>AGOSTO</v>
      </c>
      <c r="U651" s="6">
        <v>45875</v>
      </c>
      <c r="V651" s="5" t="s">
        <v>59</v>
      </c>
      <c r="W6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51" s="7">
        <f t="shared" si="24"/>
        <v>1</v>
      </c>
      <c r="Y651" s="5">
        <v>16.600000000000001</v>
      </c>
      <c r="Z651" s="5">
        <v>7.6</v>
      </c>
      <c r="AA651" s="5">
        <v>5</v>
      </c>
      <c r="AB651" s="5">
        <v>20.2</v>
      </c>
      <c r="AC651" s="5">
        <v>296</v>
      </c>
      <c r="AD651" s="5">
        <v>10.1</v>
      </c>
      <c r="AE651" s="5">
        <v>52.57</v>
      </c>
      <c r="AF651" s="5">
        <v>0.5</v>
      </c>
      <c r="AG651" s="5">
        <v>131</v>
      </c>
      <c r="AI651" s="5">
        <f t="shared" si="25"/>
        <v>0</v>
      </c>
    </row>
    <row r="652" spans="1:51" x14ac:dyDescent="0.25">
      <c r="A652" s="5" t="s">
        <v>52</v>
      </c>
      <c r="B652" s="5" t="s">
        <v>76</v>
      </c>
      <c r="C652" s="5" t="s">
        <v>77</v>
      </c>
      <c r="F652" s="5" t="s">
        <v>55</v>
      </c>
      <c r="G652" s="5" t="s">
        <v>61</v>
      </c>
      <c r="H652" s="5" t="s">
        <v>57</v>
      </c>
      <c r="I652" s="5">
        <v>103</v>
      </c>
      <c r="J652" s="5" t="str">
        <f>IFERROR(VLOOKUP(I652,[1]INFO_LOCALES!$B:$C,2,FALSE),"")</f>
        <v>VIVAR</v>
      </c>
      <c r="K652" s="5" t="str">
        <f>IFERROR(VLOOKUP(Tabla2[[#This Row],[TIENDA]],[1]INFO_LOCALES!$B:$D,3,FALSE),"")</f>
        <v>I - Tarapacá</v>
      </c>
      <c r="L652" s="5" t="str">
        <f>IFERROR(VLOOKUP(I652,[1]INFO_LOCALES!$B:$I,8,FALSE),"")</f>
        <v>Iquique</v>
      </c>
      <c r="M652" s="5" t="str">
        <f>IFERROR(VLOOKUP(I652,[1]INFO_LOCALES!$B:$H,7,FALSE),"")</f>
        <v>Vivar 786</v>
      </c>
      <c r="N652" s="5">
        <f>IFERROR(VLOOKUP(I652,[1]INFO_LOCALES!$B:$E,4,FALSE),"")</f>
        <v>4420</v>
      </c>
      <c r="O652" s="5" t="str">
        <f>VLOOKUP(Tabla2[[#This Row],[TIENDA]],[1]INFO_LOCALES!$B:$J,9,0)</f>
        <v>CONVENIO</v>
      </c>
      <c r="P652" s="5" t="str">
        <f>IFERROR(VLOOKUP(I652,[1]INFO_LOCALES!$B:$F,5,FALSE),"")</f>
        <v>AGUAS DEL ALTIPLANO S.A.</v>
      </c>
      <c r="Q652" s="5" t="s">
        <v>85</v>
      </c>
      <c r="R652" s="5" t="s">
        <v>86</v>
      </c>
      <c r="S652" s="6"/>
      <c r="T652" s="5" t="str">
        <f>UPPER(IF(Tabla2[[#This Row],[FECHA DE MUESTREO ]]=0,"",TEXT(Tabla2[[#This Row],[FECHA DE MUESTREO ]],("MMMM"))))</f>
        <v>AGOSTO</v>
      </c>
      <c r="U652" s="6">
        <v>45875</v>
      </c>
      <c r="V652" s="5" t="s">
        <v>59</v>
      </c>
      <c r="W6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52" s="7">
        <f t="shared" si="24"/>
        <v>1</v>
      </c>
      <c r="Y652" s="5">
        <v>5.7</v>
      </c>
      <c r="AA652" s="5">
        <v>2</v>
      </c>
      <c r="AB652" s="5">
        <v>23.19</v>
      </c>
      <c r="AC652" s="5">
        <v>22</v>
      </c>
      <c r="AD652" s="5">
        <v>0.7</v>
      </c>
      <c r="AE652" s="5">
        <v>5</v>
      </c>
      <c r="AF652" s="5">
        <v>0.5</v>
      </c>
      <c r="AG652" s="5">
        <v>11.2</v>
      </c>
      <c r="AH652" s="5">
        <v>10.87</v>
      </c>
      <c r="AI652" s="5">
        <f t="shared" si="25"/>
        <v>326.09999999999997</v>
      </c>
    </row>
    <row r="653" spans="1:51" x14ac:dyDescent="0.25">
      <c r="A653" s="5" t="s">
        <v>52</v>
      </c>
      <c r="B653" s="5" t="s">
        <v>82</v>
      </c>
      <c r="C653" s="5" t="s">
        <v>77</v>
      </c>
      <c r="F653" s="5" t="s">
        <v>55</v>
      </c>
      <c r="G653" s="5" t="s">
        <v>65</v>
      </c>
      <c r="H653" s="5" t="s">
        <v>57</v>
      </c>
      <c r="I653" s="5">
        <v>472</v>
      </c>
      <c r="J653" s="5" t="str">
        <f>IFERROR(VLOOKUP(I653,[1]INFO_LOCALES!$B:$C,2,FALSE),"")</f>
        <v>CALDERA I</v>
      </c>
      <c r="K653" s="5" t="str">
        <f>IFERROR(VLOOKUP(Tabla2[[#This Row],[TIENDA]],[1]INFO_LOCALES!$B:$D,3,FALSE),"")</f>
        <v>III - Atacama</v>
      </c>
      <c r="L653" s="5" t="str">
        <f>IFERROR(VLOOKUP(I653,[1]INFO_LOCALES!$B:$I,8,FALSE),"")</f>
        <v>Caldera</v>
      </c>
      <c r="M653" s="5" t="str">
        <f>IFERROR(VLOOKUP(I653,[1]INFO_LOCALES!$B:$H,7,FALSE),"")</f>
        <v>Batallon Atacama 319</v>
      </c>
      <c r="N653" s="5">
        <f>IFERROR(VLOOKUP(I653,[1]INFO_LOCALES!$B:$E,4,FALSE),"")</f>
        <v>0</v>
      </c>
      <c r="O653" s="5" t="str">
        <f>VLOOKUP(Tabla2[[#This Row],[TIENDA]],[1]INFO_LOCALES!$B:$J,9,0)</f>
        <v>CONVENIO</v>
      </c>
      <c r="P653" s="5" t="str">
        <f>IFERROR(VLOOKUP(I653,[1]INFO_LOCALES!$B:$F,5,FALSE),"")</f>
        <v>NUEVA ATACAMA</v>
      </c>
      <c r="Q653" s="5" t="s">
        <v>85</v>
      </c>
      <c r="R653" s="5" t="s">
        <v>86</v>
      </c>
      <c r="S653" s="6"/>
      <c r="T653" s="5" t="str">
        <f>UPPER(IF(Tabla2[[#This Row],[FECHA DE MUESTREO ]]=0,"",TEXT(Tabla2[[#This Row],[FECHA DE MUESTREO ]],("MMMM"))))</f>
        <v>AGOSTO</v>
      </c>
      <c r="U653" s="6">
        <v>45890</v>
      </c>
      <c r="V653" s="5" t="s">
        <v>59</v>
      </c>
      <c r="W6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53" s="7">
        <f t="shared" si="24"/>
        <v>2</v>
      </c>
      <c r="Y653" s="5">
        <v>7</v>
      </c>
      <c r="Z653" s="5">
        <v>6.7</v>
      </c>
      <c r="AA653" s="5">
        <v>4</v>
      </c>
      <c r="AB653" s="5">
        <v>22</v>
      </c>
      <c r="AC653" s="5">
        <v>488</v>
      </c>
      <c r="AD653" s="5">
        <v>19.100000000000001</v>
      </c>
      <c r="AE653" s="5">
        <v>42.47</v>
      </c>
      <c r="AF653" s="5">
        <v>1</v>
      </c>
      <c r="AG653" s="5">
        <v>69</v>
      </c>
      <c r="AI653" s="5">
        <f t="shared" si="25"/>
        <v>0</v>
      </c>
    </row>
    <row r="654" spans="1:51" x14ac:dyDescent="0.25">
      <c r="A654" s="5" t="s">
        <v>210</v>
      </c>
      <c r="B654" s="5" t="e">
        <v>#N/A</v>
      </c>
      <c r="C654" s="5" t="e">
        <v>#N/A</v>
      </c>
      <c r="F654" s="5" t="s">
        <v>55</v>
      </c>
      <c r="G654" s="5" t="s">
        <v>65</v>
      </c>
      <c r="H654" s="5" t="s">
        <v>57</v>
      </c>
      <c r="I654" s="5">
        <v>9051</v>
      </c>
      <c r="J654" s="5" t="str">
        <f>IFERROR(VLOOKUP(I654,[1]INFO_LOCALES!$B:$C,2,FALSE),"")</f>
        <v>CD NUEVO COQUIMBO</v>
      </c>
      <c r="K654" s="5" t="str">
        <f>IFERROR(VLOOKUP(Tabla2[[#This Row],[TIENDA]],[1]INFO_LOCALES!$B:$D,3,FALSE),"")</f>
        <v>IV - Coquimbo</v>
      </c>
      <c r="L654" s="5" t="str">
        <f>IFERROR(VLOOKUP(I654,[1]INFO_LOCALES!$B:$I,8,FALSE),"")</f>
        <v>Coquimbo</v>
      </c>
      <c r="M654" s="5" t="str">
        <f>IFERROR(VLOOKUP(I654,[1]INFO_LOCALES!$B:$H,7,FALSE),"")</f>
        <v>PAN DE AZUCAR S/N</v>
      </c>
      <c r="N654" s="5">
        <f>IFERROR(VLOOKUP(I654,[1]INFO_LOCALES!$B:$E,4,FALSE),"")</f>
        <v>0</v>
      </c>
      <c r="O654" s="5" t="str">
        <f>VLOOKUP(Tabla2[[#This Row],[TIENDA]],[1]INFO_LOCALES!$B:$J,9,0)</f>
        <v>SIN CONVENIO</v>
      </c>
      <c r="P654" s="5" t="str">
        <f>IFERROR(VLOOKUP(I654,[1]INFO_LOCALES!$B:$F,5,FALSE),"")</f>
        <v>RENTAS COQUIMBO SPA</v>
      </c>
      <c r="Q654" s="5" t="s">
        <v>85</v>
      </c>
      <c r="R654" s="5" t="s">
        <v>86</v>
      </c>
      <c r="S654" s="6"/>
      <c r="T654" s="5" t="str">
        <f>UPPER(IF(Tabla2[[#This Row],[FECHA DE MUESTREO ]]=0,"",TEXT(Tabla2[[#This Row],[FECHA DE MUESTREO ]],("MMMM"))))</f>
        <v>AGOSTO</v>
      </c>
      <c r="U654" s="6">
        <v>45894</v>
      </c>
      <c r="V654" s="5" t="s">
        <v>118</v>
      </c>
      <c r="W6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54" s="7">
        <f t="shared" si="24"/>
        <v>2</v>
      </c>
      <c r="Y654" s="5">
        <v>11.4</v>
      </c>
      <c r="Z654" s="5">
        <v>7.8</v>
      </c>
      <c r="AA654" s="5">
        <v>2</v>
      </c>
      <c r="AB654" s="5">
        <v>18.100000000000001</v>
      </c>
      <c r="AC654" s="5">
        <v>16</v>
      </c>
      <c r="AD654" s="5">
        <v>18.7</v>
      </c>
      <c r="AE654" s="5">
        <v>16.899999999999999</v>
      </c>
      <c r="AG654" s="5">
        <v>10.4</v>
      </c>
      <c r="AI654" s="5">
        <f t="shared" si="25"/>
        <v>0</v>
      </c>
      <c r="AJ654" s="5">
        <v>0.35289999999999999</v>
      </c>
      <c r="AK654" s="5">
        <v>2E-3</v>
      </c>
      <c r="AL654" s="5">
        <v>0.2681</v>
      </c>
      <c r="AM654" s="5">
        <v>0.01</v>
      </c>
      <c r="AN654" s="5">
        <v>0.1</v>
      </c>
      <c r="AO654" s="5">
        <v>9.8400000000000001E-2</v>
      </c>
      <c r="AP654" s="5">
        <v>0.05</v>
      </c>
      <c r="AR654" s="5">
        <v>0.05</v>
      </c>
      <c r="AS654" s="5">
        <v>5</v>
      </c>
      <c r="AT654" s="5">
        <v>3.5799999999999998E-2</v>
      </c>
      <c r="AU654" s="5">
        <v>1E-3</v>
      </c>
      <c r="AV654" s="5">
        <v>0.05</v>
      </c>
      <c r="AW654" s="5">
        <v>1.43E-2</v>
      </c>
      <c r="AX654" s="5">
        <v>212</v>
      </c>
      <c r="AY654" s="5">
        <v>0.5</v>
      </c>
    </row>
    <row r="655" spans="1:51" x14ac:dyDescent="0.25">
      <c r="A655" s="5" t="s">
        <v>52</v>
      </c>
      <c r="B655" s="5" t="s">
        <v>82</v>
      </c>
      <c r="C655" s="5" t="s">
        <v>77</v>
      </c>
      <c r="F655" s="5" t="s">
        <v>55</v>
      </c>
      <c r="G655" s="5" t="s">
        <v>65</v>
      </c>
      <c r="H655" s="5" t="s">
        <v>57</v>
      </c>
      <c r="I655" s="5">
        <v>16</v>
      </c>
      <c r="J655" s="5" t="str">
        <f>IFERROR(VLOOKUP(I655,[1]INFO_LOCALES!$B:$C,2,FALSE),"")</f>
        <v>VALLENAR II</v>
      </c>
      <c r="K655" s="5" t="str">
        <f>IFERROR(VLOOKUP(Tabla2[[#This Row],[TIENDA]],[1]INFO_LOCALES!$B:$D,3,FALSE),"")</f>
        <v>III - Atacama</v>
      </c>
      <c r="L655" s="5" t="str">
        <f>IFERROR(VLOOKUP(I655,[1]INFO_LOCALES!$B:$I,8,FALSE),"")</f>
        <v>Vallenar</v>
      </c>
      <c r="M655" s="5" t="str">
        <f>IFERROR(VLOOKUP(I655,[1]INFO_LOCALES!$B:$H,7,FALSE),"")</f>
        <v>Arturo Prat 2350</v>
      </c>
      <c r="N655" s="5">
        <f>IFERROR(VLOOKUP(I655,[1]INFO_LOCALES!$B:$E,4,FALSE),"")</f>
        <v>0</v>
      </c>
      <c r="O655" s="5" t="str">
        <f>VLOOKUP(Tabla2[[#This Row],[TIENDA]],[1]INFO_LOCALES!$B:$J,9,0)</f>
        <v>TERMINADO</v>
      </c>
      <c r="P655" s="5" t="str">
        <f>IFERROR(VLOOKUP(I655,[1]INFO_LOCALES!$B:$F,5,FALSE),"")</f>
        <v>NUEVA ATACAMA</v>
      </c>
      <c r="Q655" s="5" t="s">
        <v>85</v>
      </c>
      <c r="R655" s="5" t="s">
        <v>86</v>
      </c>
      <c r="S655" s="6"/>
      <c r="T655" s="5" t="str">
        <f>UPPER(IF(Tabla2[[#This Row],[FECHA DE MUESTREO ]]=0,"",TEXT(Tabla2[[#This Row],[FECHA DE MUESTREO ]],("MMMM"))))</f>
        <v>AGOSTO</v>
      </c>
      <c r="U655" s="6">
        <v>45894</v>
      </c>
      <c r="V655" s="5" t="s">
        <v>59</v>
      </c>
      <c r="W6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55" s="7">
        <f t="shared" si="24"/>
        <v>2</v>
      </c>
      <c r="Y655" s="5">
        <v>89.7</v>
      </c>
      <c r="Z655" s="5">
        <v>7.55</v>
      </c>
      <c r="AA655" s="5">
        <v>13</v>
      </c>
      <c r="AB655" s="5">
        <v>21.31</v>
      </c>
      <c r="AC655" s="5">
        <v>38</v>
      </c>
      <c r="AD655" s="5">
        <v>1.8</v>
      </c>
      <c r="AE655" s="5">
        <v>5</v>
      </c>
      <c r="AF655" s="5">
        <v>0.5</v>
      </c>
      <c r="AG655" s="5">
        <v>10</v>
      </c>
      <c r="AI655" s="5">
        <f t="shared" si="25"/>
        <v>0</v>
      </c>
    </row>
    <row r="656" spans="1:51" x14ac:dyDescent="0.25">
      <c r="A656" s="5" t="s">
        <v>52</v>
      </c>
      <c r="B656" s="5" t="e">
        <v>#N/A</v>
      </c>
      <c r="C656" s="5" t="e">
        <v>#N/A</v>
      </c>
      <c r="F656" s="5" t="s">
        <v>55</v>
      </c>
      <c r="G656" s="5" t="s">
        <v>61</v>
      </c>
      <c r="H656" s="5" t="s">
        <v>57</v>
      </c>
      <c r="I656" s="5">
        <v>9139</v>
      </c>
      <c r="J656" s="5" t="str">
        <f>IFERROR(VLOOKUP(I656,[1]INFO_LOCALES!$B:$C,2,FALSE),"")</f>
        <v>CD LO AGUIRRE</v>
      </c>
      <c r="K656" s="5" t="str">
        <f>IFERROR(VLOOKUP(Tabla2[[#This Row],[TIENDA]],[1]INFO_LOCALES!$B:$D,3,FALSE),"")</f>
        <v>RM - Santiago</v>
      </c>
      <c r="L656" s="5" t="str">
        <f>IFERROR(VLOOKUP(I656,[1]INFO_LOCALES!$B:$I,8,FALSE),"")</f>
        <v>Pudahuel</v>
      </c>
      <c r="M656" s="5" t="str">
        <f>IFERROR(VLOOKUP(I656,[1]INFO_LOCALES!$B:$H,7,FALSE),"")</f>
        <v>CAMINO LO AGUIRRE SUR 537</v>
      </c>
      <c r="N656" s="5">
        <f>IFERROR(VLOOKUP(I656,[1]INFO_LOCALES!$B:$E,4,FALSE),"")</f>
        <v>3552</v>
      </c>
      <c r="O656" s="5" t="str">
        <f>VLOOKUP(Tabla2[[#This Row],[TIENDA]],[1]INFO_LOCALES!$B:$J,9,0)</f>
        <v>SIN CONVENIO</v>
      </c>
      <c r="P656" s="5" t="str">
        <f>IFERROR(VLOOKUP(I656,[1]INFO_LOCALES!$B:$F,5,FALSE),"")</f>
        <v>AGUAS IZARRA</v>
      </c>
      <c r="Q656" s="5" t="s">
        <v>85</v>
      </c>
      <c r="R656" s="5" t="s">
        <v>86</v>
      </c>
      <c r="S656" s="6"/>
      <c r="T656" s="5" t="str">
        <f>UPPER(IF(Tabla2[[#This Row],[FECHA DE MUESTREO ]]=0,"",TEXT(Tabla2[[#This Row],[FECHA DE MUESTREO ]],("MMMM"))))</f>
        <v>AGOSTO</v>
      </c>
      <c r="U656" s="6">
        <v>45898</v>
      </c>
      <c r="V656" s="5" t="s">
        <v>59</v>
      </c>
      <c r="W6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56" s="7">
        <f t="shared" si="24"/>
        <v>1</v>
      </c>
      <c r="Y656" s="5">
        <v>22.6</v>
      </c>
      <c r="Z656" s="5">
        <v>7.32</v>
      </c>
      <c r="AA656" s="5">
        <v>5</v>
      </c>
      <c r="AB656" s="5">
        <v>16.14</v>
      </c>
      <c r="AC656" s="5">
        <v>177</v>
      </c>
      <c r="AD656" s="5">
        <v>5.9</v>
      </c>
      <c r="AE656" s="5">
        <v>37.409999999999997</v>
      </c>
      <c r="AF656" s="5">
        <v>1.5</v>
      </c>
      <c r="AG656" s="5">
        <v>70.7</v>
      </c>
      <c r="AH656" s="5">
        <v>1.68</v>
      </c>
      <c r="AI656" s="5">
        <f t="shared" si="25"/>
        <v>50.4</v>
      </c>
      <c r="AS656" s="5">
        <v>10</v>
      </c>
    </row>
    <row r="657" spans="1:50" x14ac:dyDescent="0.25">
      <c r="A657" s="5" t="s">
        <v>52</v>
      </c>
      <c r="B657" s="5" t="s">
        <v>82</v>
      </c>
      <c r="C657" s="5" t="s">
        <v>77</v>
      </c>
      <c r="F657" s="5" t="s">
        <v>55</v>
      </c>
      <c r="G657" s="5" t="s">
        <v>65</v>
      </c>
      <c r="H657" s="5" t="s">
        <v>57</v>
      </c>
      <c r="I657" s="5">
        <v>23</v>
      </c>
      <c r="J657" s="5" t="str">
        <f>IFERROR(VLOOKUP(I657,[1]INFO_LOCALES!$B:$C,2,FALSE),"")</f>
        <v>LOS CARRERAS</v>
      </c>
      <c r="K657" s="5" t="str">
        <f>IFERROR(VLOOKUP(Tabla2[[#This Row],[TIENDA]],[1]INFO_LOCALES!$B:$D,3,FALSE),"")</f>
        <v>III - Atacama</v>
      </c>
      <c r="L657" s="5" t="str">
        <f>IFERROR(VLOOKUP(I657,[1]INFO_LOCALES!$B:$I,8,FALSE),"")</f>
        <v>Copiapó</v>
      </c>
      <c r="M657" s="5" t="str">
        <f>IFERROR(VLOOKUP(I657,[1]INFO_LOCALES!$B:$H,7,FALSE),"")</f>
        <v>Los Carrera 479</v>
      </c>
      <c r="N657" s="5">
        <f>IFERROR(VLOOKUP(I657,[1]INFO_LOCALES!$B:$E,4,FALSE),"")</f>
        <v>0</v>
      </c>
      <c r="O657" s="5" t="str">
        <f>VLOOKUP(Tabla2[[#This Row],[TIENDA]],[1]INFO_LOCALES!$B:$J,9,0)</f>
        <v>SIN CONVENIO</v>
      </c>
      <c r="P657" s="5" t="str">
        <f>IFERROR(VLOOKUP(I657,[1]INFO_LOCALES!$B:$F,5,FALSE),"")</f>
        <v>NUEVA ATACAMA</v>
      </c>
      <c r="Q657" s="5" t="s">
        <v>85</v>
      </c>
      <c r="R657" s="5" t="s">
        <v>86</v>
      </c>
      <c r="S657" s="6"/>
      <c r="T657" s="5" t="str">
        <f>UPPER(IF(Tabla2[[#This Row],[FECHA DE MUESTREO ]]=0,"",TEXT(Tabla2[[#This Row],[FECHA DE MUESTREO ]],("MMMM"))))</f>
        <v>JULIO</v>
      </c>
      <c r="U657" s="6">
        <v>45859</v>
      </c>
      <c r="V657" s="5" t="s">
        <v>59</v>
      </c>
      <c r="W6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57" s="7">
        <f t="shared" si="24"/>
        <v>2</v>
      </c>
      <c r="Y657" s="5">
        <v>14.2</v>
      </c>
      <c r="Z657" s="5">
        <v>7.11</v>
      </c>
      <c r="AA657" s="5">
        <v>2</v>
      </c>
      <c r="AB657" s="5">
        <v>19.440000000000001</v>
      </c>
      <c r="AC657" s="5">
        <v>350</v>
      </c>
      <c r="AD657" s="5">
        <v>13.2</v>
      </c>
      <c r="AE657" s="5">
        <v>52.19</v>
      </c>
      <c r="AF657" s="5">
        <v>3</v>
      </c>
      <c r="AG657" s="5">
        <v>97</v>
      </c>
      <c r="AH657" s="5">
        <v>0.35</v>
      </c>
      <c r="AI657" s="5">
        <f t="shared" si="25"/>
        <v>10.5</v>
      </c>
    </row>
    <row r="658" spans="1:50" x14ac:dyDescent="0.25">
      <c r="A658" s="5" t="s">
        <v>52</v>
      </c>
      <c r="B658" s="5" t="s">
        <v>146</v>
      </c>
      <c r="C658" s="5" t="s">
        <v>70</v>
      </c>
      <c r="F658" s="5" t="s">
        <v>55</v>
      </c>
      <c r="G658" s="5" t="s">
        <v>61</v>
      </c>
      <c r="H658" s="5" t="s">
        <v>57</v>
      </c>
      <c r="I658" s="5">
        <v>905</v>
      </c>
      <c r="J658" s="5" t="str">
        <f>IFERROR(VLOOKUP(I658,[1]INFO_LOCALES!$B:$C,2,FALSE),"")</f>
        <v>VICENTE VALDES</v>
      </c>
      <c r="K658" s="5" t="str">
        <f>IFERROR(VLOOKUP(Tabla2[[#This Row],[TIENDA]],[1]INFO_LOCALES!$B:$D,3,FALSE),"")</f>
        <v>RM - Santiago</v>
      </c>
      <c r="L658" s="5" t="str">
        <f>IFERROR(VLOOKUP(I658,[1]INFO_LOCALES!$B:$I,8,FALSE),"")</f>
        <v>La Florida</v>
      </c>
      <c r="M658" s="5" t="str">
        <f>IFERROR(VLOOKUP(I658,[1]INFO_LOCALES!$B:$H,7,FALSE),"")</f>
        <v>Vicuña Mackenna 7802</v>
      </c>
      <c r="N658" s="5">
        <f>IFERROR(VLOOKUP(I658,[1]INFO_LOCALES!$B:$E,4,FALSE),"")</f>
        <v>0</v>
      </c>
      <c r="O658" s="5" t="str">
        <f>VLOOKUP(Tabla2[[#This Row],[TIENDA]],[1]INFO_LOCALES!$B:$J,9,0)</f>
        <v>SIN CONVENIO</v>
      </c>
      <c r="P658" s="5" t="str">
        <f>IFERROR(VLOOKUP(I658,[1]INFO_LOCALES!$B:$F,5,FALSE),"")</f>
        <v>AGUAS ANDINAS S.A.</v>
      </c>
      <c r="Q658" s="5" t="s">
        <v>113</v>
      </c>
      <c r="R658" s="5" t="s">
        <v>58</v>
      </c>
      <c r="S658" s="6"/>
      <c r="T658" s="5" t="str">
        <f>UPPER(IF(Tabla2[[#This Row],[FECHA DE MUESTREO ]]=0,"",TEXT(Tabla2[[#This Row],[FECHA DE MUESTREO ]],("MMMM"))))</f>
        <v>JUNIO</v>
      </c>
      <c r="U658" s="6">
        <v>45827</v>
      </c>
      <c r="V658" s="5" t="s">
        <v>59</v>
      </c>
      <c r="W6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58" s="7">
        <f t="shared" si="24"/>
        <v>3</v>
      </c>
      <c r="Y658" s="5">
        <v>38</v>
      </c>
      <c r="Z658" s="5">
        <v>7.46</v>
      </c>
      <c r="AA658" s="5">
        <v>0.8</v>
      </c>
      <c r="AB658" s="5">
        <v>18.899999999999999</v>
      </c>
      <c r="AC658" s="5">
        <v>801</v>
      </c>
      <c r="AD658" s="5">
        <v>19.52</v>
      </c>
      <c r="AE658" s="5">
        <v>17.670000000000002</v>
      </c>
      <c r="AF658" s="5">
        <v>0.5</v>
      </c>
      <c r="AG658" s="5">
        <v>322</v>
      </c>
      <c r="AI658" s="5">
        <f t="shared" si="25"/>
        <v>0</v>
      </c>
    </row>
    <row r="659" spans="1:50" x14ac:dyDescent="0.25">
      <c r="A659" s="5" t="s">
        <v>52</v>
      </c>
      <c r="B659" s="5" t="s">
        <v>128</v>
      </c>
      <c r="C659" s="5" t="s">
        <v>77</v>
      </c>
      <c r="D659" s="5">
        <v>2025</v>
      </c>
      <c r="E659" s="5" t="s">
        <v>216</v>
      </c>
      <c r="F659" s="5" t="s">
        <v>55</v>
      </c>
      <c r="G659" s="5" t="s">
        <v>61</v>
      </c>
      <c r="H659" s="5" t="s">
        <v>57</v>
      </c>
      <c r="I659" s="5">
        <v>5</v>
      </c>
      <c r="J659" s="5" t="str">
        <f>IFERROR(VLOOKUP(I659,[1]INFO_LOCALES!$B:$C,2,FALSE),"")</f>
        <v>LAS COMPAÑIAS</v>
      </c>
      <c r="K659" s="5" t="str">
        <f>IFERROR(VLOOKUP(Tabla2[[#This Row],[TIENDA]],[1]INFO_LOCALES!$B:$D,3,FALSE),"")</f>
        <v>IV - Coquimbo</v>
      </c>
      <c r="L659" s="5" t="str">
        <f>IFERROR(VLOOKUP(I659,[1]INFO_LOCALES!$B:$I,8,FALSE),"")</f>
        <v>La Serena</v>
      </c>
      <c r="M659" s="5" t="str">
        <f>IFERROR(VLOOKUP(I659,[1]INFO_LOCALES!$B:$H,7,FALSE),"")</f>
        <v>Nicaragua 1571</v>
      </c>
      <c r="N659" s="5">
        <f>IFERROR(VLOOKUP(I659,[1]INFO_LOCALES!$B:$E,4,FALSE),"")</f>
        <v>2644</v>
      </c>
      <c r="O659" s="5" t="str">
        <f>VLOOKUP(Tabla2[[#This Row],[TIENDA]],[1]INFO_LOCALES!$B:$J,9,0)</f>
        <v>SIN CONVENIO</v>
      </c>
      <c r="P659" s="5" t="str">
        <f>IFERROR(VLOOKUP(I659,[1]INFO_LOCALES!$B:$F,5,FALSE),"")</f>
        <v>AGUAS DEL VALLE S A</v>
      </c>
      <c r="Q659" s="5" t="s">
        <v>85</v>
      </c>
      <c r="R659" s="5" t="s">
        <v>86</v>
      </c>
      <c r="S659" s="6"/>
      <c r="T659" s="5" t="str">
        <f>UPPER(IF(Tabla2[[#This Row],[FECHA DE MUESTREO ]]=0,"",TEXT(Tabla2[[#This Row],[FECHA DE MUESTREO ]],("MMMM"))))</f>
        <v>SEPTIEMBRE</v>
      </c>
      <c r="U659" s="6">
        <v>45916</v>
      </c>
      <c r="V659" s="5" t="s">
        <v>59</v>
      </c>
      <c r="W6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59" s="7">
        <f t="shared" si="24"/>
        <v>1</v>
      </c>
      <c r="Y659" s="5">
        <v>4</v>
      </c>
      <c r="Z659" s="5">
        <v>7.73</v>
      </c>
      <c r="AA659" s="5">
        <v>1</v>
      </c>
      <c r="AB659" s="5">
        <v>16.7</v>
      </c>
      <c r="AC659" s="5">
        <v>151</v>
      </c>
      <c r="AD659" s="5">
        <v>8.3000000000000007</v>
      </c>
      <c r="AE659" s="5">
        <v>3.3</v>
      </c>
      <c r="AF659" s="5">
        <v>0.1</v>
      </c>
      <c r="AG659" s="5">
        <v>76</v>
      </c>
      <c r="AH659" s="5">
        <v>1.19</v>
      </c>
      <c r="AI659" s="5">
        <f t="shared" si="25"/>
        <v>35.699999999999996</v>
      </c>
    </row>
    <row r="660" spans="1:50" x14ac:dyDescent="0.25">
      <c r="A660" s="5" t="s">
        <v>52</v>
      </c>
      <c r="B660" s="5" t="s">
        <v>128</v>
      </c>
      <c r="C660" s="5" t="s">
        <v>77</v>
      </c>
      <c r="D660" s="5">
        <v>2025</v>
      </c>
      <c r="E660" s="5" t="s">
        <v>216</v>
      </c>
      <c r="F660" s="5" t="s">
        <v>55</v>
      </c>
      <c r="G660" s="5" t="s">
        <v>61</v>
      </c>
      <c r="H660" s="5" t="s">
        <v>57</v>
      </c>
      <c r="I660" s="5">
        <v>17</v>
      </c>
      <c r="J660" s="5" t="str">
        <f>IFERROR(VLOOKUP(I660,[1]INFO_LOCALES!$B:$C,2,FALSE),"")</f>
        <v>LOS ALAMOS</v>
      </c>
      <c r="K660" s="5" t="str">
        <f>IFERROR(VLOOKUP(Tabla2[[#This Row],[TIENDA]],[1]INFO_LOCALES!$B:$D,3,FALSE),"")</f>
        <v>IV - Coquimbo</v>
      </c>
      <c r="L660" s="5" t="str">
        <f>IFERROR(VLOOKUP(I660,[1]INFO_LOCALES!$B:$I,8,FALSE),"")</f>
        <v>Coquimbo</v>
      </c>
      <c r="M660" s="5" t="str">
        <f>IFERROR(VLOOKUP(I660,[1]INFO_LOCALES!$B:$H,7,FALSE),"")</f>
        <v>Los Alamos 580</v>
      </c>
      <c r="N660" s="5">
        <f>IFERROR(VLOOKUP(I660,[1]INFO_LOCALES!$B:$E,4,FALSE),"")</f>
        <v>2643</v>
      </c>
      <c r="O660" s="5" t="str">
        <f>VLOOKUP(Tabla2[[#This Row],[TIENDA]],[1]INFO_LOCALES!$B:$J,9,0)</f>
        <v>TERMINADO</v>
      </c>
      <c r="P660" s="5" t="str">
        <f>IFERROR(VLOOKUP(I660,[1]INFO_LOCALES!$B:$F,5,FALSE),"")</f>
        <v>AGUAS DEL VALLE S A</v>
      </c>
      <c r="Q660" s="5" t="s">
        <v>85</v>
      </c>
      <c r="R660" s="5" t="s">
        <v>86</v>
      </c>
      <c r="S660" s="6"/>
      <c r="T660" s="5" t="str">
        <f>UPPER(IF(Tabla2[[#This Row],[FECHA DE MUESTREO ]]=0,"",TEXT(Tabla2[[#This Row],[FECHA DE MUESTREO ]],("MMMM"))))</f>
        <v>SEPTIEMBRE</v>
      </c>
      <c r="U660" s="6">
        <v>45915</v>
      </c>
      <c r="V660" s="5" t="s">
        <v>59</v>
      </c>
      <c r="W6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60" s="7">
        <f t="shared" si="24"/>
        <v>1</v>
      </c>
      <c r="Y660" s="5">
        <v>15</v>
      </c>
      <c r="Z660" s="5">
        <v>7.98</v>
      </c>
      <c r="AA660" s="5">
        <v>0.1</v>
      </c>
      <c r="AB660" s="5">
        <v>16.79</v>
      </c>
      <c r="AC660" s="5">
        <v>206</v>
      </c>
      <c r="AD660" s="5">
        <v>9.5</v>
      </c>
      <c r="AE660" s="5">
        <v>20.3</v>
      </c>
      <c r="AF660" s="5">
        <v>0.1</v>
      </c>
      <c r="AG660" s="5">
        <v>88</v>
      </c>
      <c r="AH660" s="5">
        <v>0.85</v>
      </c>
      <c r="AI660" s="5">
        <f t="shared" si="25"/>
        <v>25.5</v>
      </c>
    </row>
    <row r="661" spans="1:50" x14ac:dyDescent="0.25">
      <c r="A661" s="5" t="s">
        <v>60</v>
      </c>
      <c r="B661" s="5" t="e">
        <v>#N/A</v>
      </c>
      <c r="C661" s="5" t="e">
        <v>#N/A</v>
      </c>
      <c r="E661" s="5" t="s">
        <v>216</v>
      </c>
      <c r="F661" s="5" t="s">
        <v>55</v>
      </c>
      <c r="G661" s="5" t="s">
        <v>61</v>
      </c>
      <c r="H661" s="5" t="s">
        <v>57</v>
      </c>
      <c r="I661" s="5">
        <v>3197</v>
      </c>
      <c r="J661" s="5" t="str">
        <f>IFERROR(VLOOKUP(I661,[1]INFO_LOCALES!$B:$C,2,FALSE),"")</f>
        <v>ALVI PICARTE VALDIVIA</v>
      </c>
      <c r="K661" s="5" t="str">
        <f>IFERROR(VLOOKUP(Tabla2[[#This Row],[TIENDA]],[1]INFO_LOCALES!$B:$D,3,FALSE),"")</f>
        <v>XIV - Los Ríos</v>
      </c>
      <c r="L661" s="5" t="str">
        <f>IFERROR(VLOOKUP(I661,[1]INFO_LOCALES!$B:$I,8,FALSE),"")</f>
        <v>Valdivia</v>
      </c>
      <c r="M661" s="5" t="str">
        <f>IFERROR(VLOOKUP(I661,[1]INFO_LOCALES!$B:$H,7,FALSE),"")</f>
        <v>Av. Ramon Picarte 2593</v>
      </c>
      <c r="N661" s="5">
        <f>IFERROR(VLOOKUP(I661,[1]INFO_LOCALES!$B:$E,4,FALSE),"")</f>
        <v>1961</v>
      </c>
      <c r="O661" s="5" t="str">
        <f>VLOOKUP(Tabla2[[#This Row],[TIENDA]],[1]INFO_LOCALES!$B:$J,9,0)</f>
        <v>CONVENIO</v>
      </c>
      <c r="P661" s="5" t="str">
        <f>IFERROR(VLOOKUP(I661,[1]INFO_LOCALES!$B:$F,5,FALSE),"")</f>
        <v>AGUAS DECIMA S A</v>
      </c>
      <c r="Q661" s="5" t="s">
        <v>85</v>
      </c>
      <c r="R661" s="5" t="s">
        <v>86</v>
      </c>
      <c r="S661" s="6"/>
      <c r="T661" s="5" t="str">
        <f>UPPER(IF(Tabla2[[#This Row],[FECHA DE MUESTREO ]]=0,"",TEXT(Tabla2[[#This Row],[FECHA DE MUESTREO ]],("MMMM"))))</f>
        <v>SEPTIEMBRE</v>
      </c>
      <c r="U661" s="6">
        <v>45916</v>
      </c>
      <c r="V661" s="5" t="s">
        <v>59</v>
      </c>
      <c r="W6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61" s="7">
        <f t="shared" si="24"/>
        <v>1</v>
      </c>
      <c r="Y661" s="5">
        <v>16</v>
      </c>
      <c r="Z661" s="5">
        <v>7</v>
      </c>
      <c r="AA661" s="5">
        <v>3</v>
      </c>
      <c r="AB661" s="5">
        <v>17.04</v>
      </c>
      <c r="AC661" s="5">
        <v>279</v>
      </c>
      <c r="AD661" s="5">
        <v>13</v>
      </c>
      <c r="AE661" s="5">
        <v>11.3</v>
      </c>
      <c r="AF661" s="5">
        <v>0.1</v>
      </c>
      <c r="AG661" s="5">
        <v>40</v>
      </c>
      <c r="AH661" s="5">
        <v>2.8</v>
      </c>
      <c r="AI661" s="5">
        <f t="shared" si="25"/>
        <v>84</v>
      </c>
    </row>
    <row r="662" spans="1:50" x14ac:dyDescent="0.25">
      <c r="A662" s="5" t="s">
        <v>52</v>
      </c>
      <c r="B662" s="5" t="s">
        <v>82</v>
      </c>
      <c r="C662" s="5" t="s">
        <v>77</v>
      </c>
      <c r="E662" s="5" t="s">
        <v>217</v>
      </c>
      <c r="F662" s="5" t="s">
        <v>55</v>
      </c>
      <c r="G662" s="5" t="s">
        <v>65</v>
      </c>
      <c r="H662" s="5" t="s">
        <v>57</v>
      </c>
      <c r="I662" s="5">
        <v>16</v>
      </c>
      <c r="J662" s="5" t="str">
        <f>IFERROR(VLOOKUP(I662,[1]INFO_LOCALES!$B:$C,2,FALSE),"")</f>
        <v>VALLENAR II</v>
      </c>
      <c r="K662" s="5" t="str">
        <f>IFERROR(VLOOKUP(Tabla2[[#This Row],[TIENDA]],[1]INFO_LOCALES!$B:$D,3,FALSE),"")</f>
        <v>III - Atacama</v>
      </c>
      <c r="L662" s="5" t="str">
        <f>IFERROR(VLOOKUP(I662,[1]INFO_LOCALES!$B:$I,8,FALSE),"")</f>
        <v>Vallenar</v>
      </c>
      <c r="M662" s="5" t="str">
        <f>IFERROR(VLOOKUP(I662,[1]INFO_LOCALES!$B:$H,7,FALSE),"")</f>
        <v>Arturo Prat 2350</v>
      </c>
      <c r="N662" s="5">
        <f>IFERROR(VLOOKUP(I662,[1]INFO_LOCALES!$B:$E,4,FALSE),"")</f>
        <v>0</v>
      </c>
      <c r="O662" s="5" t="str">
        <f>VLOOKUP(Tabla2[[#This Row],[TIENDA]],[1]INFO_LOCALES!$B:$J,9,0)</f>
        <v>TERMINADO</v>
      </c>
      <c r="P662" s="5" t="str">
        <f>IFERROR(VLOOKUP(I662,[1]INFO_LOCALES!$B:$F,5,FALSE),"")</f>
        <v>NUEVA ATACAMA</v>
      </c>
      <c r="Q662" s="5" t="s">
        <v>85</v>
      </c>
      <c r="R662" s="5" t="s">
        <v>86</v>
      </c>
      <c r="S662" s="6"/>
      <c r="T662" s="5" t="str">
        <f>UPPER(IF(Tabla2[[#This Row],[FECHA DE MUESTREO ]]=0,"",TEXT(Tabla2[[#This Row],[FECHA DE MUESTREO ]],("MMMM"))))</f>
        <v>SEPTIEMBRE</v>
      </c>
      <c r="U662" s="6">
        <v>45924</v>
      </c>
      <c r="V662" s="5" t="s">
        <v>59</v>
      </c>
      <c r="W6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62" s="7">
        <f t="shared" si="24"/>
        <v>1</v>
      </c>
      <c r="Y662" s="5">
        <v>2</v>
      </c>
      <c r="Z662" s="5">
        <v>7.65</v>
      </c>
      <c r="AA662" s="5">
        <v>1</v>
      </c>
      <c r="AB662" s="5">
        <v>16.989999999999998</v>
      </c>
      <c r="AC662" s="5">
        <v>69</v>
      </c>
      <c r="AD662" s="5">
        <v>0.5</v>
      </c>
      <c r="AE662" s="5">
        <v>0.5</v>
      </c>
      <c r="AF662" s="5">
        <v>0.1</v>
      </c>
      <c r="AG662" s="5">
        <v>28</v>
      </c>
      <c r="AH662" s="5">
        <v>0.56000000000000005</v>
      </c>
      <c r="AI662" s="5">
        <f t="shared" si="25"/>
        <v>16.8</v>
      </c>
    </row>
    <row r="663" spans="1:50" x14ac:dyDescent="0.25">
      <c r="A663" s="5" t="s">
        <v>52</v>
      </c>
      <c r="B663" s="5" t="s">
        <v>82</v>
      </c>
      <c r="C663" s="5" t="s">
        <v>77</v>
      </c>
      <c r="E663" s="5" t="s">
        <v>218</v>
      </c>
      <c r="F663" s="5" t="s">
        <v>55</v>
      </c>
      <c r="G663" s="5" t="s">
        <v>65</v>
      </c>
      <c r="H663" s="5" t="s">
        <v>57</v>
      </c>
      <c r="I663" s="5">
        <v>7</v>
      </c>
      <c r="J663" s="5" t="str">
        <f>IFERROR(VLOOKUP(I663,[1]INFO_LOCALES!$B:$C,2,FALSE),"")</f>
        <v>VALLENAR I</v>
      </c>
      <c r="K663" s="5" t="str">
        <f>IFERROR(VLOOKUP(Tabla2[[#This Row],[TIENDA]],[1]INFO_LOCALES!$B:$D,3,FALSE),"")</f>
        <v>III - Atacama</v>
      </c>
      <c r="L663" s="5" t="str">
        <f>IFERROR(VLOOKUP(I663,[1]INFO_LOCALES!$B:$I,8,FALSE),"")</f>
        <v>Vallenar</v>
      </c>
      <c r="M663" s="5" t="str">
        <f>IFERROR(VLOOKUP(I663,[1]INFO_LOCALES!$B:$H,7,FALSE),"")</f>
        <v>Brasil 663</v>
      </c>
      <c r="N663" s="5">
        <f>IFERROR(VLOOKUP(I663,[1]INFO_LOCALES!$B:$E,4,FALSE),"")</f>
        <v>0</v>
      </c>
      <c r="O663" s="5" t="str">
        <f>VLOOKUP(Tabla2[[#This Row],[TIENDA]],[1]INFO_LOCALES!$B:$J,9,0)</f>
        <v>CONVENIO</v>
      </c>
      <c r="P663" s="5" t="str">
        <f>IFERROR(VLOOKUP(I663,[1]INFO_LOCALES!$B:$F,5,FALSE),"")</f>
        <v>NUEVA ATACAMA</v>
      </c>
      <c r="Q663" s="5" t="s">
        <v>85</v>
      </c>
      <c r="R663" s="5" t="s">
        <v>86</v>
      </c>
      <c r="S663" s="6"/>
      <c r="T663" s="5" t="str">
        <f>UPPER(IF(Tabla2[[#This Row],[FECHA DE MUESTREO ]]=0,"",TEXT(Tabla2[[#This Row],[FECHA DE MUESTREO ]],("MMMM"))))</f>
        <v>SEPTIEMBRE</v>
      </c>
      <c r="U663" s="6">
        <v>45924</v>
      </c>
      <c r="V663" s="5" t="s">
        <v>59</v>
      </c>
      <c r="W6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63" s="7">
        <f t="shared" si="24"/>
        <v>3</v>
      </c>
      <c r="Y663" s="5">
        <v>38</v>
      </c>
      <c r="Z663" s="5">
        <v>8.08</v>
      </c>
      <c r="AA663" s="5">
        <v>1</v>
      </c>
      <c r="AB663" s="5">
        <v>18.440000000000001</v>
      </c>
      <c r="AC663" s="5">
        <v>825</v>
      </c>
      <c r="AD663" s="5">
        <v>11.8</v>
      </c>
      <c r="AE663" s="5">
        <v>18.2</v>
      </c>
      <c r="AF663" s="5">
        <v>0.1</v>
      </c>
      <c r="AG663" s="5">
        <v>176</v>
      </c>
      <c r="AH663" s="5">
        <v>0.91</v>
      </c>
      <c r="AI663" s="5">
        <f t="shared" si="25"/>
        <v>27.3</v>
      </c>
    </row>
    <row r="664" spans="1:50" x14ac:dyDescent="0.25">
      <c r="A664" s="5" t="s">
        <v>52</v>
      </c>
      <c r="B664" s="5" t="s">
        <v>90</v>
      </c>
      <c r="C664" s="5" t="s">
        <v>81</v>
      </c>
      <c r="E664" s="5" t="s">
        <v>216</v>
      </c>
      <c r="F664" s="5" t="s">
        <v>55</v>
      </c>
      <c r="G664" s="5" t="s">
        <v>61</v>
      </c>
      <c r="H664" s="5" t="s">
        <v>57</v>
      </c>
      <c r="I664" s="5">
        <v>777</v>
      </c>
      <c r="J664" s="5" t="str">
        <f>IFERROR(VLOOKUP(I664,[1]INFO_LOCALES!$B:$C,2,FALSE),"")</f>
        <v>CENTRAL</v>
      </c>
      <c r="K664" s="5" t="str">
        <f>IFERROR(VLOOKUP(Tabla2[[#This Row],[TIENDA]],[1]INFO_LOCALES!$B:$D,3,FALSE),"")</f>
        <v>X - Los Lagos</v>
      </c>
      <c r="L664" s="5" t="str">
        <f>IFERROR(VLOOKUP(I664,[1]INFO_LOCALES!$B:$I,8,FALSE),"")</f>
        <v>Osorno</v>
      </c>
      <c r="M664" s="5" t="str">
        <f>IFERROR(VLOOKUP(I664,[1]INFO_LOCALES!$B:$H,7,FALSE),"")</f>
        <v>Patricio Lynch 1278</v>
      </c>
      <c r="N664" s="5">
        <f>IFERROR(VLOOKUP(I664,[1]INFO_LOCALES!$B:$E,4,FALSE),"")</f>
        <v>3684</v>
      </c>
      <c r="O664" s="5" t="str">
        <f>VLOOKUP(Tabla2[[#This Row],[TIENDA]],[1]INFO_LOCALES!$B:$J,9,0)</f>
        <v>CONVENIO</v>
      </c>
      <c r="P664" s="5" t="str">
        <f>IFERROR(VLOOKUP(I664,[1]INFO_LOCALES!$B:$F,5,FALSE),"")</f>
        <v>SURALIS</v>
      </c>
      <c r="Q664" s="5" t="s">
        <v>85</v>
      </c>
      <c r="R664" s="5" t="s">
        <v>86</v>
      </c>
      <c r="S664" s="6"/>
      <c r="T664" s="5" t="str">
        <f>UPPER(IF(Tabla2[[#This Row],[FECHA DE MUESTREO ]]=0,"",TEXT(Tabla2[[#This Row],[FECHA DE MUESTREO ]],("MMMM"))))</f>
        <v>SEPTIEMBRE</v>
      </c>
      <c r="U664" s="6">
        <v>45924</v>
      </c>
      <c r="V664" s="5" t="s">
        <v>59</v>
      </c>
      <c r="W6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64" s="7">
        <f t="shared" si="24"/>
        <v>1</v>
      </c>
      <c r="Y664" s="5">
        <v>4</v>
      </c>
      <c r="Z664" s="5">
        <v>7.11</v>
      </c>
      <c r="AA664" s="5">
        <v>1</v>
      </c>
      <c r="AB664" s="5">
        <v>14.3</v>
      </c>
      <c r="AC664" s="5">
        <v>49</v>
      </c>
      <c r="AD664" s="5">
        <v>1.3</v>
      </c>
      <c r="AE664" s="5">
        <v>0.5</v>
      </c>
      <c r="AF664" s="5">
        <v>0.1</v>
      </c>
      <c r="AG664" s="5">
        <v>76</v>
      </c>
      <c r="AH664" s="5">
        <v>2</v>
      </c>
      <c r="AI664" s="5">
        <f t="shared" si="25"/>
        <v>60</v>
      </c>
    </row>
    <row r="665" spans="1:50" x14ac:dyDescent="0.25">
      <c r="A665" s="5" t="s">
        <v>52</v>
      </c>
      <c r="B665" s="5" t="s">
        <v>82</v>
      </c>
      <c r="C665" s="5" t="s">
        <v>77</v>
      </c>
      <c r="E665" s="5" t="s">
        <v>216</v>
      </c>
      <c r="F665" s="5" t="s">
        <v>55</v>
      </c>
      <c r="G665" s="5" t="s">
        <v>61</v>
      </c>
      <c r="H665" s="5" t="s">
        <v>57</v>
      </c>
      <c r="I665" s="5">
        <v>25</v>
      </c>
      <c r="J665" s="5" t="str">
        <f>IFERROR(VLOOKUP(I665,[1]INFO_LOCALES!$B:$C,2,FALSE),"")</f>
        <v>EL PALOMAR</v>
      </c>
      <c r="K665" s="5" t="str">
        <f>IFERROR(VLOOKUP(Tabla2[[#This Row],[TIENDA]],[1]INFO_LOCALES!$B:$D,3,FALSE),"")</f>
        <v>III - Atacama</v>
      </c>
      <c r="L665" s="5" t="str">
        <f>IFERROR(VLOOKUP(I665,[1]INFO_LOCALES!$B:$I,8,FALSE),"")</f>
        <v>Copiapó</v>
      </c>
      <c r="M665" s="5" t="str">
        <f>IFERROR(VLOOKUP(I665,[1]INFO_LOCALES!$B:$H,7,FALSE),"")</f>
        <v>Av. Palomar 1525</v>
      </c>
      <c r="N665" s="5">
        <f>IFERROR(VLOOKUP(I665,[1]INFO_LOCALES!$B:$E,4,FALSE),"")</f>
        <v>3868</v>
      </c>
      <c r="O665" s="5" t="str">
        <f>VLOOKUP(Tabla2[[#This Row],[TIENDA]],[1]INFO_LOCALES!$B:$J,9,0)</f>
        <v>TERMINADO</v>
      </c>
      <c r="P665" s="5" t="str">
        <f>IFERROR(VLOOKUP(I665,[1]INFO_LOCALES!$B:$F,5,FALSE),"")</f>
        <v>NUEVA ATACAMA</v>
      </c>
      <c r="Q665" s="5" t="s">
        <v>85</v>
      </c>
      <c r="R665" s="5" t="s">
        <v>86</v>
      </c>
      <c r="S665" s="6"/>
      <c r="T665" s="5" t="str">
        <f>UPPER(IF(Tabla2[[#This Row],[FECHA DE MUESTREO ]]=0,"",TEXT(Tabla2[[#This Row],[FECHA DE MUESTREO ]],("MMMM"))))</f>
        <v>SEPTIEMBRE</v>
      </c>
      <c r="U665" s="6">
        <v>45923</v>
      </c>
      <c r="V665" s="5" t="s">
        <v>59</v>
      </c>
      <c r="W6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65" s="7">
        <f t="shared" si="24"/>
        <v>1</v>
      </c>
      <c r="Y665" s="5">
        <v>9</v>
      </c>
      <c r="Z665" s="5">
        <v>8.0399999999999991</v>
      </c>
      <c r="AA665" s="5">
        <v>1</v>
      </c>
      <c r="AB665" s="5">
        <v>18.14</v>
      </c>
      <c r="AC665" s="5">
        <v>48</v>
      </c>
      <c r="AD665" s="5">
        <v>4.5</v>
      </c>
      <c r="AE665" s="5">
        <v>15.3</v>
      </c>
      <c r="AF665" s="5">
        <v>0.1</v>
      </c>
      <c r="AG665" s="5">
        <v>40</v>
      </c>
      <c r="AH665" s="5">
        <v>3.1</v>
      </c>
      <c r="AI665" s="5">
        <f t="shared" si="25"/>
        <v>93</v>
      </c>
    </row>
    <row r="666" spans="1:50" x14ac:dyDescent="0.25">
      <c r="A666" s="5" t="s">
        <v>52</v>
      </c>
      <c r="B666" s="5" t="s">
        <v>82</v>
      </c>
      <c r="C666" s="5" t="s">
        <v>77</v>
      </c>
      <c r="E666" s="5" t="s">
        <v>216</v>
      </c>
      <c r="F666" s="5" t="s">
        <v>55</v>
      </c>
      <c r="G666" s="5" t="s">
        <v>61</v>
      </c>
      <c r="H666" s="5" t="s">
        <v>57</v>
      </c>
      <c r="I666" s="5">
        <v>22</v>
      </c>
      <c r="J666" s="5" t="str">
        <f>IFERROR(VLOOKUP(I666,[1]INFO_LOCALES!$B:$C,2,FALSE),"")</f>
        <v>ATACAMA</v>
      </c>
      <c r="K666" s="5" t="str">
        <f>IFERROR(VLOOKUP(Tabla2[[#This Row],[TIENDA]],[1]INFO_LOCALES!$B:$D,3,FALSE),"")</f>
        <v>III - Atacama</v>
      </c>
      <c r="L666" s="5" t="str">
        <f>IFERROR(VLOOKUP(I666,[1]INFO_LOCALES!$B:$I,8,FALSE),"")</f>
        <v>Copiapó</v>
      </c>
      <c r="M666" s="5" t="str">
        <f>IFERROR(VLOOKUP(I666,[1]INFO_LOCALES!$B:$H,7,FALSE),"")</f>
        <v>Los Carreras 2242</v>
      </c>
      <c r="N666" s="5">
        <f>IFERROR(VLOOKUP(I666,[1]INFO_LOCALES!$B:$E,4,FALSE),"")</f>
        <v>2666</v>
      </c>
      <c r="O666" s="5" t="str">
        <f>VLOOKUP(Tabla2[[#This Row],[TIENDA]],[1]INFO_LOCALES!$B:$J,9,0)</f>
        <v>CONVENIO</v>
      </c>
      <c r="P666" s="5" t="str">
        <f>IFERROR(VLOOKUP(I666,[1]INFO_LOCALES!$B:$F,5,FALSE),"")</f>
        <v>NUEVA ATACAMA</v>
      </c>
      <c r="Q666" s="5" t="s">
        <v>85</v>
      </c>
      <c r="R666" s="5" t="s">
        <v>86</v>
      </c>
      <c r="S666" s="6"/>
      <c r="T666" s="5" t="str">
        <f>UPPER(IF(Tabla2[[#This Row],[FECHA DE MUESTREO ]]=0,"",TEXT(Tabla2[[#This Row],[FECHA DE MUESTREO ]],("MMMM"))))</f>
        <v>SEPTIEMBRE</v>
      </c>
      <c r="U666" s="6">
        <v>45923</v>
      </c>
      <c r="V666" s="5" t="s">
        <v>59</v>
      </c>
      <c r="W6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66" s="7">
        <f t="shared" si="24"/>
        <v>2</v>
      </c>
      <c r="Y666" s="5">
        <v>12</v>
      </c>
      <c r="Z666" s="5">
        <v>8.1</v>
      </c>
      <c r="AA666" s="5">
        <v>1</v>
      </c>
      <c r="AB666" s="5">
        <v>18.399999999999999</v>
      </c>
      <c r="AC666" s="5">
        <v>306</v>
      </c>
      <c r="AD666" s="5">
        <v>8.5</v>
      </c>
      <c r="AE666" s="5">
        <v>7.3</v>
      </c>
      <c r="AF666" s="5">
        <v>0.2</v>
      </c>
      <c r="AG666" s="5">
        <v>64</v>
      </c>
      <c r="AI666" s="5">
        <f t="shared" si="25"/>
        <v>0</v>
      </c>
    </row>
    <row r="667" spans="1:50" x14ac:dyDescent="0.25">
      <c r="A667" s="5" t="s">
        <v>52</v>
      </c>
      <c r="B667" s="5" t="s">
        <v>128</v>
      </c>
      <c r="C667" s="5" t="s">
        <v>77</v>
      </c>
      <c r="D667" s="5">
        <v>2025</v>
      </c>
      <c r="E667" s="5" t="s">
        <v>219</v>
      </c>
      <c r="F667" s="5" t="s">
        <v>55</v>
      </c>
      <c r="G667" s="5" t="s">
        <v>61</v>
      </c>
      <c r="H667" s="5" t="s">
        <v>57</v>
      </c>
      <c r="I667" s="5">
        <v>963</v>
      </c>
      <c r="J667" s="5" t="str">
        <f>IFERROR(VLOOKUP(I667,[1]INFO_LOCALES!$B:$C,2,FALSE),"")</f>
        <v>FLORIDA</v>
      </c>
      <c r="K667" s="5" t="str">
        <f>IFERROR(VLOOKUP(Tabla2[[#This Row],[TIENDA]],[1]INFO_LOCALES!$B:$D,3,FALSE),"")</f>
        <v>IV - Coquimbo</v>
      </c>
      <c r="L667" s="5" t="str">
        <f>IFERROR(VLOOKUP(I667,[1]INFO_LOCALES!$B:$I,8,FALSE),"")</f>
        <v>La Serena</v>
      </c>
      <c r="M667" s="5" t="str">
        <f>IFERROR(VLOOKUP(I667,[1]INFO_LOCALES!$B:$H,7,FALSE),"")</f>
        <v>Avenida Las Parcelas ULS PC 304-A</v>
      </c>
      <c r="N667" s="5">
        <f>IFERROR(VLOOKUP(I667,[1]INFO_LOCALES!$B:$E,4,FALSE),"")</f>
        <v>0</v>
      </c>
      <c r="O667" s="5" t="str">
        <f>VLOOKUP(Tabla2[[#This Row],[TIENDA]],[1]INFO_LOCALES!$B:$J,9,0)</f>
        <v>SIN CONVENIO</v>
      </c>
      <c r="P667" s="5" t="str">
        <f>IFERROR(VLOOKUP(I667,[1]INFO_LOCALES!$B:$F,5,FALSE),"")</f>
        <v>S Y R INVERSIONES S. A.</v>
      </c>
      <c r="Q667" s="5" t="s">
        <v>66</v>
      </c>
      <c r="R667" s="5" t="s">
        <v>58</v>
      </c>
      <c r="S667" s="6"/>
      <c r="T667" s="5" t="str">
        <f>UPPER(IF(Tabla2[[#This Row],[FECHA DE MUESTREO ]]=0,"",TEXT(Tabla2[[#This Row],[FECHA DE MUESTREO ]],("MMMM"))))</f>
        <v>SEPTIEMBRE</v>
      </c>
      <c r="U667" s="6">
        <v>45909</v>
      </c>
      <c r="V667" s="5" t="s">
        <v>59</v>
      </c>
      <c r="W6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67" s="7">
        <f t="shared" si="24"/>
        <v>3</v>
      </c>
      <c r="Y667" s="5">
        <v>17.62</v>
      </c>
      <c r="Z667" s="5">
        <v>7.2</v>
      </c>
      <c r="AA667" s="5">
        <v>2</v>
      </c>
      <c r="AB667" s="5">
        <v>13.2</v>
      </c>
      <c r="AC667" s="5">
        <v>486</v>
      </c>
      <c r="AD667" s="5">
        <v>38.200000000000003</v>
      </c>
      <c r="AE667" s="5">
        <v>113</v>
      </c>
      <c r="AF667" s="5">
        <v>12</v>
      </c>
      <c r="AG667" s="5">
        <v>705.88</v>
      </c>
      <c r="AH667" s="5">
        <v>6.0289999999999999</v>
      </c>
      <c r="AI667" s="5">
        <f t="shared" si="25"/>
        <v>180.87</v>
      </c>
    </row>
    <row r="668" spans="1:50" x14ac:dyDescent="0.25">
      <c r="A668" s="5" t="s">
        <v>52</v>
      </c>
      <c r="B668" s="5" t="s">
        <v>103</v>
      </c>
      <c r="C668" s="5" t="s">
        <v>77</v>
      </c>
      <c r="E668" s="5" t="s">
        <v>220</v>
      </c>
      <c r="F668" s="5" t="s">
        <v>55</v>
      </c>
      <c r="G668" s="5" t="s">
        <v>56</v>
      </c>
      <c r="H668" s="5" t="s">
        <v>57</v>
      </c>
      <c r="I668" s="5">
        <v>46</v>
      </c>
      <c r="J668" s="5" t="str">
        <f>IFERROR(VLOOKUP(I668,[1]INFO_LOCALES!$B:$C,2,FALSE),"")</f>
        <v>CALAMA I</v>
      </c>
      <c r="K668" s="5" t="str">
        <f>IFERROR(VLOOKUP(Tabla2[[#This Row],[TIENDA]],[1]INFO_LOCALES!$B:$D,3,FALSE),"")</f>
        <v>II - Antofagasta</v>
      </c>
      <c r="L668" s="5" t="str">
        <f>IFERROR(VLOOKUP(I668,[1]INFO_LOCALES!$B:$I,8,FALSE),"")</f>
        <v>Calama</v>
      </c>
      <c r="M668" s="5" t="str">
        <f>IFERROR(VLOOKUP(I668,[1]INFO_LOCALES!$B:$H,7,FALSE),"")</f>
        <v>Granaderos 3180</v>
      </c>
      <c r="N668" s="5">
        <f>IFERROR(VLOOKUP(I668,[1]INFO_LOCALES!$B:$E,4,FALSE),"")</f>
        <v>3035</v>
      </c>
      <c r="O668" s="5" t="str">
        <f>VLOOKUP(Tabla2[[#This Row],[TIENDA]],[1]INFO_LOCALES!$B:$J,9,0)</f>
        <v>SIN CONVENIO</v>
      </c>
      <c r="P668" s="5" t="str">
        <f>IFERROR(VLOOKUP(I668,[1]INFO_LOCALES!$B:$F,5,FALSE),"")</f>
        <v>AGUAS DE ANTOFAGASTA S A</v>
      </c>
      <c r="Q668" s="5" t="s">
        <v>85</v>
      </c>
      <c r="R668" s="5" t="s">
        <v>86</v>
      </c>
      <c r="S668" s="6"/>
      <c r="T668" s="5" t="str">
        <f>UPPER(IF(Tabla2[[#This Row],[FECHA DE MUESTREO ]]=0,"",TEXT(Tabla2[[#This Row],[FECHA DE MUESTREO ]],("MMMM"))))</f>
        <v>SEPTIEMBRE</v>
      </c>
      <c r="U668" s="6">
        <v>45923</v>
      </c>
      <c r="V668" s="5" t="s">
        <v>59</v>
      </c>
      <c r="W6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68" s="7">
        <f t="shared" si="24"/>
        <v>3</v>
      </c>
      <c r="Y668" s="5">
        <v>7</v>
      </c>
      <c r="Z668" s="5">
        <v>7.78</v>
      </c>
      <c r="AA668" s="5">
        <v>5</v>
      </c>
      <c r="AB668" s="5">
        <v>21.38</v>
      </c>
      <c r="AC668" s="5">
        <v>909</v>
      </c>
      <c r="AD668" s="5">
        <v>11.3</v>
      </c>
      <c r="AE668" s="5">
        <v>1.3</v>
      </c>
      <c r="AF668" s="5">
        <v>0.1</v>
      </c>
      <c r="AG668" s="5">
        <v>532</v>
      </c>
      <c r="AI668" s="5">
        <f t="shared" si="25"/>
        <v>0</v>
      </c>
    </row>
    <row r="669" spans="1:50" x14ac:dyDescent="0.25">
      <c r="A669" s="5" t="s">
        <v>52</v>
      </c>
      <c r="B669" s="5" t="e">
        <v>#N/A</v>
      </c>
      <c r="C669" s="5" t="e">
        <v>#N/A</v>
      </c>
      <c r="E669" s="5" t="s">
        <v>216</v>
      </c>
      <c r="F669" s="5" t="s">
        <v>55</v>
      </c>
      <c r="G669" s="5" t="s">
        <v>61</v>
      </c>
      <c r="H669" s="5" t="s">
        <v>57</v>
      </c>
      <c r="I669" s="5">
        <v>9139</v>
      </c>
      <c r="J669" s="5" t="str">
        <f>IFERROR(VLOOKUP(I669,[1]INFO_LOCALES!$B:$C,2,FALSE),"")</f>
        <v>CD LO AGUIRRE</v>
      </c>
      <c r="K669" s="5" t="str">
        <f>IFERROR(VLOOKUP(Tabla2[[#This Row],[TIENDA]],[1]INFO_LOCALES!$B:$D,3,FALSE),"")</f>
        <v>RM - Santiago</v>
      </c>
      <c r="L669" s="5" t="str">
        <f>IFERROR(VLOOKUP(I669,[1]INFO_LOCALES!$B:$I,8,FALSE),"")</f>
        <v>Pudahuel</v>
      </c>
      <c r="M669" s="5" t="str">
        <f>IFERROR(VLOOKUP(I669,[1]INFO_LOCALES!$B:$H,7,FALSE),"")</f>
        <v>CAMINO LO AGUIRRE SUR 537</v>
      </c>
      <c r="N669" s="5">
        <f>IFERROR(VLOOKUP(I669,[1]INFO_LOCALES!$B:$E,4,FALSE),"")</f>
        <v>3552</v>
      </c>
      <c r="O669" s="5" t="str">
        <f>VLOOKUP(Tabla2[[#This Row],[TIENDA]],[1]INFO_LOCALES!$B:$J,9,0)</f>
        <v>SIN CONVENIO</v>
      </c>
      <c r="P669" s="5" t="str">
        <f>IFERROR(VLOOKUP(I669,[1]INFO_LOCALES!$B:$F,5,FALSE),"")</f>
        <v>AGUAS IZARRA</v>
      </c>
      <c r="Q669" s="5" t="s">
        <v>85</v>
      </c>
      <c r="R669" s="5" t="s">
        <v>86</v>
      </c>
      <c r="S669" s="6"/>
      <c r="T669" s="5" t="str">
        <f>UPPER(IF(Tabla2[[#This Row],[FECHA DE MUESTREO ]]=0,"",TEXT(Tabla2[[#This Row],[FECHA DE MUESTREO ]],("MMMM"))))</f>
        <v>SEPTIEMBRE</v>
      </c>
      <c r="U669" s="6">
        <v>45924</v>
      </c>
      <c r="V669" s="5" t="s">
        <v>118</v>
      </c>
      <c r="W6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69" s="7">
        <f t="shared" si="24"/>
        <v>1</v>
      </c>
      <c r="Y669" s="5">
        <v>12</v>
      </c>
      <c r="Z669" s="5">
        <v>6.58</v>
      </c>
      <c r="AA669" s="5">
        <v>1</v>
      </c>
      <c r="AB669" s="5">
        <v>19.489999999999998</v>
      </c>
      <c r="AC669" s="5">
        <v>122</v>
      </c>
      <c r="AD669" s="5">
        <v>7.3</v>
      </c>
      <c r="AE669" s="5">
        <v>75.5</v>
      </c>
      <c r="AF669" s="5">
        <v>2</v>
      </c>
      <c r="AG669" s="5">
        <v>76</v>
      </c>
      <c r="AH669" s="5">
        <v>1.63</v>
      </c>
      <c r="AI669" s="5">
        <f t="shared" si="25"/>
        <v>48.9</v>
      </c>
      <c r="AS669" s="5">
        <v>10</v>
      </c>
    </row>
    <row r="670" spans="1:50" x14ac:dyDescent="0.25">
      <c r="A670" s="5" t="s">
        <v>52</v>
      </c>
      <c r="B670" s="5" t="s">
        <v>90</v>
      </c>
      <c r="C670" s="5" t="s">
        <v>81</v>
      </c>
      <c r="E670" s="5" t="s">
        <v>216</v>
      </c>
      <c r="F670" s="5" t="s">
        <v>55</v>
      </c>
      <c r="G670" s="5" t="s">
        <v>61</v>
      </c>
      <c r="H670" s="5" t="s">
        <v>57</v>
      </c>
      <c r="I670" s="5">
        <v>780</v>
      </c>
      <c r="J670" s="5" t="str">
        <f>IFERROR(VLOOKUP(I670,[1]INFO_LOCALES!$B:$C,2,FALSE),"")</f>
        <v>VICTORIA</v>
      </c>
      <c r="K670" s="5" t="str">
        <f>IFERROR(VLOOKUP(Tabla2[[#This Row],[TIENDA]],[1]INFO_LOCALES!$B:$D,3,FALSE),"")</f>
        <v>X - Los Lagos</v>
      </c>
      <c r="L670" s="5" t="str">
        <f>IFERROR(VLOOKUP(I670,[1]INFO_LOCALES!$B:$I,8,FALSE),"")</f>
        <v>Osorno</v>
      </c>
      <c r="M670" s="5" t="str">
        <f>IFERROR(VLOOKUP(I670,[1]INFO_LOCALES!$B:$H,7,FALSE),"")</f>
        <v>Victoria 367 Rahue Bajo</v>
      </c>
      <c r="N670" s="5">
        <f>IFERROR(VLOOKUP(I670,[1]INFO_LOCALES!$B:$E,4,FALSE),"")</f>
        <v>1362</v>
      </c>
      <c r="O670" s="5" t="str">
        <f>VLOOKUP(Tabla2[[#This Row],[TIENDA]],[1]INFO_LOCALES!$B:$J,9,0)</f>
        <v>SIN CONVENIO</v>
      </c>
      <c r="P670" s="5" t="str">
        <f>IFERROR(VLOOKUP(I670,[1]INFO_LOCALES!$B:$F,5,FALSE),"")</f>
        <v>SURALIS</v>
      </c>
      <c r="Q670" s="5" t="s">
        <v>85</v>
      </c>
      <c r="R670" s="5" t="s">
        <v>86</v>
      </c>
      <c r="S670" s="6"/>
      <c r="T670" s="5" t="str">
        <f>UPPER(IF(Tabla2[[#This Row],[FECHA DE MUESTREO ]]=0,"",TEXT(Tabla2[[#This Row],[FECHA DE MUESTREO ]],("MMMM"))))</f>
        <v>SEPTIEMBRE</v>
      </c>
      <c r="U670" s="6">
        <v>45923</v>
      </c>
      <c r="V670" s="5" t="s">
        <v>59</v>
      </c>
      <c r="W6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70" s="7">
        <f t="shared" si="24"/>
        <v>1</v>
      </c>
      <c r="Y670" s="5">
        <v>6</v>
      </c>
      <c r="Z670" s="5">
        <v>7.26</v>
      </c>
      <c r="AA670" s="5">
        <v>3</v>
      </c>
      <c r="AB670" s="5">
        <v>11.78</v>
      </c>
      <c r="AC670" s="5">
        <v>26</v>
      </c>
      <c r="AD670" s="5">
        <v>5.2</v>
      </c>
      <c r="AE670" s="5">
        <v>2.9</v>
      </c>
      <c r="AF670" s="5">
        <v>0.5</v>
      </c>
      <c r="AG670" s="5">
        <v>40</v>
      </c>
      <c r="AH670" s="5">
        <v>2</v>
      </c>
      <c r="AI670" s="5">
        <f t="shared" si="25"/>
        <v>60</v>
      </c>
    </row>
    <row r="671" spans="1:50" x14ac:dyDescent="0.25">
      <c r="A671" s="5" t="s">
        <v>52</v>
      </c>
      <c r="B671" s="5" t="s">
        <v>103</v>
      </c>
      <c r="C671" s="5" t="s">
        <v>77</v>
      </c>
      <c r="E671" s="5" t="s">
        <v>216</v>
      </c>
      <c r="F671" s="5" t="s">
        <v>55</v>
      </c>
      <c r="G671" s="5" t="s">
        <v>61</v>
      </c>
      <c r="H671" s="5" t="s">
        <v>57</v>
      </c>
      <c r="I671" s="5">
        <v>111</v>
      </c>
      <c r="J671" s="5" t="str">
        <f>IFERROR(VLOOKUP(I671,[1]INFO_LOCALES!$B:$C,2,FALSE),"")</f>
        <v>CALAMA II</v>
      </c>
      <c r="K671" s="5" t="str">
        <f>IFERROR(VLOOKUP(Tabla2[[#This Row],[TIENDA]],[1]INFO_LOCALES!$B:$D,3,FALSE),"")</f>
        <v>II - Antofagasta</v>
      </c>
      <c r="L671" s="5" t="str">
        <f>IFERROR(VLOOKUP(I671,[1]INFO_LOCALES!$B:$I,8,FALSE),"")</f>
        <v>Calama</v>
      </c>
      <c r="M671" s="5" t="str">
        <f>IFERROR(VLOOKUP(I671,[1]INFO_LOCALES!$B:$H,7,FALSE),"")</f>
        <v>Aconcagua 2588</v>
      </c>
      <c r="N671" s="5">
        <f>IFERROR(VLOOKUP(I671,[1]INFO_LOCALES!$B:$E,4,FALSE),"")</f>
        <v>2966</v>
      </c>
      <c r="O671" s="5" t="str">
        <f>VLOOKUP(Tabla2[[#This Row],[TIENDA]],[1]INFO_LOCALES!$B:$J,9,0)</f>
        <v>SIN CONVENIO</v>
      </c>
      <c r="P671" s="5" t="str">
        <f>IFERROR(VLOOKUP(I671,[1]INFO_LOCALES!$B:$F,5,FALSE),"")</f>
        <v>AGUAS DE ANTOFAGASTA S A</v>
      </c>
      <c r="Q671" s="5" t="s">
        <v>85</v>
      </c>
      <c r="R671" s="5" t="s">
        <v>86</v>
      </c>
      <c r="S671" s="6"/>
      <c r="T671" s="5" t="str">
        <f>UPPER(IF(Tabla2[[#This Row],[FECHA DE MUESTREO ]]=0,"",TEXT(Tabla2[[#This Row],[FECHA DE MUESTREO ]],("MMMM"))))</f>
        <v>SEPTIEMBRE</v>
      </c>
      <c r="U671" s="6">
        <v>45924</v>
      </c>
      <c r="V671" s="5" t="s">
        <v>118</v>
      </c>
      <c r="W6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71" s="7">
        <f t="shared" si="24"/>
        <v>1</v>
      </c>
      <c r="Y671" s="5">
        <v>43</v>
      </c>
      <c r="Z671" s="5">
        <v>7.89</v>
      </c>
      <c r="AA671" s="5">
        <v>1</v>
      </c>
      <c r="AB671" s="5">
        <v>20.74</v>
      </c>
      <c r="AC671" s="5">
        <v>43</v>
      </c>
      <c r="AD671" s="5">
        <v>7</v>
      </c>
      <c r="AE671" s="5">
        <v>15</v>
      </c>
      <c r="AF671" s="5">
        <v>0.1</v>
      </c>
      <c r="AG671" s="5">
        <v>136</v>
      </c>
      <c r="AH671" s="5">
        <v>1.08</v>
      </c>
      <c r="AI671" s="5">
        <f t="shared" si="25"/>
        <v>32.400000000000006</v>
      </c>
      <c r="AJ671" s="5">
        <v>0.08</v>
      </c>
      <c r="AK671" s="5">
        <v>7.0000000000000001E-3</v>
      </c>
      <c r="AL671" s="5">
        <v>3.1440000000000001</v>
      </c>
      <c r="AM671" s="5">
        <v>2.0000000000000002E-5</v>
      </c>
      <c r="AN671" s="5">
        <v>0.02</v>
      </c>
      <c r="AO671" s="5">
        <v>4.7100000000000003E-2</v>
      </c>
      <c r="AP671" s="5">
        <v>8.8700000000000001E-2</v>
      </c>
      <c r="AQ671" s="5">
        <v>0.1331</v>
      </c>
      <c r="AR671" s="5">
        <v>0.01</v>
      </c>
      <c r="AS671" s="5">
        <v>2</v>
      </c>
      <c r="AT671" s="5">
        <v>0.1</v>
      </c>
      <c r="AU671" s="5">
        <v>2.0000000000000001E-4</v>
      </c>
      <c r="AV671" s="5">
        <v>0.05</v>
      </c>
      <c r="AW671" s="5">
        <v>0.03</v>
      </c>
      <c r="AX671" s="5">
        <v>109</v>
      </c>
    </row>
    <row r="672" spans="1:50" x14ac:dyDescent="0.25">
      <c r="A672" s="5" t="s">
        <v>52</v>
      </c>
      <c r="B672" s="5" t="s">
        <v>74</v>
      </c>
      <c r="C672" s="5" t="s">
        <v>74</v>
      </c>
      <c r="E672" s="5" t="s">
        <v>221</v>
      </c>
      <c r="F672" s="5" t="s">
        <v>55</v>
      </c>
      <c r="G672" s="5" t="s">
        <v>61</v>
      </c>
      <c r="H672" s="5" t="s">
        <v>57</v>
      </c>
      <c r="I672" s="5">
        <v>458</v>
      </c>
      <c r="J672" s="5" t="str">
        <f>IFERROR(VLOOKUP(I672,[1]INFO_LOCALES!$B:$C,2,FALSE),"")</f>
        <v>ESPAÑA AUSTRAL</v>
      </c>
      <c r="K672" s="5" t="str">
        <f>IFERROR(VLOOKUP(Tabla2[[#This Row],[TIENDA]],[1]INFO_LOCALES!$B:$D,3,FALSE),"")</f>
        <v>XII - Magallanes</v>
      </c>
      <c r="L672" s="5" t="str">
        <f>IFERROR(VLOOKUP(I672,[1]INFO_LOCALES!$B:$I,8,FALSE),"")</f>
        <v>Punta Arenas</v>
      </c>
      <c r="M672" s="5" t="str">
        <f>IFERROR(VLOOKUP(I672,[1]INFO_LOCALES!$B:$H,7,FALSE),"")</f>
        <v>Av. España 01375</v>
      </c>
      <c r="N672" s="5">
        <f>IFERROR(VLOOKUP(I672,[1]INFO_LOCALES!$B:$E,4,FALSE),"")</f>
        <v>1306</v>
      </c>
      <c r="O672" s="5" t="str">
        <f>VLOOKUP(Tabla2[[#This Row],[TIENDA]],[1]INFO_LOCALES!$B:$J,9,0)</f>
        <v>SIN CONVENIO</v>
      </c>
      <c r="P672" s="5" t="str">
        <f>IFERROR(VLOOKUP(I672,[1]INFO_LOCALES!$B:$F,5,FALSE),"")</f>
        <v>AGUAS MAGALLANES S.A.</v>
      </c>
      <c r="Q672" s="5" t="s">
        <v>85</v>
      </c>
      <c r="R672" s="5" t="s">
        <v>86</v>
      </c>
      <c r="S672" s="6"/>
      <c r="T672" s="5" t="str">
        <f>UPPER(IF(Tabla2[[#This Row],[FECHA DE MUESTREO ]]=0,"",TEXT(Tabla2[[#This Row],[FECHA DE MUESTREO ]],("MMMM"))))</f>
        <v>SEPTIEMBRE</v>
      </c>
      <c r="U672" s="6">
        <v>45926</v>
      </c>
      <c r="V672" s="5" t="s">
        <v>59</v>
      </c>
      <c r="W6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72" s="7">
        <f t="shared" si="24"/>
        <v>1</v>
      </c>
      <c r="Y672" s="5">
        <v>2</v>
      </c>
      <c r="Z672" s="5">
        <v>7.14</v>
      </c>
      <c r="AA672" s="5">
        <v>2</v>
      </c>
      <c r="AB672" s="5">
        <v>9.5</v>
      </c>
      <c r="AC672" s="5">
        <v>259</v>
      </c>
      <c r="AD672" s="5">
        <v>10.6</v>
      </c>
      <c r="AE672" s="5">
        <v>7.1</v>
      </c>
      <c r="AF672" s="5">
        <v>0.5</v>
      </c>
      <c r="AG672" s="5">
        <v>58</v>
      </c>
      <c r="AH672" s="5">
        <v>1.22</v>
      </c>
      <c r="AI672" s="5">
        <f t="shared" si="25"/>
        <v>36.6</v>
      </c>
    </row>
    <row r="673" spans="1:51" x14ac:dyDescent="0.25">
      <c r="A673" s="5" t="s">
        <v>52</v>
      </c>
      <c r="B673" s="5" t="s">
        <v>74</v>
      </c>
      <c r="C673" s="5" t="s">
        <v>74</v>
      </c>
      <c r="E673" s="5" t="s">
        <v>222</v>
      </c>
      <c r="F673" s="5" t="s">
        <v>55</v>
      </c>
      <c r="G673" s="5" t="s">
        <v>61</v>
      </c>
      <c r="H673" s="5" t="s">
        <v>57</v>
      </c>
      <c r="I673" s="5">
        <v>461</v>
      </c>
      <c r="J673" s="5" t="str">
        <f>IFERROR(VLOOKUP(I673,[1]INFO_LOCALES!$B:$C,2,FALSE),"")</f>
        <v>ZENTENO AUSTRAL</v>
      </c>
      <c r="K673" s="5" t="str">
        <f>IFERROR(VLOOKUP(Tabla2[[#This Row],[TIENDA]],[1]INFO_LOCALES!$B:$D,3,FALSE),"")</f>
        <v>XII - Magallanes</v>
      </c>
      <c r="L673" s="5" t="str">
        <f>IFERROR(VLOOKUP(I673,[1]INFO_LOCALES!$B:$I,8,FALSE),"")</f>
        <v>Punta Arenas</v>
      </c>
      <c r="M673" s="5" t="str">
        <f>IFERROR(VLOOKUP(I673,[1]INFO_LOCALES!$B:$H,7,FALSE),"")</f>
        <v>Capitan Guillermo 05</v>
      </c>
      <c r="N673" s="5">
        <f>IFERROR(VLOOKUP(I673,[1]INFO_LOCALES!$B:$E,4,FALSE),"")</f>
        <v>3736</v>
      </c>
      <c r="O673" s="5" t="str">
        <f>VLOOKUP(Tabla2[[#This Row],[TIENDA]],[1]INFO_LOCALES!$B:$J,9,0)</f>
        <v>SIN CONVENIO</v>
      </c>
      <c r="P673" s="5" t="str">
        <f>IFERROR(VLOOKUP(I673,[1]INFO_LOCALES!$B:$F,5,FALSE),"")</f>
        <v>AGUAS MAGALLANES S.A.</v>
      </c>
      <c r="Q673" s="5" t="s">
        <v>85</v>
      </c>
      <c r="R673" s="5" t="s">
        <v>86</v>
      </c>
      <c r="S673" s="6"/>
      <c r="T673" s="5" t="str">
        <f>UPPER(IF(Tabla2[[#This Row],[FECHA DE MUESTREO ]]=0,"",TEXT(Tabla2[[#This Row],[FECHA DE MUESTREO ]],("MMMM"))))</f>
        <v>SEPTIEMBRE</v>
      </c>
      <c r="U673" s="6">
        <v>45929</v>
      </c>
      <c r="V673" s="5" t="s">
        <v>59</v>
      </c>
      <c r="W6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73" s="7">
        <f t="shared" si="24"/>
        <v>2</v>
      </c>
      <c r="Y673" s="5">
        <v>9</v>
      </c>
      <c r="Z673" s="5">
        <v>7</v>
      </c>
      <c r="AA673" s="5">
        <v>11</v>
      </c>
      <c r="AB673" s="5">
        <v>12.2</v>
      </c>
      <c r="AC673" s="5">
        <v>272</v>
      </c>
      <c r="AD673" s="5">
        <v>8.4</v>
      </c>
      <c r="AE673" s="5">
        <v>13.88</v>
      </c>
      <c r="AF673" s="5">
        <v>0.5</v>
      </c>
      <c r="AG673" s="5">
        <v>118</v>
      </c>
      <c r="AH673" s="5">
        <v>0.59</v>
      </c>
      <c r="AI673" s="5">
        <f t="shared" si="25"/>
        <v>17.7</v>
      </c>
    </row>
    <row r="674" spans="1:51" x14ac:dyDescent="0.25">
      <c r="A674" s="5" t="s">
        <v>52</v>
      </c>
      <c r="B674" s="5" t="s">
        <v>74</v>
      </c>
      <c r="C674" s="5" t="s">
        <v>74</v>
      </c>
      <c r="E674" s="5" t="s">
        <v>223</v>
      </c>
      <c r="F674" s="5" t="s">
        <v>55</v>
      </c>
      <c r="G674" s="5" t="s">
        <v>61</v>
      </c>
      <c r="H674" s="5" t="s">
        <v>57</v>
      </c>
      <c r="I674" s="5">
        <v>463</v>
      </c>
      <c r="J674" s="5" t="str">
        <f>IFERROR(VLOOKUP(I674,[1]INFO_LOCALES!$B:$C,2,FALSE),"")</f>
        <v>BORIES AUSTRAL</v>
      </c>
      <c r="K674" s="5" t="str">
        <f>IFERROR(VLOOKUP(Tabla2[[#This Row],[TIENDA]],[1]INFO_LOCALES!$B:$D,3,FALSE),"")</f>
        <v>XII - Magallanes</v>
      </c>
      <c r="L674" s="5" t="str">
        <f>IFERROR(VLOOKUP(I674,[1]INFO_LOCALES!$B:$I,8,FALSE),"")</f>
        <v>Punta Arenas</v>
      </c>
      <c r="M674" s="5" t="str">
        <f>IFERROR(VLOOKUP(I674,[1]INFO_LOCALES!$B:$H,7,FALSE),"")</f>
        <v>Gobernador Bories 647</v>
      </c>
      <c r="N674" s="5">
        <f>IFERROR(VLOOKUP(I674,[1]INFO_LOCALES!$B:$E,4,FALSE),"")</f>
        <v>3739</v>
      </c>
      <c r="O674" s="5" t="str">
        <f>VLOOKUP(Tabla2[[#This Row],[TIENDA]],[1]INFO_LOCALES!$B:$J,9,0)</f>
        <v>SIN CONVENIO</v>
      </c>
      <c r="P674" s="5" t="str">
        <f>IFERROR(VLOOKUP(I674,[1]INFO_LOCALES!$B:$F,5,FALSE),"")</f>
        <v>AGUAS MAGALLANES S.A.</v>
      </c>
      <c r="Q674" s="5" t="s">
        <v>85</v>
      </c>
      <c r="R674" s="5" t="s">
        <v>86</v>
      </c>
      <c r="S674" s="6"/>
      <c r="T674" s="5" t="str">
        <f>UPPER(IF(Tabla2[[#This Row],[FECHA DE MUESTREO ]]=0,"",TEXT(Tabla2[[#This Row],[FECHA DE MUESTREO ]],("MMMM"))))</f>
        <v>SEPTIEMBRE</v>
      </c>
      <c r="U674" s="6">
        <v>45926</v>
      </c>
      <c r="V674" s="5" t="s">
        <v>59</v>
      </c>
      <c r="W6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74" s="7">
        <f t="shared" si="24"/>
        <v>2</v>
      </c>
      <c r="Y674" s="5">
        <v>6</v>
      </c>
      <c r="Z674" s="5">
        <v>6.51</v>
      </c>
      <c r="AA674" s="5">
        <v>2</v>
      </c>
      <c r="AB674" s="5">
        <v>10.199999999999999</v>
      </c>
      <c r="AC674" s="5">
        <v>429</v>
      </c>
      <c r="AD674" s="5">
        <v>11.3</v>
      </c>
      <c r="AE674" s="5">
        <v>9.98</v>
      </c>
      <c r="AF674" s="5">
        <v>0.5</v>
      </c>
      <c r="AG674" s="5">
        <v>64</v>
      </c>
      <c r="AH674" s="5">
        <v>0.14000000000000001</v>
      </c>
      <c r="AI674" s="5">
        <f t="shared" si="25"/>
        <v>4.2</v>
      </c>
    </row>
    <row r="675" spans="1:51" x14ac:dyDescent="0.25">
      <c r="A675" s="5" t="s">
        <v>52</v>
      </c>
      <c r="B675" s="5" t="s">
        <v>74</v>
      </c>
      <c r="C675" s="5" t="s">
        <v>74</v>
      </c>
      <c r="E675" s="5" t="s">
        <v>221</v>
      </c>
      <c r="F675" s="5" t="s">
        <v>55</v>
      </c>
      <c r="G675" s="5" t="s">
        <v>61</v>
      </c>
      <c r="H675" s="5" t="s">
        <v>57</v>
      </c>
      <c r="I675" s="5">
        <v>465</v>
      </c>
      <c r="J675" s="5" t="str">
        <f>IFERROR(VLOOKUP(I675,[1]INFO_LOCALES!$B:$C,2,FALSE),"")</f>
        <v>PUERTO NATALES</v>
      </c>
      <c r="K675" s="5" t="str">
        <f>IFERROR(VLOOKUP(Tabla2[[#This Row],[TIENDA]],[1]INFO_LOCALES!$B:$D,3,FALSE),"")</f>
        <v>XII - Magallanes</v>
      </c>
      <c r="L675" s="5" t="str">
        <f>IFERROR(VLOOKUP(I675,[1]INFO_LOCALES!$B:$I,8,FALSE),"")</f>
        <v>Puerto Natales</v>
      </c>
      <c r="M675" s="5" t="str">
        <f>IFERROR(VLOOKUP(I675,[1]INFO_LOCALES!$B:$H,7,FALSE),"")</f>
        <v>Bulnes 742</v>
      </c>
      <c r="N675" s="5">
        <f>IFERROR(VLOOKUP(I675,[1]INFO_LOCALES!$B:$E,4,FALSE),"")</f>
        <v>1133</v>
      </c>
      <c r="O675" s="5" t="str">
        <f>VLOOKUP(Tabla2[[#This Row],[TIENDA]],[1]INFO_LOCALES!$B:$J,9,0)</f>
        <v>SIN CONVENIO</v>
      </c>
      <c r="P675" s="5" t="str">
        <f>IFERROR(VLOOKUP(I675,[1]INFO_LOCALES!$B:$F,5,FALSE),"")</f>
        <v>AGUAS MAGALLANES S.A.</v>
      </c>
      <c r="Q675" s="5" t="s">
        <v>85</v>
      </c>
      <c r="R675" s="5" t="s">
        <v>86</v>
      </c>
      <c r="S675" s="6"/>
      <c r="T675" s="5" t="str">
        <f>UPPER(IF(Tabla2[[#This Row],[FECHA DE MUESTREO ]]=0,"",TEXT(Tabla2[[#This Row],[FECHA DE MUESTREO ]],("MMMM"))))</f>
        <v>SEPTIEMBRE</v>
      </c>
      <c r="U675" s="6">
        <v>45928</v>
      </c>
      <c r="V675" s="5" t="s">
        <v>59</v>
      </c>
      <c r="W6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75" s="7">
        <f t="shared" si="24"/>
        <v>1</v>
      </c>
      <c r="AH675" s="5">
        <v>4.3899999999999997</v>
      </c>
      <c r="AI675" s="5">
        <f t="shared" si="25"/>
        <v>131.69999999999999</v>
      </c>
    </row>
    <row r="676" spans="1:51" x14ac:dyDescent="0.25">
      <c r="A676" s="5" t="s">
        <v>52</v>
      </c>
      <c r="B676" s="5" t="s">
        <v>76</v>
      </c>
      <c r="C676" s="5" t="s">
        <v>77</v>
      </c>
      <c r="E676" s="5" t="s">
        <v>224</v>
      </c>
      <c r="F676" s="5" t="s">
        <v>55</v>
      </c>
      <c r="G676" s="5" t="s">
        <v>61</v>
      </c>
      <c r="H676" s="5" t="s">
        <v>57</v>
      </c>
      <c r="I676" s="5">
        <v>105</v>
      </c>
      <c r="J676" s="5" t="str">
        <f>IFERROR(VLOOKUP(I676,[1]INFO_LOCALES!$B:$C,2,FALSE),"")</f>
        <v>IQUIQUE CENTRO</v>
      </c>
      <c r="K676" s="5" t="str">
        <f>IFERROR(VLOOKUP(Tabla2[[#This Row],[TIENDA]],[1]INFO_LOCALES!$B:$D,3,FALSE),"")</f>
        <v>I - Tarapacá</v>
      </c>
      <c r="L676" s="5" t="str">
        <f>IFERROR(VLOOKUP(I676,[1]INFO_LOCALES!$B:$I,8,FALSE),"")</f>
        <v>Iquique</v>
      </c>
      <c r="M676" s="5" t="str">
        <f>IFERROR(VLOOKUP(I676,[1]INFO_LOCALES!$B:$H,7,FALSE),"")</f>
        <v>Tarapaca 579</v>
      </c>
      <c r="N676" s="5">
        <f>IFERROR(VLOOKUP(I676,[1]INFO_LOCALES!$B:$E,4,FALSE),"")</f>
        <v>4051</v>
      </c>
      <c r="O676" s="5" t="str">
        <f>VLOOKUP(Tabla2[[#This Row],[TIENDA]],[1]INFO_LOCALES!$B:$J,9,0)</f>
        <v>TERMINADO</v>
      </c>
      <c r="P676" s="5" t="str">
        <f>IFERROR(VLOOKUP(I676,[1]INFO_LOCALES!$B:$F,5,FALSE),"")</f>
        <v>AGUAS DEL ALTIPLANO S.A.</v>
      </c>
      <c r="Q676" s="5" t="s">
        <v>85</v>
      </c>
      <c r="R676" s="5" t="s">
        <v>86</v>
      </c>
      <c r="S676" s="6"/>
      <c r="T676" s="5" t="str">
        <f>UPPER(IF(Tabla2[[#This Row],[FECHA DE MUESTREO ]]=0,"",TEXT(Tabla2[[#This Row],[FECHA DE MUESTREO ]],("MMMM"))))</f>
        <v>SEPTIEMBRE</v>
      </c>
      <c r="U676" s="6">
        <v>45924</v>
      </c>
      <c r="V676" s="5" t="s">
        <v>59</v>
      </c>
      <c r="W6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76" s="7">
        <f t="shared" si="24"/>
        <v>1</v>
      </c>
      <c r="Y676" s="5">
        <v>11</v>
      </c>
      <c r="Z676" s="5">
        <v>6.78</v>
      </c>
      <c r="AA676" s="5">
        <v>1</v>
      </c>
      <c r="AB676" s="5">
        <v>23.54</v>
      </c>
      <c r="AC676" s="5">
        <v>225</v>
      </c>
      <c r="AD676" s="5">
        <v>7.2</v>
      </c>
      <c r="AE676" s="5">
        <v>30.6</v>
      </c>
      <c r="AF676" s="5">
        <v>0.3</v>
      </c>
      <c r="AG676" s="5">
        <v>84</v>
      </c>
      <c r="AH676" s="5">
        <v>5.92</v>
      </c>
      <c r="AI676" s="5">
        <f t="shared" si="25"/>
        <v>177.6</v>
      </c>
    </row>
    <row r="677" spans="1:51" x14ac:dyDescent="0.25">
      <c r="A677" s="5" t="s">
        <v>210</v>
      </c>
      <c r="B677" s="5" t="e">
        <v>#N/A</v>
      </c>
      <c r="C677" s="5" t="e">
        <v>#N/A</v>
      </c>
      <c r="F677" s="5" t="s">
        <v>55</v>
      </c>
      <c r="G677" s="5" t="s">
        <v>65</v>
      </c>
      <c r="H677" s="5" t="s">
        <v>57</v>
      </c>
      <c r="I677" s="5">
        <v>9051</v>
      </c>
      <c r="J677" s="5" t="str">
        <f>IFERROR(VLOOKUP(I677,[1]INFO_LOCALES!$B:$C,2,FALSE),"")</f>
        <v>CD NUEVO COQUIMBO</v>
      </c>
      <c r="K677" s="5" t="str">
        <f>IFERROR(VLOOKUP(Tabla2[[#This Row],[TIENDA]],[1]INFO_LOCALES!$B:$D,3,FALSE),"")</f>
        <v>IV - Coquimbo</v>
      </c>
      <c r="L677" s="5" t="str">
        <f>IFERROR(VLOOKUP(I677,[1]INFO_LOCALES!$B:$I,8,FALSE),"")</f>
        <v>Coquimbo</v>
      </c>
      <c r="M677" s="5" t="str">
        <f>IFERROR(VLOOKUP(I677,[1]INFO_LOCALES!$B:$H,7,FALSE),"")</f>
        <v>PAN DE AZUCAR S/N</v>
      </c>
      <c r="N677" s="5">
        <f>IFERROR(VLOOKUP(I677,[1]INFO_LOCALES!$B:$E,4,FALSE),"")</f>
        <v>0</v>
      </c>
      <c r="O677" s="5" t="str">
        <f>VLOOKUP(Tabla2[[#This Row],[TIENDA]],[1]INFO_LOCALES!$B:$J,9,0)</f>
        <v>SIN CONVENIO</v>
      </c>
      <c r="P677" s="5" t="str">
        <f>IFERROR(VLOOKUP(I677,[1]INFO_LOCALES!$B:$F,5,FALSE),"")</f>
        <v>RENTAS COQUIMBO SPA</v>
      </c>
      <c r="Q677" s="5" t="s">
        <v>85</v>
      </c>
      <c r="R677" s="5" t="s">
        <v>86</v>
      </c>
      <c r="S677" s="6"/>
      <c r="T677" s="5" t="str">
        <f>UPPER(IF(Tabla2[[#This Row],[FECHA DE MUESTREO ]]=0,"",TEXT(Tabla2[[#This Row],[FECHA DE MUESTREO ]],("MMMM"))))</f>
        <v>SEPTIEMBRE</v>
      </c>
      <c r="U677" s="6">
        <v>45929</v>
      </c>
      <c r="V677" s="5" t="s">
        <v>118</v>
      </c>
      <c r="W6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77" s="7">
        <f t="shared" ref="X677:X740" si="26">IF(W677="CUMPLE",1,IF(W677="CUMPLE CON TOLERANCIA",2,IF(W677="NO CUMPLE",3)))</f>
        <v>1</v>
      </c>
      <c r="Y677" s="5">
        <v>2</v>
      </c>
      <c r="Z677" s="5">
        <v>7.6</v>
      </c>
      <c r="AA677" s="5">
        <v>2</v>
      </c>
      <c r="AB677" s="5">
        <v>17.100000000000001</v>
      </c>
      <c r="AC677" s="5">
        <v>24</v>
      </c>
      <c r="AD677" s="5">
        <v>2.5</v>
      </c>
      <c r="AE677" s="5">
        <v>12.6</v>
      </c>
      <c r="AG677" s="5">
        <v>17</v>
      </c>
      <c r="AI677" s="5">
        <f t="shared" si="25"/>
        <v>0</v>
      </c>
      <c r="AJ677" s="5">
        <v>0.1</v>
      </c>
      <c r="AK677" s="5">
        <v>2E-3</v>
      </c>
      <c r="AL677" s="5">
        <v>0.30669999999999997</v>
      </c>
      <c r="AM677" s="5">
        <v>0.01</v>
      </c>
      <c r="AN677" s="5">
        <v>0.1</v>
      </c>
      <c r="AO677" s="5">
        <v>8.5999999999999993E-2</v>
      </c>
      <c r="AP677" s="5">
        <v>0.05</v>
      </c>
      <c r="AR677" s="5">
        <v>0.05</v>
      </c>
      <c r="AS677" s="5">
        <v>5</v>
      </c>
      <c r="AT677" s="5">
        <v>3.5799999999999998E-2</v>
      </c>
      <c r="AU677" s="5">
        <v>1E-3</v>
      </c>
      <c r="AV677" s="5">
        <v>0.05</v>
      </c>
      <c r="AW677" s="5">
        <v>0.01</v>
      </c>
      <c r="AX677" s="5">
        <v>193</v>
      </c>
      <c r="AY677" s="5">
        <v>0.5</v>
      </c>
    </row>
    <row r="678" spans="1:51" x14ac:dyDescent="0.25">
      <c r="A678" s="5" t="s">
        <v>52</v>
      </c>
      <c r="B678" s="5" t="s">
        <v>149</v>
      </c>
      <c r="C678" s="5" t="s">
        <v>81</v>
      </c>
      <c r="E678" s="5" t="s">
        <v>221</v>
      </c>
      <c r="F678" s="5" t="s">
        <v>55</v>
      </c>
      <c r="G678" s="5" t="s">
        <v>61</v>
      </c>
      <c r="H678" s="5" t="s">
        <v>57</v>
      </c>
      <c r="I678" s="5">
        <v>771</v>
      </c>
      <c r="J678" s="5" t="str">
        <f>IFERROR(VLOOKUP(I678,[1]INFO_LOCALES!$B:$C,2,FALSE),"")</f>
        <v>MIRASOL</v>
      </c>
      <c r="K678" s="5" t="str">
        <f>IFERROR(VLOOKUP(Tabla2[[#This Row],[TIENDA]],[1]INFO_LOCALES!$B:$D,3,FALSE),"")</f>
        <v>X - Los Lagos</v>
      </c>
      <c r="L678" s="5" t="str">
        <f>IFERROR(VLOOKUP(I678,[1]INFO_LOCALES!$B:$I,8,FALSE),"")</f>
        <v>Puerto Montt</v>
      </c>
      <c r="M678" s="5" t="str">
        <f>IFERROR(VLOOKUP(I678,[1]INFO_LOCALES!$B:$H,7,FALSE),"")</f>
        <v>Av. La Cruz 2006</v>
      </c>
      <c r="N678" s="5">
        <f>IFERROR(VLOOKUP(I678,[1]INFO_LOCALES!$B:$E,4,FALSE),"")</f>
        <v>3723</v>
      </c>
      <c r="O678" s="5" t="str">
        <f>VLOOKUP(Tabla2[[#This Row],[TIENDA]],[1]INFO_LOCALES!$B:$J,9,0)</f>
        <v>SIN CONVENIO</v>
      </c>
      <c r="P678" s="5" t="str">
        <f>IFERROR(VLOOKUP(I678,[1]INFO_LOCALES!$B:$F,5,FALSE),"")</f>
        <v>SURALIS</v>
      </c>
      <c r="Q678" s="5" t="s">
        <v>85</v>
      </c>
      <c r="R678" s="5" t="s">
        <v>86</v>
      </c>
      <c r="S678" s="6"/>
      <c r="T678" s="5" t="str">
        <f>UPPER(IF(Tabla2[[#This Row],[FECHA DE MUESTREO ]]=0,"",TEXT(Tabla2[[#This Row],[FECHA DE MUESTREO ]],("MMMM"))))</f>
        <v>SEPTIEMBRE</v>
      </c>
      <c r="U678" s="6">
        <v>45930</v>
      </c>
      <c r="V678" s="5" t="s">
        <v>59</v>
      </c>
      <c r="W6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78" s="7">
        <f t="shared" si="26"/>
        <v>1</v>
      </c>
      <c r="Y678" s="5">
        <v>22</v>
      </c>
      <c r="Z678" s="5">
        <v>6.8</v>
      </c>
      <c r="AA678" s="5">
        <v>3</v>
      </c>
      <c r="AB678" s="5">
        <v>14.06</v>
      </c>
      <c r="AC678" s="5">
        <v>61</v>
      </c>
      <c r="AD678" s="5">
        <v>8.6999999999999993</v>
      </c>
      <c r="AE678" s="5">
        <v>18.100000000000001</v>
      </c>
      <c r="AF678" s="5">
        <v>17</v>
      </c>
      <c r="AG678" s="5">
        <v>116</v>
      </c>
      <c r="AH678" s="5">
        <v>5</v>
      </c>
      <c r="AI678" s="5">
        <f t="shared" si="25"/>
        <v>150</v>
      </c>
    </row>
    <row r="679" spans="1:51" x14ac:dyDescent="0.25">
      <c r="A679" s="5" t="s">
        <v>52</v>
      </c>
      <c r="B679" s="5" t="s">
        <v>93</v>
      </c>
      <c r="C679" s="5" t="s">
        <v>81</v>
      </c>
      <c r="E679" s="5" t="s">
        <v>221</v>
      </c>
      <c r="F679" s="5" t="s">
        <v>55</v>
      </c>
      <c r="G679" s="5" t="s">
        <v>61</v>
      </c>
      <c r="H679" s="5" t="s">
        <v>57</v>
      </c>
      <c r="I679" s="5">
        <v>576</v>
      </c>
      <c r="J679" s="5" t="str">
        <f>IFERROR(VLOOKUP(I679,[1]INFO_LOCALES!$B:$C,2,FALSE),"")</f>
        <v>CASTRO I</v>
      </c>
      <c r="K679" s="5" t="str">
        <f>IFERROR(VLOOKUP(Tabla2[[#This Row],[TIENDA]],[1]INFO_LOCALES!$B:$D,3,FALSE),"")</f>
        <v>X - Los Lagos</v>
      </c>
      <c r="L679" s="5" t="str">
        <f>IFERROR(VLOOKUP(I679,[1]INFO_LOCALES!$B:$I,8,FALSE),"")</f>
        <v>Castro</v>
      </c>
      <c r="M679" s="5" t="str">
        <f>IFERROR(VLOOKUP(I679,[1]INFO_LOCALES!$B:$H,7,FALSE),"")</f>
        <v>O'Higgins 711</v>
      </c>
      <c r="N679" s="5">
        <f>IFERROR(VLOOKUP(I679,[1]INFO_LOCALES!$B:$E,4,FALSE),"")</f>
        <v>3875</v>
      </c>
      <c r="O679" s="5" t="str">
        <f>VLOOKUP(Tabla2[[#This Row],[TIENDA]],[1]INFO_LOCALES!$B:$J,9,0)</f>
        <v>SIN CONVENIO</v>
      </c>
      <c r="P679" s="5" t="str">
        <f>IFERROR(VLOOKUP(I679,[1]INFO_LOCALES!$B:$F,5,FALSE),"")</f>
        <v>SURALIS</v>
      </c>
      <c r="Q679" s="5" t="s">
        <v>85</v>
      </c>
      <c r="R679" s="5" t="s">
        <v>86</v>
      </c>
      <c r="S679" s="6"/>
      <c r="T679" s="5" t="str">
        <f>UPPER(IF(Tabla2[[#This Row],[FECHA DE MUESTREO ]]=0,"",TEXT(Tabla2[[#This Row],[FECHA DE MUESTREO ]],("MMMM"))))</f>
        <v>SEPTIEMBRE</v>
      </c>
      <c r="U679" s="6">
        <v>45930</v>
      </c>
      <c r="V679" s="5" t="s">
        <v>59</v>
      </c>
      <c r="W6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79" s="7">
        <f t="shared" si="26"/>
        <v>1</v>
      </c>
      <c r="Y679" s="5">
        <v>6</v>
      </c>
      <c r="Z679" s="5">
        <v>7.39</v>
      </c>
      <c r="AA679" s="5">
        <v>5</v>
      </c>
      <c r="AB679" s="5">
        <v>11.46</v>
      </c>
      <c r="AC679" s="5">
        <v>261</v>
      </c>
      <c r="AD679" s="5">
        <v>14.8</v>
      </c>
      <c r="AE679" s="5">
        <v>35</v>
      </c>
      <c r="AF679" s="5">
        <v>1</v>
      </c>
      <c r="AG679" s="5">
        <v>64</v>
      </c>
      <c r="AH679" s="5">
        <v>7.9349999999999996</v>
      </c>
      <c r="AI679" s="5">
        <f t="shared" si="25"/>
        <v>238.04999999999998</v>
      </c>
    </row>
    <row r="680" spans="1:51" x14ac:dyDescent="0.25">
      <c r="A680" s="5" t="s">
        <v>52</v>
      </c>
      <c r="B680" s="5" t="s">
        <v>53</v>
      </c>
      <c r="C680" s="5" t="s">
        <v>54</v>
      </c>
      <c r="E680" s="5" t="s">
        <v>221</v>
      </c>
      <c r="F680" s="5" t="s">
        <v>55</v>
      </c>
      <c r="G680" s="5" t="s">
        <v>61</v>
      </c>
      <c r="H680" s="5" t="s">
        <v>57</v>
      </c>
      <c r="I680" s="5">
        <v>344</v>
      </c>
      <c r="J680" s="5" t="str">
        <f>IFERROR(VLOOKUP(I680,[1]INFO_LOCALES!$B:$C,2,FALSE),"")</f>
        <v>CURICO ALAMEDA</v>
      </c>
      <c r="K680" s="5" t="str">
        <f>IFERROR(VLOOKUP(Tabla2[[#This Row],[TIENDA]],[1]INFO_LOCALES!$B:$D,3,FALSE),"")</f>
        <v>VII - Maule</v>
      </c>
      <c r="L680" s="5" t="str">
        <f>IFERROR(VLOOKUP(I680,[1]INFO_LOCALES!$B:$I,8,FALSE),"")</f>
        <v>Curicó</v>
      </c>
      <c r="M680" s="5" t="str">
        <f>IFERROR(VLOOKUP(I680,[1]INFO_LOCALES!$B:$H,7,FALSE),"")</f>
        <v>Estado 43</v>
      </c>
      <c r="N680" s="5">
        <f>IFERROR(VLOOKUP(I680,[1]INFO_LOCALES!$B:$E,4,FALSE),"")</f>
        <v>4530</v>
      </c>
      <c r="O680" s="5" t="str">
        <f>VLOOKUP(Tabla2[[#This Row],[TIENDA]],[1]INFO_LOCALES!$B:$J,9,0)</f>
        <v>SIN CONVENIO</v>
      </c>
      <c r="P680" s="5" t="str">
        <f>IFERROR(VLOOKUP(I680,[1]INFO_LOCALES!$B:$F,5,FALSE),"")</f>
        <v>NUEVOSUR S.A.</v>
      </c>
      <c r="Q680" s="5" t="s">
        <v>85</v>
      </c>
      <c r="R680" s="5" t="s">
        <v>86</v>
      </c>
      <c r="S680" s="6"/>
      <c r="T680" s="5" t="str">
        <f>UPPER(IF(Tabla2[[#This Row],[FECHA DE MUESTREO ]]=0,"",TEXT(Tabla2[[#This Row],[FECHA DE MUESTREO ]],("MMMM"))))</f>
        <v>SEPTIEMBRE</v>
      </c>
      <c r="U680" s="6">
        <v>45925</v>
      </c>
      <c r="V680" s="5" t="s">
        <v>118</v>
      </c>
      <c r="W6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80" s="7">
        <f t="shared" si="26"/>
        <v>1</v>
      </c>
      <c r="Y680" s="5">
        <v>6</v>
      </c>
      <c r="Z680" s="5">
        <v>7.49</v>
      </c>
      <c r="AA680" s="5">
        <v>1</v>
      </c>
      <c r="AB680" s="5">
        <v>20.25</v>
      </c>
      <c r="AC680" s="5">
        <v>22</v>
      </c>
      <c r="AD680" s="5">
        <v>1.5</v>
      </c>
      <c r="AE680" s="5">
        <v>1.4</v>
      </c>
      <c r="AF680" s="5">
        <v>0.3</v>
      </c>
      <c r="AG680" s="5">
        <v>28</v>
      </c>
      <c r="AH680" s="5">
        <v>8</v>
      </c>
      <c r="AI680" s="5">
        <f t="shared" si="25"/>
        <v>240</v>
      </c>
      <c r="AJ680" s="5">
        <v>0.23</v>
      </c>
      <c r="AK680" s="5">
        <v>3.0000000000000001E-3</v>
      </c>
      <c r="AL680" s="5">
        <v>0.04</v>
      </c>
      <c r="AM680" s="5">
        <v>2.9999999999999997E-4</v>
      </c>
      <c r="AN680" s="5">
        <v>0.02</v>
      </c>
      <c r="AO680" s="5">
        <v>0.183</v>
      </c>
      <c r="AP680" s="5">
        <v>7.9000000000000001E-2</v>
      </c>
      <c r="AQ680" s="5">
        <v>2.8999999999999998E-3</v>
      </c>
      <c r="AR680" s="5">
        <v>0.01</v>
      </c>
      <c r="AS680" s="5">
        <v>2</v>
      </c>
      <c r="AT680" s="5">
        <v>0.1</v>
      </c>
      <c r="AU680" s="5">
        <v>2.0000000000000001E-4</v>
      </c>
      <c r="AV680" s="5">
        <v>0.05</v>
      </c>
      <c r="AW680" s="5">
        <v>0.03</v>
      </c>
      <c r="AX680" s="5">
        <v>112</v>
      </c>
    </row>
    <row r="681" spans="1:51" x14ac:dyDescent="0.25">
      <c r="A681" s="5" t="s">
        <v>52</v>
      </c>
      <c r="B681" s="5" t="s">
        <v>74</v>
      </c>
      <c r="C681" s="5" t="s">
        <v>74</v>
      </c>
      <c r="E681" s="5" t="s">
        <v>221</v>
      </c>
      <c r="F681" s="5" t="s">
        <v>55</v>
      </c>
      <c r="G681" s="5" t="s">
        <v>61</v>
      </c>
      <c r="H681" s="5" t="s">
        <v>57</v>
      </c>
      <c r="I681" s="5">
        <v>459</v>
      </c>
      <c r="J681" s="5" t="str">
        <f>IFERROR(VLOOKUP(I681,[1]INFO_LOCALES!$B:$C,2,FALSE),"")</f>
        <v>ALLENDE AUSTRAL</v>
      </c>
      <c r="K681" s="5" t="str">
        <f>IFERROR(VLOOKUP(Tabla2[[#This Row],[TIENDA]],[1]INFO_LOCALES!$B:$D,3,FALSE),"")</f>
        <v>XII - Magallanes</v>
      </c>
      <c r="L681" s="5" t="str">
        <f>IFERROR(VLOOKUP(I681,[1]INFO_LOCALES!$B:$I,8,FALSE),"")</f>
        <v>Punta Arenas</v>
      </c>
      <c r="M681" s="5" t="str">
        <f>IFERROR(VLOOKUP(I681,[1]INFO_LOCALES!$B:$H,7,FALSE),"")</f>
        <v>Salvador Allende 0399</v>
      </c>
      <c r="N681" s="5">
        <f>IFERROR(VLOOKUP(I681,[1]INFO_LOCALES!$B:$E,4,FALSE),"")</f>
        <v>3735</v>
      </c>
      <c r="O681" s="5" t="str">
        <f>VLOOKUP(Tabla2[[#This Row],[TIENDA]],[1]INFO_LOCALES!$B:$J,9,0)</f>
        <v>SIN CONVENIO</v>
      </c>
      <c r="P681" s="5" t="str">
        <f>IFERROR(VLOOKUP(I681,[1]INFO_LOCALES!$B:$F,5,FALSE),"")</f>
        <v>AGUAS MAGALLANES S.A.</v>
      </c>
      <c r="Q681" s="5" t="s">
        <v>85</v>
      </c>
      <c r="R681" s="5" t="s">
        <v>86</v>
      </c>
      <c r="S681" s="6"/>
      <c r="T681" s="5" t="str">
        <f>UPPER(IF(Tabla2[[#This Row],[FECHA DE MUESTREO ]]=0,"",TEXT(Tabla2[[#This Row],[FECHA DE MUESTREO ]],("MMMM"))))</f>
        <v>SEPTIEMBRE</v>
      </c>
      <c r="U681" s="6">
        <v>45930</v>
      </c>
      <c r="V681" s="5" t="s">
        <v>59</v>
      </c>
      <c r="W6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81" s="7">
        <f t="shared" si="26"/>
        <v>1</v>
      </c>
      <c r="Y681" s="5">
        <v>8</v>
      </c>
      <c r="Z681" s="5">
        <v>6.69</v>
      </c>
      <c r="AA681" s="5">
        <v>6</v>
      </c>
      <c r="AB681" s="5">
        <v>16.2</v>
      </c>
      <c r="AC681" s="5">
        <v>186</v>
      </c>
      <c r="AD681" s="5">
        <v>6</v>
      </c>
      <c r="AE681" s="5">
        <v>6.2</v>
      </c>
      <c r="AF681" s="5">
        <v>0.5</v>
      </c>
      <c r="AG681" s="5">
        <v>86</v>
      </c>
      <c r="AH681" s="5">
        <v>1.42</v>
      </c>
      <c r="AI681" s="5">
        <f t="shared" si="25"/>
        <v>42.599999999999994</v>
      </c>
    </row>
    <row r="682" spans="1:51" x14ac:dyDescent="0.25">
      <c r="A682" s="5" t="s">
        <v>52</v>
      </c>
      <c r="B682" s="5" t="s">
        <v>90</v>
      </c>
      <c r="C682" s="5" t="s">
        <v>81</v>
      </c>
      <c r="E682" s="5" t="s">
        <v>225</v>
      </c>
      <c r="F682" s="5" t="s">
        <v>55</v>
      </c>
      <c r="G682" s="5" t="s">
        <v>61</v>
      </c>
      <c r="H682" s="5" t="s">
        <v>57</v>
      </c>
      <c r="I682" s="5">
        <v>778</v>
      </c>
      <c r="J682" s="5" t="str">
        <f>IFERROR(VLOOKUP(I682,[1]INFO_LOCALES!$B:$C,2,FALSE),"")</f>
        <v>ORIENTE</v>
      </c>
      <c r="K682" s="5" t="str">
        <f>IFERROR(VLOOKUP(Tabla2[[#This Row],[TIENDA]],[1]INFO_LOCALES!$B:$D,3,FALSE),"")</f>
        <v>X - Los Lagos</v>
      </c>
      <c r="L682" s="5" t="str">
        <f>IFERROR(VLOOKUP(I682,[1]INFO_LOCALES!$B:$I,8,FALSE),"")</f>
        <v>Osorno</v>
      </c>
      <c r="M682" s="5" t="str">
        <f>IFERROR(VLOOKUP(I682,[1]INFO_LOCALES!$B:$H,7,FALSE),"")</f>
        <v>Julio Buschman 2223</v>
      </c>
      <c r="N682" s="5">
        <f>IFERROR(VLOOKUP(I682,[1]INFO_LOCALES!$B:$E,4,FALSE),"")</f>
        <v>2867</v>
      </c>
      <c r="O682" s="5" t="str">
        <f>VLOOKUP(Tabla2[[#This Row],[TIENDA]],[1]INFO_LOCALES!$B:$J,9,0)</f>
        <v>CONVENIO</v>
      </c>
      <c r="P682" s="5" t="str">
        <f>IFERROR(VLOOKUP(I682,[1]INFO_LOCALES!$B:$F,5,FALSE),"")</f>
        <v>SURALIS</v>
      </c>
      <c r="Q682" s="5" t="s">
        <v>85</v>
      </c>
      <c r="R682" s="5" t="s">
        <v>86</v>
      </c>
      <c r="S682" s="6"/>
      <c r="T682" s="5" t="str">
        <f>UPPER(IF(Tabla2[[#This Row],[FECHA DE MUESTREO ]]=0,"",TEXT(Tabla2[[#This Row],[FECHA DE MUESTREO ]],("MMMM"))))</f>
        <v>SEPTIEMBRE</v>
      </c>
      <c r="U682" s="6">
        <v>45925</v>
      </c>
      <c r="V682" s="5" t="s">
        <v>59</v>
      </c>
      <c r="W6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82" s="7">
        <f>IF(W682="CUMPLE",1,IF(W682="CUMPLE CON TOLERANCIA",2,IF(W682="NO CUMPLE",3)))</f>
        <v>3</v>
      </c>
      <c r="Y682" s="5">
        <v>114</v>
      </c>
      <c r="Z682" s="5">
        <v>7.3</v>
      </c>
      <c r="AA682" s="5">
        <v>1</v>
      </c>
      <c r="AB682" s="5">
        <v>14.25</v>
      </c>
      <c r="AC682" s="5">
        <v>798</v>
      </c>
      <c r="AD682" s="5">
        <v>17</v>
      </c>
      <c r="AE682" s="5">
        <v>19</v>
      </c>
      <c r="AF682" s="5">
        <v>0.1</v>
      </c>
      <c r="AG682" s="5">
        <v>1668</v>
      </c>
      <c r="AH682" s="5">
        <v>7</v>
      </c>
      <c r="AI682" s="5">
        <f>AH682*30</f>
        <v>210</v>
      </c>
    </row>
    <row r="683" spans="1:51" x14ac:dyDescent="0.25">
      <c r="A683" s="5" t="s">
        <v>52</v>
      </c>
      <c r="B683" s="5" t="s">
        <v>76</v>
      </c>
      <c r="C683" s="5" t="s">
        <v>77</v>
      </c>
      <c r="E683" s="5" t="s">
        <v>221</v>
      </c>
      <c r="F683" s="5" t="s">
        <v>55</v>
      </c>
      <c r="G683" s="5" t="s">
        <v>61</v>
      </c>
      <c r="H683" s="5" t="s">
        <v>57</v>
      </c>
      <c r="I683" s="5">
        <v>103</v>
      </c>
      <c r="J683" s="5" t="str">
        <f>IFERROR(VLOOKUP(I683,[1]INFO_LOCALES!$B:$C,2,FALSE),"")</f>
        <v>VIVAR</v>
      </c>
      <c r="K683" s="5" t="str">
        <f>IFERROR(VLOOKUP(Tabla2[[#This Row],[TIENDA]],[1]INFO_LOCALES!$B:$D,3,FALSE),"")</f>
        <v>I - Tarapacá</v>
      </c>
      <c r="L683" s="5" t="str">
        <f>IFERROR(VLOOKUP(I683,[1]INFO_LOCALES!$B:$I,8,FALSE),"")</f>
        <v>Iquique</v>
      </c>
      <c r="M683" s="5" t="str">
        <f>IFERROR(VLOOKUP(I683,[1]INFO_LOCALES!$B:$H,7,FALSE),"")</f>
        <v>Vivar 786</v>
      </c>
      <c r="N683" s="5">
        <f>IFERROR(VLOOKUP(I683,[1]INFO_LOCALES!$B:$E,4,FALSE),"")</f>
        <v>4420</v>
      </c>
      <c r="O683" s="5" t="str">
        <f>VLOOKUP(Tabla2[[#This Row],[TIENDA]],[1]INFO_LOCALES!$B:$J,9,0)</f>
        <v>CONVENIO</v>
      </c>
      <c r="P683" s="5" t="str">
        <f>IFERROR(VLOOKUP(I683,[1]INFO_LOCALES!$B:$F,5,FALSE),"")</f>
        <v>AGUAS DEL ALTIPLANO S.A.</v>
      </c>
      <c r="Q683" s="5" t="s">
        <v>85</v>
      </c>
      <c r="R683" s="5" t="s">
        <v>86</v>
      </c>
      <c r="S683" s="6"/>
      <c r="T683" s="5" t="str">
        <f>UPPER(IF(Tabla2[[#This Row],[FECHA DE MUESTREO ]]=0,"",TEXT(Tabla2[[#This Row],[FECHA DE MUESTREO ]],("MMMM"))))</f>
        <v>SEPTIEMBRE</v>
      </c>
      <c r="U683" s="6">
        <v>45927</v>
      </c>
      <c r="V683" s="5" t="s">
        <v>59</v>
      </c>
      <c r="W6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83" s="7">
        <f t="shared" si="26"/>
        <v>1</v>
      </c>
      <c r="Y683" s="5">
        <v>2</v>
      </c>
      <c r="Z683" s="5">
        <v>6.65</v>
      </c>
      <c r="AA683" s="5">
        <v>1</v>
      </c>
      <c r="AB683" s="5">
        <v>22.25</v>
      </c>
      <c r="AC683" s="5">
        <v>53</v>
      </c>
      <c r="AD683" s="5">
        <v>7.7</v>
      </c>
      <c r="AE683" s="5">
        <v>5.9</v>
      </c>
      <c r="AF683" s="5">
        <v>0.1</v>
      </c>
      <c r="AG683" s="5">
        <v>13</v>
      </c>
      <c r="AH683" s="5">
        <v>8.35</v>
      </c>
      <c r="AI683" s="5">
        <f t="shared" si="25"/>
        <v>250.5</v>
      </c>
    </row>
    <row r="684" spans="1:51" x14ac:dyDescent="0.25">
      <c r="A684" s="5" t="s">
        <v>52</v>
      </c>
      <c r="B684" s="5" t="s">
        <v>76</v>
      </c>
      <c r="C684" s="5" t="s">
        <v>77</v>
      </c>
      <c r="E684" s="5" t="s">
        <v>226</v>
      </c>
      <c r="F684" s="5" t="s">
        <v>55</v>
      </c>
      <c r="G684" s="5" t="s">
        <v>61</v>
      </c>
      <c r="H684" s="5" t="s">
        <v>57</v>
      </c>
      <c r="I684" s="5">
        <v>106</v>
      </c>
      <c r="J684" s="5" t="str">
        <f>IFERROR(VLOOKUP(I684,[1]INFO_LOCALES!$B:$C,2,FALSE),"")</f>
        <v>LOS MOLLES</v>
      </c>
      <c r="K684" s="5" t="str">
        <f>IFERROR(VLOOKUP(Tabla2[[#This Row],[TIENDA]],[1]INFO_LOCALES!$B:$D,3,FALSE),"")</f>
        <v>I - Tarapacá</v>
      </c>
      <c r="L684" s="5" t="str">
        <f>IFERROR(VLOOKUP(I684,[1]INFO_LOCALES!$B:$I,8,FALSE),"")</f>
        <v>Iquique</v>
      </c>
      <c r="M684" s="5" t="str">
        <f>IFERROR(VLOOKUP(I684,[1]INFO_LOCALES!$B:$H,7,FALSE),"")</f>
        <v>Santiago Polanco 2251</v>
      </c>
      <c r="N684" s="5">
        <f>IFERROR(VLOOKUP(I684,[1]INFO_LOCALES!$B:$E,4,FALSE),"")</f>
        <v>4050</v>
      </c>
      <c r="O684" s="5" t="str">
        <f>VLOOKUP(Tabla2[[#This Row],[TIENDA]],[1]INFO_LOCALES!$B:$J,9,0)</f>
        <v>CONVENIO</v>
      </c>
      <c r="P684" s="5" t="str">
        <f>IFERROR(VLOOKUP(I684,[1]INFO_LOCALES!$B:$F,5,FALSE),"")</f>
        <v>AGUAS DEL ALTIPLANO S.A.</v>
      </c>
      <c r="Q684" s="5" t="s">
        <v>85</v>
      </c>
      <c r="R684" s="5" t="s">
        <v>86</v>
      </c>
      <c r="S684" s="6"/>
      <c r="T684" s="5" t="str">
        <f>UPPER(IF(Tabla2[[#This Row],[FECHA DE MUESTREO ]]=0,"",TEXT(Tabla2[[#This Row],[FECHA DE MUESTREO ]],("MMMM"))))</f>
        <v>SEPTIEMBRE</v>
      </c>
      <c r="U684" s="6">
        <v>45929</v>
      </c>
      <c r="V684" s="5" t="s">
        <v>59</v>
      </c>
      <c r="W6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84" s="7">
        <f t="shared" si="26"/>
        <v>2</v>
      </c>
      <c r="Y684" s="5">
        <v>21</v>
      </c>
      <c r="Z684" s="5">
        <v>6.93</v>
      </c>
      <c r="AA684" s="5">
        <v>3</v>
      </c>
      <c r="AB684" s="5">
        <v>23.03</v>
      </c>
      <c r="AC684" s="5">
        <v>309</v>
      </c>
      <c r="AD684" s="5">
        <v>10.7</v>
      </c>
      <c r="AE684" s="5">
        <v>28.4</v>
      </c>
      <c r="AF684" s="5">
        <v>1.3</v>
      </c>
      <c r="AG684" s="5">
        <v>84</v>
      </c>
      <c r="AH684" s="5">
        <v>8.52</v>
      </c>
      <c r="AI684" s="5">
        <f t="shared" si="25"/>
        <v>255.6</v>
      </c>
    </row>
    <row r="685" spans="1:51" x14ac:dyDescent="0.25">
      <c r="A685" s="5" t="s">
        <v>52</v>
      </c>
      <c r="B685" s="5" t="s">
        <v>76</v>
      </c>
      <c r="C685" s="5" t="s">
        <v>77</v>
      </c>
      <c r="E685" s="5" t="s">
        <v>227</v>
      </c>
      <c r="F685" s="5" t="s">
        <v>55</v>
      </c>
      <c r="G685" s="5" t="s">
        <v>61</v>
      </c>
      <c r="H685" s="5" t="s">
        <v>57</v>
      </c>
      <c r="I685" s="5">
        <v>86</v>
      </c>
      <c r="J685" s="5" t="str">
        <f>IFERROR(VLOOKUP(I685,[1]INFO_LOCALES!$B:$C,2,FALSE),"")</f>
        <v>BILBAO</v>
      </c>
      <c r="K685" s="5" t="str">
        <f>IFERROR(VLOOKUP(Tabla2[[#This Row],[TIENDA]],[1]INFO_LOCALES!$B:$D,3,FALSE),"")</f>
        <v>I - Tarapacá</v>
      </c>
      <c r="L685" s="5" t="str">
        <f>IFERROR(VLOOKUP(I685,[1]INFO_LOCALES!$B:$I,8,FALSE),"")</f>
        <v>Iquique</v>
      </c>
      <c r="M685" s="5" t="str">
        <f>IFERROR(VLOOKUP(I685,[1]INFO_LOCALES!$B:$H,7,FALSE),"")</f>
        <v>Fco.Bilbao 3545</v>
      </c>
      <c r="N685" s="5">
        <f>IFERROR(VLOOKUP(I685,[1]INFO_LOCALES!$B:$E,4,FALSE),"")</f>
        <v>4049</v>
      </c>
      <c r="O685" s="5" t="str">
        <f>VLOOKUP(Tabla2[[#This Row],[TIENDA]],[1]INFO_LOCALES!$B:$J,9,0)</f>
        <v>CONVENIO</v>
      </c>
      <c r="P685" s="5" t="str">
        <f>IFERROR(VLOOKUP(I685,[1]INFO_LOCALES!$B:$F,5,FALSE),"")</f>
        <v>AGUAS DEL ALTIPLANO S.A.</v>
      </c>
      <c r="Q685" s="5" t="s">
        <v>85</v>
      </c>
      <c r="R685" s="5" t="s">
        <v>86</v>
      </c>
      <c r="S685" s="6"/>
      <c r="T685" s="5" t="str">
        <f>UPPER(IF(Tabla2[[#This Row],[FECHA DE MUESTREO ]]=0,"",TEXT(Tabla2[[#This Row],[FECHA DE MUESTREO ]],("MMMM"))))</f>
        <v>SEPTIEMBRE</v>
      </c>
      <c r="U685" s="6">
        <v>45930</v>
      </c>
      <c r="V685" s="5" t="s">
        <v>59</v>
      </c>
      <c r="W6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85" s="7">
        <f t="shared" si="26"/>
        <v>2</v>
      </c>
      <c r="Y685" s="5">
        <v>16</v>
      </c>
      <c r="Z685" s="5">
        <v>6.68</v>
      </c>
      <c r="AA685" s="5">
        <v>5</v>
      </c>
      <c r="AB685" s="5">
        <v>24.24</v>
      </c>
      <c r="AC685" s="5">
        <v>348</v>
      </c>
      <c r="AD685" s="5">
        <v>14.3</v>
      </c>
      <c r="AE685" s="5">
        <v>28.4</v>
      </c>
      <c r="AF685" s="5">
        <v>7</v>
      </c>
      <c r="AG685" s="5">
        <v>156</v>
      </c>
      <c r="AH685" s="5">
        <v>9.58</v>
      </c>
      <c r="AI685" s="5">
        <f t="shared" si="25"/>
        <v>287.39999999999998</v>
      </c>
      <c r="AO685" s="10"/>
    </row>
    <row r="686" spans="1:51" x14ac:dyDescent="0.25">
      <c r="A686" s="5" t="s">
        <v>52</v>
      </c>
      <c r="B686" s="5" t="s">
        <v>128</v>
      </c>
      <c r="C686" s="5" t="s">
        <v>77</v>
      </c>
      <c r="D686" s="5">
        <v>2025</v>
      </c>
      <c r="F686" s="5" t="s">
        <v>55</v>
      </c>
      <c r="G686" s="5" t="s">
        <v>61</v>
      </c>
      <c r="H686" s="5" t="s">
        <v>57</v>
      </c>
      <c r="I686" s="5">
        <v>5</v>
      </c>
      <c r="J686" s="5" t="str">
        <f>IFERROR(VLOOKUP(I686,[1]INFO_LOCALES!$B:$C,2,FALSE),"")</f>
        <v>LAS COMPAÑIAS</v>
      </c>
      <c r="K686" s="5" t="str">
        <f>IFERROR(VLOOKUP(Tabla2[[#This Row],[TIENDA]],[1]INFO_LOCALES!$B:$D,3,FALSE),"")</f>
        <v>IV - Coquimbo</v>
      </c>
      <c r="L686" s="5" t="str">
        <f>IFERROR(VLOOKUP(I686,[1]INFO_LOCALES!$B:$I,8,FALSE),"")</f>
        <v>La Serena</v>
      </c>
      <c r="M686" s="5" t="str">
        <f>IFERROR(VLOOKUP(I686,[1]INFO_LOCALES!$B:$H,7,FALSE),"")</f>
        <v>Nicaragua 1571</v>
      </c>
      <c r="N686" s="5">
        <f>IFERROR(VLOOKUP(I686,[1]INFO_LOCALES!$B:$E,4,FALSE),"")</f>
        <v>2644</v>
      </c>
      <c r="O686" s="5" t="str">
        <f>VLOOKUP(Tabla2[[#This Row],[TIENDA]],[1]INFO_LOCALES!$B:$J,9,0)</f>
        <v>SIN CONVENIO</v>
      </c>
      <c r="P686" s="5" t="str">
        <f>IFERROR(VLOOKUP(I686,[1]INFO_LOCALES!$B:$F,5,FALSE),"")</f>
        <v>AGUAS DEL VALLE S A</v>
      </c>
      <c r="Q686" s="5" t="s">
        <v>85</v>
      </c>
      <c r="R686" s="5" t="s">
        <v>58</v>
      </c>
      <c r="S686" s="6">
        <v>45940</v>
      </c>
      <c r="T686" s="5" t="str">
        <f>UPPER(IF(Tabla2[[#This Row],[FECHA DE MUESTREO ]]=0,"",TEXT(Tabla2[[#This Row],[FECHA DE MUESTREO ]],("MMMM"))))</f>
        <v>AGOSTO</v>
      </c>
      <c r="U686" s="6">
        <v>45876</v>
      </c>
      <c r="V686" s="5" t="s">
        <v>59</v>
      </c>
      <c r="W6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86" s="7">
        <f t="shared" si="26"/>
        <v>1</v>
      </c>
      <c r="Y686" s="5">
        <v>6.66</v>
      </c>
      <c r="Z686" s="5">
        <v>7.9</v>
      </c>
      <c r="AA686" s="5">
        <v>2</v>
      </c>
      <c r="AB686" s="5">
        <v>16.899999999999999</v>
      </c>
      <c r="AC686" s="5">
        <v>98</v>
      </c>
      <c r="AD686" s="5">
        <v>5.21</v>
      </c>
      <c r="AE686" s="5">
        <v>22.4</v>
      </c>
      <c r="AF686" s="5">
        <v>1</v>
      </c>
      <c r="AG686" s="5">
        <v>48</v>
      </c>
      <c r="AH686" s="5">
        <v>4.5720000000000001</v>
      </c>
      <c r="AI686" s="5">
        <f t="shared" si="25"/>
        <v>137.16</v>
      </c>
    </row>
    <row r="687" spans="1:51" x14ac:dyDescent="0.25">
      <c r="A687" s="5" t="s">
        <v>52</v>
      </c>
      <c r="B687" s="5" t="e">
        <v>#N/A</v>
      </c>
      <c r="C687" s="5" t="e">
        <v>#N/A</v>
      </c>
      <c r="E687" s="5" t="s">
        <v>221</v>
      </c>
      <c r="F687" s="5" t="s">
        <v>55</v>
      </c>
      <c r="G687" s="5" t="s">
        <v>61</v>
      </c>
      <c r="H687" s="5" t="s">
        <v>57</v>
      </c>
      <c r="I687" s="5">
        <v>3014</v>
      </c>
      <c r="J687" s="5" t="str">
        <f>IFERROR(VLOOKUP(I687,[1]INFO_LOCALES!$B:$C,2,FALSE),"")</f>
        <v>M10 SAN FERNANDO</v>
      </c>
      <c r="K687" s="5" t="str">
        <f>IFERROR(VLOOKUP(Tabla2[[#This Row],[TIENDA]],[1]INFO_LOCALES!$B:$D,3,FALSE),"")</f>
        <v>VI - O'Higgins</v>
      </c>
      <c r="L687" s="5" t="str">
        <f>IFERROR(VLOOKUP(I687,[1]INFO_LOCALES!$B:$I,8,FALSE),"")</f>
        <v>San Fernando</v>
      </c>
      <c r="M687" s="5" t="str">
        <f>IFERROR(VLOOKUP(I687,[1]INFO_LOCALES!$B:$H,7,FALSE),"")</f>
        <v>Chillan 745</v>
      </c>
      <c r="N687" s="5">
        <f>IFERROR(VLOOKUP(I687,[1]INFO_LOCALES!$B:$E,4,FALSE),"")</f>
        <v>1298</v>
      </c>
      <c r="O687" s="5" t="str">
        <f>VLOOKUP(Tabla2[[#This Row],[TIENDA]],[1]INFO_LOCALES!$B:$J,9,0)</f>
        <v>TERMINADO</v>
      </c>
      <c r="P687" s="5" t="str">
        <f>IFERROR(VLOOKUP(I687,[1]INFO_LOCALES!$B:$F,5,FALSE),"")</f>
        <v>ESSBIO S.A.</v>
      </c>
      <c r="Q687" s="5" t="s">
        <v>85</v>
      </c>
      <c r="R687" s="5" t="s">
        <v>86</v>
      </c>
      <c r="S687" s="6"/>
      <c r="T687" s="5" t="str">
        <f>UPPER(IF(Tabla2[[#This Row],[FECHA DE MUESTREO ]]=0,"",TEXT(Tabla2[[#This Row],[FECHA DE MUESTREO ]],("MMMM"))))</f>
        <v>SEPTIEMBRE</v>
      </c>
      <c r="U687" s="6">
        <v>45929</v>
      </c>
      <c r="V687" s="5" t="s">
        <v>59</v>
      </c>
      <c r="W6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87" s="7">
        <f t="shared" si="26"/>
        <v>1</v>
      </c>
      <c r="Y687" s="5">
        <v>14</v>
      </c>
      <c r="Z687" s="5">
        <v>6.68</v>
      </c>
      <c r="AA687" s="5">
        <v>1</v>
      </c>
      <c r="AB687" s="5">
        <v>16.25</v>
      </c>
      <c r="AC687" s="5">
        <v>300</v>
      </c>
      <c r="AD687" s="5">
        <v>12.3</v>
      </c>
      <c r="AE687" s="5">
        <v>17.399999999999999</v>
      </c>
      <c r="AF687" s="5">
        <v>1.4</v>
      </c>
      <c r="AG687" s="5">
        <v>112</v>
      </c>
      <c r="AH687" s="5">
        <v>3</v>
      </c>
      <c r="AI687" s="5">
        <f t="shared" si="25"/>
        <v>90</v>
      </c>
    </row>
    <row r="688" spans="1:51" x14ac:dyDescent="0.25">
      <c r="A688" s="5" t="s">
        <v>52</v>
      </c>
      <c r="B688" s="5" t="s">
        <v>103</v>
      </c>
      <c r="C688" s="5" t="s">
        <v>77</v>
      </c>
      <c r="E688" s="5" t="s">
        <v>228</v>
      </c>
      <c r="F688" s="5" t="s">
        <v>55</v>
      </c>
      <c r="G688" s="5" t="s">
        <v>61</v>
      </c>
      <c r="H688" s="5" t="s">
        <v>57</v>
      </c>
      <c r="I688" s="5">
        <v>34</v>
      </c>
      <c r="J688" s="5" t="str">
        <f>IFERROR(VLOOKUP(I688,[1]INFO_LOCALES!$B:$C,2,FALSE),"")</f>
        <v>LA CHIMBA</v>
      </c>
      <c r="K688" s="5" t="str">
        <f>IFERROR(VLOOKUP(Tabla2[[#This Row],[TIENDA]],[1]INFO_LOCALES!$B:$D,3,FALSE),"")</f>
        <v>II - Antofagasta</v>
      </c>
      <c r="L688" s="5" t="str">
        <f>IFERROR(VLOOKUP(I688,[1]INFO_LOCALES!$B:$I,8,FALSE),"")</f>
        <v>Antofagasta</v>
      </c>
      <c r="M688" s="5" t="str">
        <f>IFERROR(VLOOKUP(I688,[1]INFO_LOCALES!$B:$H,7,FALSE),"")</f>
        <v>Pedro Aguirre Cerda 8700</v>
      </c>
      <c r="N688" s="5">
        <f>IFERROR(VLOOKUP(I688,[1]INFO_LOCALES!$B:$E,4,FALSE),"")</f>
        <v>0</v>
      </c>
      <c r="O688" s="5" t="str">
        <f>VLOOKUP(Tabla2[[#This Row],[TIENDA]],[1]INFO_LOCALES!$B:$J,9,0)</f>
        <v>SIN CONVENIO</v>
      </c>
      <c r="P688" s="5" t="str">
        <f>IFERROR(VLOOKUP(I688,[1]INFO_LOCALES!$B:$F,5,FALSE),"")</f>
        <v>AGUAS DE ANTOFAGASTA S A</v>
      </c>
      <c r="Q688" s="5" t="s">
        <v>85</v>
      </c>
      <c r="R688" s="5" t="s">
        <v>86</v>
      </c>
      <c r="S688" s="6"/>
      <c r="T688" s="5" t="str">
        <f>UPPER(IF(Tabla2[[#This Row],[FECHA DE MUESTREO ]]=0,"",TEXT(Tabla2[[#This Row],[FECHA DE MUESTREO ]],("MMMM"))))</f>
        <v>SEPTIEMBRE</v>
      </c>
      <c r="U688" s="6">
        <v>45929</v>
      </c>
      <c r="V688" s="5" t="s">
        <v>59</v>
      </c>
      <c r="W6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88" s="7">
        <f t="shared" si="26"/>
        <v>3</v>
      </c>
      <c r="Y688" s="5">
        <v>43</v>
      </c>
      <c r="Z688" s="5">
        <v>7.5</v>
      </c>
      <c r="AA688" s="5">
        <v>1</v>
      </c>
      <c r="AB688" s="5">
        <v>20.89</v>
      </c>
      <c r="AC688" s="5">
        <v>719</v>
      </c>
      <c r="AD688" s="5">
        <v>6.5</v>
      </c>
      <c r="AE688" s="5">
        <v>5.8</v>
      </c>
      <c r="AF688" s="5">
        <v>1.5</v>
      </c>
      <c r="AG688" s="5">
        <v>160</v>
      </c>
      <c r="AH688" s="5">
        <v>0.73</v>
      </c>
      <c r="AI688" s="5">
        <f t="shared" si="25"/>
        <v>21.9</v>
      </c>
    </row>
    <row r="689" spans="1:51" x14ac:dyDescent="0.25">
      <c r="A689" s="5" t="s">
        <v>52</v>
      </c>
      <c r="B689" s="5" t="s">
        <v>90</v>
      </c>
      <c r="C689" s="5" t="s">
        <v>81</v>
      </c>
      <c r="F689" s="5" t="s">
        <v>55</v>
      </c>
      <c r="G689" s="5" t="s">
        <v>229</v>
      </c>
      <c r="H689" s="5" t="s">
        <v>57</v>
      </c>
      <c r="I689" s="5">
        <v>375</v>
      </c>
      <c r="J689" s="5" t="str">
        <f>IFERROR(VLOOKUP(I689,[1]INFO_LOCALES!$B:$C,2,FALSE),"")</f>
        <v>ARAUCO</v>
      </c>
      <c r="K689" s="5" t="str">
        <f>IFERROR(VLOOKUP(Tabla2[[#This Row],[TIENDA]],[1]INFO_LOCALES!$B:$D,3,FALSE),"")</f>
        <v>XIV - Los Ríos</v>
      </c>
      <c r="L689" s="5" t="str">
        <f>IFERROR(VLOOKUP(I689,[1]INFO_LOCALES!$B:$I,8,FALSE),"")</f>
        <v>Valdivia</v>
      </c>
      <c r="M689" s="5" t="str">
        <f>IFERROR(VLOOKUP(I689,[1]INFO_LOCALES!$B:$H,7,FALSE),"")</f>
        <v>Arauco 697</v>
      </c>
      <c r="N689" s="5">
        <f>IFERROR(VLOOKUP(I689,[1]INFO_LOCALES!$B:$E,4,FALSE),"")</f>
        <v>3420</v>
      </c>
      <c r="O689" s="5" t="str">
        <f>VLOOKUP(Tabla2[[#This Row],[TIENDA]],[1]INFO_LOCALES!$B:$J,9,0)</f>
        <v>CONVENIO</v>
      </c>
      <c r="P689" s="5" t="str">
        <f>IFERROR(VLOOKUP(I689,[1]INFO_LOCALES!$B:$F,5,FALSE),"")</f>
        <v>AGUAS DECIMA S A</v>
      </c>
      <c r="Q689" s="5" t="s">
        <v>105</v>
      </c>
      <c r="R689" s="5" t="s">
        <v>58</v>
      </c>
      <c r="S689" s="6"/>
      <c r="T689" s="5" t="str">
        <f>UPPER(IF(Tabla2[[#This Row],[FECHA DE MUESTREO ]]=0,"",TEXT(Tabla2[[#This Row],[FECHA DE MUESTREO ]],("MMMM"))))</f>
        <v>SEPTIEMBRE</v>
      </c>
      <c r="U689" s="6">
        <v>45911</v>
      </c>
      <c r="V689" s="5" t="s">
        <v>59</v>
      </c>
      <c r="W6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89" s="7">
        <f t="shared" si="26"/>
        <v>1</v>
      </c>
      <c r="Y689" s="5">
        <v>14</v>
      </c>
      <c r="Z689" s="5">
        <v>6.74</v>
      </c>
      <c r="AA689" s="5">
        <v>3</v>
      </c>
      <c r="AB689" s="5">
        <v>13.7</v>
      </c>
      <c r="AC689" s="5">
        <v>146</v>
      </c>
      <c r="AD689" s="5">
        <v>5.2</v>
      </c>
      <c r="AE689" s="5">
        <v>21.03</v>
      </c>
      <c r="AF689" s="5">
        <v>4.5</v>
      </c>
      <c r="AG689" s="5">
        <v>50</v>
      </c>
      <c r="AH689" s="5">
        <v>5.8319999999999999</v>
      </c>
      <c r="AI689" s="5">
        <f t="shared" si="25"/>
        <v>174.96</v>
      </c>
    </row>
    <row r="690" spans="1:51" x14ac:dyDescent="0.25">
      <c r="A690" s="5" t="s">
        <v>52</v>
      </c>
      <c r="B690" s="5" t="s">
        <v>90</v>
      </c>
      <c r="C690" s="5" t="s">
        <v>81</v>
      </c>
      <c r="E690" s="5" t="s">
        <v>221</v>
      </c>
      <c r="F690" s="5" t="s">
        <v>55</v>
      </c>
      <c r="G690" s="5" t="s">
        <v>61</v>
      </c>
      <c r="H690" s="5" t="s">
        <v>57</v>
      </c>
      <c r="I690" s="5">
        <v>375</v>
      </c>
      <c r="J690" s="5" t="str">
        <f>IFERROR(VLOOKUP(I690,[1]INFO_LOCALES!$B:$C,2,FALSE),"")</f>
        <v>ARAUCO</v>
      </c>
      <c r="K690" s="5" t="str">
        <f>IFERROR(VLOOKUP(Tabla2[[#This Row],[TIENDA]],[1]INFO_LOCALES!$B:$D,3,FALSE),"")</f>
        <v>XIV - Los Ríos</v>
      </c>
      <c r="L690" s="5" t="str">
        <f>IFERROR(VLOOKUP(I690,[1]INFO_LOCALES!$B:$I,8,FALSE),"")</f>
        <v>Valdivia</v>
      </c>
      <c r="M690" s="5" t="str">
        <f>IFERROR(VLOOKUP(I690,[1]INFO_LOCALES!$B:$H,7,FALSE),"")</f>
        <v>Arauco 697</v>
      </c>
      <c r="N690" s="5">
        <f>IFERROR(VLOOKUP(I690,[1]INFO_LOCALES!$B:$E,4,FALSE),"")</f>
        <v>3420</v>
      </c>
      <c r="O690" s="5" t="str">
        <f>VLOOKUP(Tabla2[[#This Row],[TIENDA]],[1]INFO_LOCALES!$B:$J,9,0)</f>
        <v>CONVENIO</v>
      </c>
      <c r="P690" s="5" t="str">
        <f>IFERROR(VLOOKUP(I690,[1]INFO_LOCALES!$B:$F,5,FALSE),"")</f>
        <v>AGUAS DECIMA S A</v>
      </c>
      <c r="Q690" s="5" t="s">
        <v>105</v>
      </c>
      <c r="R690" s="5" t="s">
        <v>58</v>
      </c>
      <c r="S690" s="6"/>
      <c r="T690" s="5" t="str">
        <f>UPPER(IF(Tabla2[[#This Row],[FECHA DE MUESTREO ]]=0,"",TEXT(Tabla2[[#This Row],[FECHA DE MUESTREO ]],("MMMM"))))</f>
        <v>SEPTIEMBRE</v>
      </c>
      <c r="U690" s="6">
        <v>45909</v>
      </c>
      <c r="V690" s="5" t="s">
        <v>59</v>
      </c>
      <c r="W6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90" s="7">
        <f t="shared" si="26"/>
        <v>1</v>
      </c>
      <c r="Y690" s="5">
        <v>14</v>
      </c>
      <c r="Z690" s="5">
        <v>8.49</v>
      </c>
      <c r="AA690" s="5">
        <v>2</v>
      </c>
      <c r="AB690" s="5">
        <v>12</v>
      </c>
      <c r="AC690" s="5">
        <v>91</v>
      </c>
      <c r="AD690" s="5">
        <v>5</v>
      </c>
      <c r="AE690" s="5">
        <v>16.13</v>
      </c>
      <c r="AF690" s="5">
        <v>1</v>
      </c>
      <c r="AG690" s="5">
        <v>48</v>
      </c>
      <c r="AH690" s="5">
        <v>1.296</v>
      </c>
      <c r="AI690" s="5">
        <f t="shared" si="25"/>
        <v>38.880000000000003</v>
      </c>
    </row>
    <row r="691" spans="1:51" x14ac:dyDescent="0.25">
      <c r="A691" s="5" t="s">
        <v>52</v>
      </c>
      <c r="B691" s="5" t="s">
        <v>90</v>
      </c>
      <c r="C691" s="5" t="s">
        <v>81</v>
      </c>
      <c r="E691" s="5" t="s">
        <v>230</v>
      </c>
      <c r="F691" s="5" t="s">
        <v>55</v>
      </c>
      <c r="G691" s="5" t="s">
        <v>61</v>
      </c>
      <c r="H691" s="5" t="s">
        <v>57</v>
      </c>
      <c r="I691" s="5">
        <v>375</v>
      </c>
      <c r="J691" s="5" t="str">
        <f>IFERROR(VLOOKUP(I691,[1]INFO_LOCALES!$B:$C,2,FALSE),"")</f>
        <v>ARAUCO</v>
      </c>
      <c r="K691" s="5" t="str">
        <f>IFERROR(VLOOKUP(Tabla2[[#This Row],[TIENDA]],[1]INFO_LOCALES!$B:$D,3,FALSE),"")</f>
        <v>XIV - Los Ríos</v>
      </c>
      <c r="L691" s="5" t="str">
        <f>IFERROR(VLOOKUP(I691,[1]INFO_LOCALES!$B:$I,8,FALSE),"")</f>
        <v>Valdivia</v>
      </c>
      <c r="M691" s="5" t="str">
        <f>IFERROR(VLOOKUP(I691,[1]INFO_LOCALES!$B:$H,7,FALSE),"")</f>
        <v>Arauco 697</v>
      </c>
      <c r="N691" s="5">
        <f>IFERROR(VLOOKUP(I691,[1]INFO_LOCALES!$B:$E,4,FALSE),"")</f>
        <v>3420</v>
      </c>
      <c r="O691" s="5" t="str">
        <f>VLOOKUP(Tabla2[[#This Row],[TIENDA]],[1]INFO_LOCALES!$B:$J,9,0)</f>
        <v>CONVENIO</v>
      </c>
      <c r="P691" s="5" t="str">
        <f>IFERROR(VLOOKUP(I691,[1]INFO_LOCALES!$B:$F,5,FALSE),"")</f>
        <v>AGUAS DECIMA S A</v>
      </c>
      <c r="Q691" s="5" t="s">
        <v>85</v>
      </c>
      <c r="R691" s="5" t="s">
        <v>86</v>
      </c>
      <c r="S691" s="6"/>
      <c r="T691" s="5" t="str">
        <f>UPPER(IF(Tabla2[[#This Row],[FECHA DE MUESTREO ]]=0,"",TEXT(Tabla2[[#This Row],[FECHA DE MUESTREO ]],("MMMM"))))</f>
        <v>OCTUBRE</v>
      </c>
      <c r="U691" s="6">
        <v>45936</v>
      </c>
      <c r="V691" s="5" t="s">
        <v>118</v>
      </c>
      <c r="W6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691" s="7">
        <f t="shared" si="26"/>
        <v>2</v>
      </c>
      <c r="Y691" s="5">
        <v>2</v>
      </c>
      <c r="Z691" s="5">
        <v>6.59</v>
      </c>
      <c r="AA691" s="5">
        <v>3</v>
      </c>
      <c r="AB691" s="5">
        <v>10.37</v>
      </c>
      <c r="AC691" s="5">
        <v>478</v>
      </c>
      <c r="AD691" s="5">
        <v>8.8000000000000007</v>
      </c>
      <c r="AE691" s="5">
        <v>10.8</v>
      </c>
      <c r="AF691" s="5">
        <v>0.2</v>
      </c>
      <c r="AG691" s="5">
        <v>112</v>
      </c>
      <c r="AH691" s="5">
        <v>8</v>
      </c>
      <c r="AI691" s="5">
        <f t="shared" si="25"/>
        <v>240</v>
      </c>
      <c r="AJ691" s="5">
        <v>0.253</v>
      </c>
      <c r="AK691" s="5">
        <v>3.0000000000000001E-3</v>
      </c>
      <c r="AL691" s="5">
        <v>0.16400000000000001</v>
      </c>
      <c r="AM691" s="5">
        <v>8.0000000000000004E-4</v>
      </c>
      <c r="AN691" s="5">
        <v>0.02</v>
      </c>
      <c r="AO691" s="5">
        <v>6.4710000000000001</v>
      </c>
      <c r="AP691" s="5">
        <v>5.7599999999999998E-2</v>
      </c>
      <c r="AQ691" s="5">
        <v>2.3E-2</v>
      </c>
      <c r="AR691" s="5">
        <v>0.01</v>
      </c>
      <c r="AS691" s="5">
        <v>2</v>
      </c>
      <c r="AT691" s="5">
        <v>0.1</v>
      </c>
      <c r="AU691" s="5">
        <v>2.0000000000000001E-4</v>
      </c>
      <c r="AV691" s="5">
        <v>0.05</v>
      </c>
      <c r="AW691" s="5">
        <v>0.03</v>
      </c>
      <c r="AX691" s="5">
        <v>107</v>
      </c>
      <c r="AY691" s="5">
        <v>0.01</v>
      </c>
    </row>
    <row r="692" spans="1:51" x14ac:dyDescent="0.25">
      <c r="A692" s="5" t="s">
        <v>52</v>
      </c>
      <c r="B692" s="5" t="s">
        <v>73</v>
      </c>
      <c r="C692" s="5" t="s">
        <v>74</v>
      </c>
      <c r="E692" s="5" t="s">
        <v>221</v>
      </c>
      <c r="F692" s="5" t="s">
        <v>55</v>
      </c>
      <c r="G692" s="5" t="s">
        <v>56</v>
      </c>
      <c r="H692" s="5" t="s">
        <v>57</v>
      </c>
      <c r="I692" s="5">
        <v>442</v>
      </c>
      <c r="J692" s="5" t="str">
        <f>IFERROR(VLOOKUP(I692,[1]INFO_LOCALES!$B:$C,2,FALSE),"")</f>
        <v>COYHAIQUE</v>
      </c>
      <c r="K692" s="5" t="str">
        <f>IFERROR(VLOOKUP(Tabla2[[#This Row],[TIENDA]],[1]INFO_LOCALES!$B:$D,3,FALSE),"")</f>
        <v>XI - Aysén</v>
      </c>
      <c r="L692" s="5" t="str">
        <f>IFERROR(VLOOKUP(I692,[1]INFO_LOCALES!$B:$I,8,FALSE),"")</f>
        <v>Coyhaique</v>
      </c>
      <c r="M692" s="5" t="str">
        <f>IFERROR(VLOOKUP(I692,[1]INFO_LOCALES!$B:$H,7,FALSE),"")</f>
        <v>Lautaro 331</v>
      </c>
      <c r="N692" s="5">
        <f>IFERROR(VLOOKUP(I692,[1]INFO_LOCALES!$B:$E,4,FALSE),"")</f>
        <v>1320</v>
      </c>
      <c r="O692" s="5" t="str">
        <f>VLOOKUP(Tabla2[[#This Row],[TIENDA]],[1]INFO_LOCALES!$B:$J,9,0)</f>
        <v>SIN CONVENIO</v>
      </c>
      <c r="P692" s="5" t="str">
        <f>IFERROR(VLOOKUP(I692,[1]INFO_LOCALES!$B:$F,5,FALSE),"")</f>
        <v>AGUAS PATAGONIA</v>
      </c>
      <c r="Q692" s="5" t="s">
        <v>144</v>
      </c>
      <c r="R692" s="5" t="s">
        <v>58</v>
      </c>
      <c r="S692" s="6"/>
      <c r="T692" s="5" t="str">
        <f>UPPER(IF(Tabla2[[#This Row],[FECHA DE MUESTREO ]]=0,"",TEXT(Tabla2[[#This Row],[FECHA DE MUESTREO ]],("MMMM"))))</f>
        <v>SEPTIEMBRE</v>
      </c>
      <c r="U692" s="6">
        <v>45929</v>
      </c>
      <c r="V692" s="5" t="s">
        <v>59</v>
      </c>
      <c r="W6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92" s="7">
        <f t="shared" si="26"/>
        <v>3</v>
      </c>
      <c r="Y692" s="5">
        <v>21</v>
      </c>
      <c r="Z692" s="5">
        <v>7.92</v>
      </c>
      <c r="AA692" s="5">
        <v>4</v>
      </c>
      <c r="AB692" s="5">
        <v>10.199999999999999</v>
      </c>
      <c r="AC692" s="5">
        <v>836</v>
      </c>
      <c r="AD692" s="5">
        <v>24.28</v>
      </c>
      <c r="AE692" s="5">
        <v>40</v>
      </c>
      <c r="AF692" s="5">
        <v>4</v>
      </c>
      <c r="AG692" s="5">
        <v>130</v>
      </c>
      <c r="AH692" s="5">
        <v>5.0999999999999996</v>
      </c>
      <c r="AI692" s="5">
        <f t="shared" si="25"/>
        <v>153</v>
      </c>
    </row>
    <row r="693" spans="1:51" x14ac:dyDescent="0.25">
      <c r="A693" s="5" t="s">
        <v>52</v>
      </c>
      <c r="B693" s="5" t="s">
        <v>82</v>
      </c>
      <c r="C693" s="5" t="s">
        <v>77</v>
      </c>
      <c r="E693" s="5" t="s">
        <v>231</v>
      </c>
      <c r="F693" s="5" t="s">
        <v>55</v>
      </c>
      <c r="G693" s="5" t="s">
        <v>56</v>
      </c>
      <c r="H693" s="5" t="s">
        <v>57</v>
      </c>
      <c r="I693" s="5">
        <v>472</v>
      </c>
      <c r="J693" s="5" t="str">
        <f>IFERROR(VLOOKUP(I693,[1]INFO_LOCALES!$B:$C,2,FALSE),"")</f>
        <v>CALDERA I</v>
      </c>
      <c r="K693" s="5" t="str">
        <f>IFERROR(VLOOKUP(Tabla2[[#This Row],[TIENDA]],[1]INFO_LOCALES!$B:$D,3,FALSE),"")</f>
        <v>III - Atacama</v>
      </c>
      <c r="L693" s="5" t="str">
        <f>IFERROR(VLOOKUP(I693,[1]INFO_LOCALES!$B:$I,8,FALSE),"")</f>
        <v>Caldera</v>
      </c>
      <c r="M693" s="5" t="str">
        <f>IFERROR(VLOOKUP(I693,[1]INFO_LOCALES!$B:$H,7,FALSE),"")</f>
        <v>Batallon Atacama 319</v>
      </c>
      <c r="N693" s="5">
        <f>IFERROR(VLOOKUP(I693,[1]INFO_LOCALES!$B:$E,4,FALSE),"")</f>
        <v>0</v>
      </c>
      <c r="O693" s="5" t="str">
        <f>VLOOKUP(Tabla2[[#This Row],[TIENDA]],[1]INFO_LOCALES!$B:$J,9,0)</f>
        <v>CONVENIO</v>
      </c>
      <c r="P693" s="5" t="str">
        <f>IFERROR(VLOOKUP(I693,[1]INFO_LOCALES!$B:$F,5,FALSE),"")</f>
        <v>NUEVA ATACAMA</v>
      </c>
      <c r="Q693" s="5" t="s">
        <v>66</v>
      </c>
      <c r="R693" s="5" t="s">
        <v>58</v>
      </c>
      <c r="S693" s="6"/>
      <c r="T693" s="5" t="str">
        <f>UPPER(IF(Tabla2[[#This Row],[FECHA DE MUESTREO ]]=0,"",TEXT(Tabla2[[#This Row],[FECHA DE MUESTREO ]],("MMMM"))))</f>
        <v>SEPTIEMBRE</v>
      </c>
      <c r="U693" s="6">
        <v>45903</v>
      </c>
      <c r="V693" s="5" t="s">
        <v>59</v>
      </c>
      <c r="W6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93" s="7">
        <f t="shared" si="26"/>
        <v>3</v>
      </c>
      <c r="Y693" s="5">
        <v>6.65</v>
      </c>
      <c r="AA693" s="5">
        <v>19</v>
      </c>
      <c r="AC693" s="5">
        <v>161</v>
      </c>
      <c r="AD693" s="5">
        <v>3.7</v>
      </c>
      <c r="AE693" s="5">
        <v>3.9</v>
      </c>
      <c r="AF693" s="5">
        <v>1</v>
      </c>
      <c r="AG693" s="5">
        <v>44.6</v>
      </c>
      <c r="AI693" s="5">
        <f t="shared" si="25"/>
        <v>0</v>
      </c>
    </row>
    <row r="694" spans="1:51" x14ac:dyDescent="0.25">
      <c r="A694" s="5" t="s">
        <v>52</v>
      </c>
      <c r="B694" s="5" t="s">
        <v>82</v>
      </c>
      <c r="C694" s="5" t="s">
        <v>77</v>
      </c>
      <c r="E694" s="5" t="s">
        <v>231</v>
      </c>
      <c r="F694" s="5" t="s">
        <v>55</v>
      </c>
      <c r="G694" s="5" t="s">
        <v>56</v>
      </c>
      <c r="H694" s="5" t="s">
        <v>57</v>
      </c>
      <c r="I694" s="5">
        <v>16</v>
      </c>
      <c r="J694" s="5" t="str">
        <f>IFERROR(VLOOKUP(I694,[1]INFO_LOCALES!$B:$C,2,FALSE),"")</f>
        <v>VALLENAR II</v>
      </c>
      <c r="K694" s="5" t="str">
        <f>IFERROR(VLOOKUP(Tabla2[[#This Row],[TIENDA]],[1]INFO_LOCALES!$B:$D,3,FALSE),"")</f>
        <v>III - Atacama</v>
      </c>
      <c r="L694" s="5" t="str">
        <f>IFERROR(VLOOKUP(I694,[1]INFO_LOCALES!$B:$I,8,FALSE),"")</f>
        <v>Vallenar</v>
      </c>
      <c r="M694" s="5" t="str">
        <f>IFERROR(VLOOKUP(I694,[1]INFO_LOCALES!$B:$H,7,FALSE),"")</f>
        <v>Arturo Prat 2350</v>
      </c>
      <c r="N694" s="5">
        <f>IFERROR(VLOOKUP(I694,[1]INFO_LOCALES!$B:$E,4,FALSE),"")</f>
        <v>0</v>
      </c>
      <c r="O694" s="5" t="str">
        <f>VLOOKUP(Tabla2[[#This Row],[TIENDA]],[1]INFO_LOCALES!$B:$J,9,0)</f>
        <v>TERMINADO</v>
      </c>
      <c r="P694" s="5" t="str">
        <f>IFERROR(VLOOKUP(I694,[1]INFO_LOCALES!$B:$F,5,FALSE),"")</f>
        <v>NUEVA ATACAMA</v>
      </c>
      <c r="Q694" s="5" t="s">
        <v>66</v>
      </c>
      <c r="R694" s="5" t="s">
        <v>58</v>
      </c>
      <c r="S694" s="6"/>
      <c r="T694" s="5" t="str">
        <f>UPPER(IF(Tabla2[[#This Row],[FECHA DE MUESTREO ]]=0,"",TEXT(Tabla2[[#This Row],[FECHA DE MUESTREO ]],("MMMM"))))</f>
        <v>SEPTIEMBRE</v>
      </c>
      <c r="U694" s="6">
        <v>45904</v>
      </c>
      <c r="V694" s="5" t="s">
        <v>59</v>
      </c>
      <c r="W6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94" s="7">
        <f t="shared" si="26"/>
        <v>3</v>
      </c>
      <c r="Y694" s="5">
        <v>39.5</v>
      </c>
      <c r="AA694" s="5">
        <v>74.3</v>
      </c>
      <c r="AC694" s="5">
        <v>237</v>
      </c>
      <c r="AD694" s="5">
        <v>9.1</v>
      </c>
      <c r="AE694" s="5">
        <v>45.6</v>
      </c>
      <c r="AF694" s="5">
        <v>1</v>
      </c>
      <c r="AG694" s="5">
        <v>240</v>
      </c>
      <c r="AI694" s="5">
        <f t="shared" si="25"/>
        <v>0</v>
      </c>
    </row>
    <row r="695" spans="1:51" x14ac:dyDescent="0.25">
      <c r="A695" s="5" t="s">
        <v>52</v>
      </c>
      <c r="B695" s="5" t="s">
        <v>90</v>
      </c>
      <c r="C695" s="5" t="s">
        <v>81</v>
      </c>
      <c r="F695" s="5" t="s">
        <v>55</v>
      </c>
      <c r="G695" s="5" t="s">
        <v>61</v>
      </c>
      <c r="H695" s="5" t="s">
        <v>57</v>
      </c>
      <c r="I695" s="5">
        <v>375</v>
      </c>
      <c r="J695" s="5" t="str">
        <f>IFERROR(VLOOKUP(I695,[1]INFO_LOCALES!$B:$C,2,FALSE),"")</f>
        <v>ARAUCO</v>
      </c>
      <c r="K695" s="5" t="str">
        <f>IFERROR(VLOOKUP(Tabla2[[#This Row],[TIENDA]],[1]INFO_LOCALES!$B:$D,3,FALSE),"")</f>
        <v>XIV - Los Ríos</v>
      </c>
      <c r="L695" s="5" t="str">
        <f>IFERROR(VLOOKUP(I695,[1]INFO_LOCALES!$B:$I,8,FALSE),"")</f>
        <v>Valdivia</v>
      </c>
      <c r="M695" s="5" t="str">
        <f>IFERROR(VLOOKUP(I695,[1]INFO_LOCALES!$B:$H,7,FALSE),"")</f>
        <v>Arauco 697</v>
      </c>
      <c r="N695" s="5">
        <f>IFERROR(VLOOKUP(I695,[1]INFO_LOCALES!$B:$E,4,FALSE),"")</f>
        <v>3420</v>
      </c>
      <c r="O695" s="5" t="str">
        <f>VLOOKUP(Tabla2[[#This Row],[TIENDA]],[1]INFO_LOCALES!$B:$J,9,0)</f>
        <v>CONVENIO</v>
      </c>
      <c r="P695" s="5" t="str">
        <f>IFERROR(VLOOKUP(I695,[1]INFO_LOCALES!$B:$F,5,FALSE),"")</f>
        <v>AGUAS DECIMA S A</v>
      </c>
      <c r="Q695" s="5" t="s">
        <v>66</v>
      </c>
      <c r="R695" s="5" t="s">
        <v>86</v>
      </c>
      <c r="S695" s="6"/>
      <c r="T695" s="5" t="str">
        <f>UPPER(IF(Tabla2[[#This Row],[FECHA DE MUESTREO ]]=0,"",TEXT(Tabla2[[#This Row],[FECHA DE MUESTREO ]],("MMMM"))))</f>
        <v>OCTUBRE</v>
      </c>
      <c r="U695" s="6">
        <v>45937</v>
      </c>
      <c r="V695" s="5" t="s">
        <v>118</v>
      </c>
      <c r="W6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95" s="7">
        <f t="shared" si="26"/>
        <v>1</v>
      </c>
      <c r="Y695" s="5">
        <v>2</v>
      </c>
      <c r="Z695" s="5">
        <v>6.58</v>
      </c>
      <c r="AA695" s="5">
        <v>1</v>
      </c>
      <c r="AB695" s="5">
        <v>10.76</v>
      </c>
      <c r="AC695" s="5">
        <v>169</v>
      </c>
      <c r="AD695" s="5">
        <v>14.5</v>
      </c>
      <c r="AE695" s="5">
        <v>15.3</v>
      </c>
      <c r="AF695" s="5">
        <v>0.5</v>
      </c>
      <c r="AG695" s="5">
        <v>50</v>
      </c>
      <c r="AH695" s="5">
        <v>18</v>
      </c>
      <c r="AI695" s="5">
        <f t="shared" si="25"/>
        <v>540</v>
      </c>
      <c r="AJ695" s="5">
        <v>0.16600000000000001</v>
      </c>
      <c r="AK695" s="5">
        <v>3.0000000000000001E-3</v>
      </c>
      <c r="AL695" s="5">
        <v>0.23799999999999999</v>
      </c>
      <c r="AM695" s="5">
        <v>2.0000000000000002E-5</v>
      </c>
      <c r="AN695" s="5">
        <v>0.02</v>
      </c>
      <c r="AO695" s="5">
        <v>0.52490000000000003</v>
      </c>
      <c r="AP695" s="5">
        <v>0.19400000000000001</v>
      </c>
      <c r="AQ695" s="5">
        <v>3.0000000000000001E-3</v>
      </c>
      <c r="AR695" s="5">
        <v>0.01</v>
      </c>
      <c r="AS695" s="5">
        <v>2</v>
      </c>
      <c r="AT695" s="5">
        <v>0.1</v>
      </c>
      <c r="AU695" s="5">
        <v>2.0000000000000001E-4</v>
      </c>
      <c r="AV695" s="5">
        <v>0.05</v>
      </c>
      <c r="AW695" s="5">
        <v>0.03</v>
      </c>
      <c r="AX695" s="5">
        <v>132</v>
      </c>
      <c r="AY695" s="5">
        <v>0.01</v>
      </c>
    </row>
    <row r="696" spans="1:51" x14ac:dyDescent="0.25">
      <c r="A696" s="5" t="s">
        <v>52</v>
      </c>
      <c r="B696" s="5" t="s">
        <v>103</v>
      </c>
      <c r="C696" s="5" t="s">
        <v>77</v>
      </c>
      <c r="E696" s="5" t="s">
        <v>231</v>
      </c>
      <c r="F696" s="5" t="s">
        <v>55</v>
      </c>
      <c r="G696" s="5" t="s">
        <v>56</v>
      </c>
      <c r="H696" s="5" t="s">
        <v>57</v>
      </c>
      <c r="I696" s="5">
        <v>33</v>
      </c>
      <c r="J696" s="5" t="str">
        <f>IFERROR(VLOOKUP(I696,[1]INFO_LOCALES!$B:$C,2,FALSE),"")</f>
        <v>COVIEFI</v>
      </c>
      <c r="K696" s="5" t="str">
        <f>IFERROR(VLOOKUP(Tabla2[[#This Row],[TIENDA]],[1]INFO_LOCALES!$B:$D,3,FALSE),"")</f>
        <v>II - Antofagasta</v>
      </c>
      <c r="L696" s="5" t="str">
        <f>IFERROR(VLOOKUP(I696,[1]INFO_LOCALES!$B:$I,8,FALSE),"")</f>
        <v>Antofagasta</v>
      </c>
      <c r="M696" s="5" t="str">
        <f>IFERROR(VLOOKUP(I696,[1]INFO_LOCALES!$B:$H,7,FALSE),"")</f>
        <v>Av. Argentina 1910</v>
      </c>
      <c r="N696" s="5">
        <f>IFERROR(VLOOKUP(I696,[1]INFO_LOCALES!$B:$E,4,FALSE),"")</f>
        <v>0</v>
      </c>
      <c r="O696" s="5" t="str">
        <f>VLOOKUP(Tabla2[[#This Row],[TIENDA]],[1]INFO_LOCALES!$B:$J,9,0)</f>
        <v>SIN CONVENIO</v>
      </c>
      <c r="P696" s="5" t="str">
        <f>IFERROR(VLOOKUP(I696,[1]INFO_LOCALES!$B:$F,5,FALSE),"")</f>
        <v>AGUAS DE ANTOFAGASTA S A</v>
      </c>
      <c r="Q696" s="5" t="s">
        <v>105</v>
      </c>
      <c r="R696" s="5" t="s">
        <v>58</v>
      </c>
      <c r="S696" s="6"/>
      <c r="T696" s="5" t="str">
        <f>UPPER(IF(Tabla2[[#This Row],[FECHA DE MUESTREO ]]=0,"",TEXT(Tabla2[[#This Row],[FECHA DE MUESTREO ]],("MMMM"))))</f>
        <v>AGOSTO</v>
      </c>
      <c r="U696" s="6">
        <v>45897</v>
      </c>
      <c r="V696" s="5" t="s">
        <v>59</v>
      </c>
      <c r="W6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696" s="7">
        <f t="shared" si="26"/>
        <v>3</v>
      </c>
      <c r="Y696" s="5">
        <v>14</v>
      </c>
      <c r="Z696" s="5">
        <v>7.93</v>
      </c>
      <c r="AA696" s="5">
        <v>0.8</v>
      </c>
      <c r="AB696" s="5">
        <v>24.9</v>
      </c>
      <c r="AC696" s="5">
        <v>39</v>
      </c>
      <c r="AD696" s="5">
        <v>4.54</v>
      </c>
      <c r="AE696" s="5">
        <v>34.06</v>
      </c>
      <c r="AF696" s="5">
        <v>56</v>
      </c>
      <c r="AG696" s="5">
        <v>35</v>
      </c>
      <c r="AH696" s="5">
        <v>2.984</v>
      </c>
      <c r="AI696" s="5">
        <f t="shared" si="25"/>
        <v>89.52</v>
      </c>
      <c r="AX696" s="5">
        <v>19</v>
      </c>
      <c r="AY696" s="5">
        <v>0.03</v>
      </c>
    </row>
    <row r="697" spans="1:51" x14ac:dyDescent="0.25">
      <c r="A697" s="5" t="s">
        <v>52</v>
      </c>
      <c r="B697" s="5" t="s">
        <v>73</v>
      </c>
      <c r="C697" s="5" t="s">
        <v>74</v>
      </c>
      <c r="E697" s="5" t="s">
        <v>232</v>
      </c>
      <c r="F697" s="5" t="s">
        <v>55</v>
      </c>
      <c r="G697" s="5" t="s">
        <v>61</v>
      </c>
      <c r="H697" s="5" t="s">
        <v>57</v>
      </c>
      <c r="I697" s="5">
        <v>442</v>
      </c>
      <c r="J697" s="5" t="str">
        <f>IFERROR(VLOOKUP(I697,[1]INFO_LOCALES!$B:$C,2,FALSE),"")</f>
        <v>COYHAIQUE</v>
      </c>
      <c r="K697" s="5" t="str">
        <f>IFERROR(VLOOKUP(Tabla2[[#This Row],[TIENDA]],[1]INFO_LOCALES!$B:$D,3,FALSE),"")</f>
        <v>XI - Aysén</v>
      </c>
      <c r="L697" s="5" t="str">
        <f>IFERROR(VLOOKUP(I697,[1]INFO_LOCALES!$B:$I,8,FALSE),"")</f>
        <v>Coyhaique</v>
      </c>
      <c r="M697" s="5" t="str">
        <f>IFERROR(VLOOKUP(I697,[1]INFO_LOCALES!$B:$H,7,FALSE),"")</f>
        <v>Lautaro 331</v>
      </c>
      <c r="N697" s="5">
        <f>IFERROR(VLOOKUP(I697,[1]INFO_LOCALES!$B:$E,4,FALSE),"")</f>
        <v>1320</v>
      </c>
      <c r="O697" s="5" t="str">
        <f>VLOOKUP(Tabla2[[#This Row],[TIENDA]],[1]INFO_LOCALES!$B:$J,9,0)</f>
        <v>SIN CONVENIO</v>
      </c>
      <c r="P697" s="5" t="str">
        <f>IFERROR(VLOOKUP(I697,[1]INFO_LOCALES!$B:$F,5,FALSE),"")</f>
        <v>AGUAS PATAGONIA</v>
      </c>
      <c r="Q697" s="5" t="s">
        <v>144</v>
      </c>
      <c r="R697" s="5" t="s">
        <v>86</v>
      </c>
      <c r="S697" s="6"/>
      <c r="T697" s="5" t="str">
        <f>UPPER(IF(Tabla2[[#This Row],[FECHA DE MUESTREO ]]=0,"",TEXT(Tabla2[[#This Row],[FECHA DE MUESTREO ]],("MMMM"))))</f>
        <v>SEPTIEMBRE</v>
      </c>
      <c r="U697" s="6">
        <v>45911</v>
      </c>
      <c r="V697" s="5" t="s">
        <v>118</v>
      </c>
      <c r="W6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97" s="7">
        <f t="shared" si="26"/>
        <v>1</v>
      </c>
      <c r="Y697" s="5">
        <v>1.3</v>
      </c>
      <c r="Z697" s="5">
        <v>7.81</v>
      </c>
      <c r="AA697" s="5">
        <v>2</v>
      </c>
      <c r="AB697" s="5">
        <v>11.9</v>
      </c>
      <c r="AC697" s="5">
        <v>227</v>
      </c>
      <c r="AD697" s="5">
        <v>13.2</v>
      </c>
      <c r="AE697" s="5">
        <v>0.56999999999999995</v>
      </c>
      <c r="AF697" s="5">
        <v>1</v>
      </c>
      <c r="AG697" s="5">
        <v>137</v>
      </c>
      <c r="AH697" s="5">
        <v>0.14299999999999999</v>
      </c>
      <c r="AI697" s="5">
        <f t="shared" si="25"/>
        <v>4.29</v>
      </c>
      <c r="AJ697" s="5">
        <v>0.58599999999999997</v>
      </c>
      <c r="AK697" s="5">
        <v>1E-3</v>
      </c>
      <c r="AL697" s="5">
        <v>7.2999999999999995E-2</v>
      </c>
      <c r="AM697" s="5">
        <v>2E-3</v>
      </c>
      <c r="AN697" s="5">
        <v>0.02</v>
      </c>
      <c r="AO697" s="5">
        <v>0.17899999999999999</v>
      </c>
      <c r="AP697" s="5">
        <v>4.2999999999999997E-2</v>
      </c>
      <c r="AQ697" s="5">
        <v>5.0000000000000001E-3</v>
      </c>
      <c r="AR697" s="5">
        <v>5.0000000000000001E-3</v>
      </c>
      <c r="AS697" s="5">
        <v>1</v>
      </c>
      <c r="AT697" s="5">
        <v>0.11899999999999999</v>
      </c>
      <c r="AU697" s="5">
        <v>5.0000000000000001E-4</v>
      </c>
      <c r="AV697" s="5">
        <v>0.01</v>
      </c>
      <c r="AW697" s="5">
        <v>0.02</v>
      </c>
      <c r="AX697" s="5">
        <v>5</v>
      </c>
      <c r="AY697" s="5">
        <v>0.21</v>
      </c>
    </row>
    <row r="698" spans="1:51" x14ac:dyDescent="0.25">
      <c r="A698" s="5" t="s">
        <v>52</v>
      </c>
      <c r="B698" s="5" t="s">
        <v>82</v>
      </c>
      <c r="C698" s="5" t="s">
        <v>77</v>
      </c>
      <c r="E698" s="5" t="s">
        <v>233</v>
      </c>
      <c r="F698" s="5" t="s">
        <v>234</v>
      </c>
      <c r="G698" s="5" t="s">
        <v>235</v>
      </c>
      <c r="H698" s="5" t="s">
        <v>235</v>
      </c>
      <c r="I698" s="5">
        <v>22</v>
      </c>
      <c r="J698" s="5" t="str">
        <f>IFERROR(VLOOKUP(I698,[1]INFO_LOCALES!$B:$C,2,FALSE),"")</f>
        <v>ATACAMA</v>
      </c>
      <c r="K698" s="5" t="str">
        <f>IFERROR(VLOOKUP(Tabla2[[#This Row],[TIENDA]],[1]INFO_LOCALES!$B:$D,3,FALSE),"")</f>
        <v>III - Atacama</v>
      </c>
      <c r="L698" s="5" t="str">
        <f>IFERROR(VLOOKUP(I698,[1]INFO_LOCALES!$B:$I,8,FALSE),"")</f>
        <v>Copiapó</v>
      </c>
      <c r="M698" s="5" t="str">
        <f>IFERROR(VLOOKUP(I698,[1]INFO_LOCALES!$B:$H,7,FALSE),"")</f>
        <v>Los Carreras 2242</v>
      </c>
      <c r="N698" s="5">
        <f>IFERROR(VLOOKUP(I698,[1]INFO_LOCALES!$B:$E,4,FALSE),"")</f>
        <v>2666</v>
      </c>
      <c r="O698" s="5" t="str">
        <f>VLOOKUP(Tabla2[[#This Row],[TIENDA]],[1]INFO_LOCALES!$B:$J,9,0)</f>
        <v>CONVENIO</v>
      </c>
      <c r="P698" s="5" t="str">
        <f>IFERROR(VLOOKUP(I698,[1]INFO_LOCALES!$B:$F,5,FALSE),"")</f>
        <v>NUEVA ATACAMA</v>
      </c>
      <c r="Q698" s="5" t="s">
        <v>85</v>
      </c>
      <c r="R698" s="5" t="s">
        <v>86</v>
      </c>
      <c r="S698" s="6"/>
      <c r="T698" s="5" t="str">
        <f>UPPER(IF(Tabla2[[#This Row],[FECHA DE MUESTREO ]]=0,"",TEXT(Tabla2[[#This Row],[FECHA DE MUESTREO ]],("MMMM"))))</f>
        <v>OCTUBRE</v>
      </c>
      <c r="U698" s="6">
        <v>45951</v>
      </c>
      <c r="V698" s="5" t="s">
        <v>59</v>
      </c>
      <c r="W6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98" s="7">
        <f t="shared" si="26"/>
        <v>1</v>
      </c>
      <c r="Y698" s="5">
        <v>30</v>
      </c>
      <c r="Z698" s="5">
        <v>8.1999999999999993</v>
      </c>
      <c r="AA698" s="5">
        <v>1</v>
      </c>
      <c r="AB698" s="5">
        <v>19.600000000000001</v>
      </c>
      <c r="AC698" s="5">
        <v>233</v>
      </c>
      <c r="AD698" s="5">
        <v>11.2</v>
      </c>
      <c r="AE698" s="5">
        <v>23.9</v>
      </c>
      <c r="AF698" s="5">
        <v>1.5</v>
      </c>
      <c r="AG698" s="5">
        <v>144</v>
      </c>
      <c r="AI698" s="5">
        <f t="shared" si="25"/>
        <v>0</v>
      </c>
    </row>
    <row r="699" spans="1:51" x14ac:dyDescent="0.25">
      <c r="A699" s="5" t="s">
        <v>52</v>
      </c>
      <c r="B699" s="5" t="s">
        <v>82</v>
      </c>
      <c r="C699" s="5" t="s">
        <v>77</v>
      </c>
      <c r="E699" s="5" t="s">
        <v>57</v>
      </c>
      <c r="F699" s="5" t="s">
        <v>55</v>
      </c>
      <c r="G699" s="5" t="s">
        <v>61</v>
      </c>
      <c r="H699" s="5" t="s">
        <v>57</v>
      </c>
      <c r="I699" s="5">
        <v>25</v>
      </c>
      <c r="J699" s="5" t="str">
        <f>IFERROR(VLOOKUP(I699,[1]INFO_LOCALES!$B:$C,2,FALSE),"")</f>
        <v>EL PALOMAR</v>
      </c>
      <c r="K699" s="5" t="str">
        <f>IFERROR(VLOOKUP(Tabla2[[#This Row],[TIENDA]],[1]INFO_LOCALES!$B:$D,3,FALSE),"")</f>
        <v>III - Atacama</v>
      </c>
      <c r="L699" s="5" t="str">
        <f>IFERROR(VLOOKUP(I699,[1]INFO_LOCALES!$B:$I,8,FALSE),"")</f>
        <v>Copiapó</v>
      </c>
      <c r="M699" s="5" t="str">
        <f>IFERROR(VLOOKUP(I699,[1]INFO_LOCALES!$B:$H,7,FALSE),"")</f>
        <v>Av. Palomar 1525</v>
      </c>
      <c r="N699" s="5">
        <f>IFERROR(VLOOKUP(I699,[1]INFO_LOCALES!$B:$E,4,FALSE),"")</f>
        <v>3868</v>
      </c>
      <c r="O699" s="5" t="str">
        <f>VLOOKUP(Tabla2[[#This Row],[TIENDA]],[1]INFO_LOCALES!$B:$J,9,0)</f>
        <v>TERMINADO</v>
      </c>
      <c r="P699" s="5" t="str">
        <f>IFERROR(VLOOKUP(I699,[1]INFO_LOCALES!$B:$F,5,FALSE),"")</f>
        <v>NUEVA ATACAMA</v>
      </c>
      <c r="Q699" s="5" t="s">
        <v>85</v>
      </c>
      <c r="R699" s="5" t="s">
        <v>86</v>
      </c>
      <c r="S699" s="6"/>
      <c r="T699" s="5" t="str">
        <f>UPPER(IF(Tabla2[[#This Row],[FECHA DE MUESTREO ]]=0,"",TEXT(Tabla2[[#This Row],[FECHA DE MUESTREO ]],("MMMM"))))</f>
        <v>OCTUBRE</v>
      </c>
      <c r="U699" s="6">
        <v>45952</v>
      </c>
      <c r="V699" s="5" t="s">
        <v>59</v>
      </c>
      <c r="W6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699" s="7">
        <f t="shared" si="26"/>
        <v>1</v>
      </c>
      <c r="Y699" s="5">
        <v>21</v>
      </c>
      <c r="Z699" s="5">
        <v>7.55</v>
      </c>
      <c r="AA699" s="5">
        <v>1</v>
      </c>
      <c r="AB699" s="5">
        <v>18.7</v>
      </c>
      <c r="AC699" s="5">
        <v>139</v>
      </c>
      <c r="AD699" s="5">
        <v>8.1999999999999993</v>
      </c>
      <c r="AE699" s="5">
        <v>33.799999999999997</v>
      </c>
      <c r="AF699" s="5">
        <v>0.2</v>
      </c>
      <c r="AG699" s="5">
        <v>40</v>
      </c>
      <c r="AH699" s="5">
        <v>30.96</v>
      </c>
      <c r="AI699" s="5">
        <f t="shared" si="25"/>
        <v>928.80000000000007</v>
      </c>
    </row>
    <row r="700" spans="1:51" x14ac:dyDescent="0.25">
      <c r="A700" s="5" t="s">
        <v>52</v>
      </c>
      <c r="B700" s="5" t="s">
        <v>82</v>
      </c>
      <c r="C700" s="5" t="s">
        <v>77</v>
      </c>
      <c r="E700" s="5" t="s">
        <v>236</v>
      </c>
      <c r="F700" s="5" t="s">
        <v>237</v>
      </c>
      <c r="G700" s="5" t="s">
        <v>229</v>
      </c>
      <c r="H700" s="5" t="s">
        <v>235</v>
      </c>
      <c r="I700" s="5">
        <v>24</v>
      </c>
      <c r="J700" s="5" t="str">
        <f>IFERROR(VLOOKUP(I700,[1]INFO_LOCALES!$B:$C,2,FALSE),"")</f>
        <v>CHACABUCO</v>
      </c>
      <c r="K700" s="5" t="str">
        <f>IFERROR(VLOOKUP(Tabla2[[#This Row],[TIENDA]],[1]INFO_LOCALES!$B:$D,3,FALSE),"")</f>
        <v>III - Atacama</v>
      </c>
      <c r="L700" s="5" t="str">
        <f>IFERROR(VLOOKUP(I700,[1]INFO_LOCALES!$B:$I,8,FALSE),"")</f>
        <v>Copiapó</v>
      </c>
      <c r="M700" s="5" t="str">
        <f>IFERROR(VLOOKUP(I700,[1]INFO_LOCALES!$B:$H,7,FALSE),"")</f>
        <v>Los Carreras  586</v>
      </c>
      <c r="N700" s="5">
        <f>IFERROR(VLOOKUP(I700,[1]INFO_LOCALES!$B:$E,4,FALSE),"")</f>
        <v>0</v>
      </c>
      <c r="O700" s="5" t="str">
        <f>VLOOKUP(Tabla2[[#This Row],[TIENDA]],[1]INFO_LOCALES!$B:$J,9,0)</f>
        <v>SIN CONVENIO</v>
      </c>
      <c r="P700" s="5" t="str">
        <f>IFERROR(VLOOKUP(I700,[1]INFO_LOCALES!$B:$F,5,FALSE),"")</f>
        <v>NUEVA ATACAMA</v>
      </c>
      <c r="Q700" s="5" t="s">
        <v>85</v>
      </c>
      <c r="R700" s="5" t="s">
        <v>86</v>
      </c>
      <c r="S700" s="6"/>
      <c r="T700" s="5" t="str">
        <f>UPPER(IF(Tabla2[[#This Row],[FECHA DE MUESTREO ]]=0,"",TEXT(Tabla2[[#This Row],[FECHA DE MUESTREO ]],("MMMM"))))</f>
        <v>OCTUBRE</v>
      </c>
      <c r="U700" s="6">
        <v>45952</v>
      </c>
      <c r="V700" s="5" t="s">
        <v>59</v>
      </c>
      <c r="W7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00" s="7">
        <f t="shared" si="26"/>
        <v>1</v>
      </c>
      <c r="Y700" s="5">
        <v>142</v>
      </c>
      <c r="Z700" s="5">
        <v>7.4</v>
      </c>
      <c r="AA700" s="5">
        <v>1</v>
      </c>
      <c r="AB700" s="5">
        <v>22.1</v>
      </c>
      <c r="AC700" s="5">
        <v>242</v>
      </c>
      <c r="AD700" s="5">
        <v>3.2</v>
      </c>
      <c r="AE700" s="5">
        <v>12.8</v>
      </c>
      <c r="AF700" s="5">
        <v>1</v>
      </c>
      <c r="AG700" s="5">
        <v>72</v>
      </c>
      <c r="AI700" s="5">
        <f t="shared" si="25"/>
        <v>0</v>
      </c>
    </row>
    <row r="701" spans="1:51" x14ac:dyDescent="0.25">
      <c r="A701" s="5" t="s">
        <v>52</v>
      </c>
      <c r="B701" s="5" t="s">
        <v>82</v>
      </c>
      <c r="C701" s="5" t="s">
        <v>77</v>
      </c>
      <c r="E701" s="6" t="s">
        <v>238</v>
      </c>
      <c r="F701" s="5" t="s">
        <v>55</v>
      </c>
      <c r="G701" s="5" t="s">
        <v>229</v>
      </c>
      <c r="H701" s="5" t="s">
        <v>57</v>
      </c>
      <c r="I701" s="5">
        <v>472</v>
      </c>
      <c r="J701" s="5" t="str">
        <f>IFERROR(VLOOKUP(I701,[1]INFO_LOCALES!$B:$C,2,FALSE),"")</f>
        <v>CALDERA I</v>
      </c>
      <c r="K701" s="5" t="str">
        <f>IFERROR(VLOOKUP(Tabla2[[#This Row],[TIENDA]],[1]INFO_LOCALES!$B:$D,3,FALSE),"")</f>
        <v>III - Atacama</v>
      </c>
      <c r="L701" s="5" t="str">
        <f>IFERROR(VLOOKUP(I701,[1]INFO_LOCALES!$B:$I,8,FALSE),"")</f>
        <v>Caldera</v>
      </c>
      <c r="M701" s="5" t="str">
        <f>IFERROR(VLOOKUP(I701,[1]INFO_LOCALES!$B:$H,7,FALSE),"")</f>
        <v>Batallon Atacama 319</v>
      </c>
      <c r="N701" s="5">
        <f>IFERROR(VLOOKUP(I701,[1]INFO_LOCALES!$B:$E,4,FALSE),"")</f>
        <v>0</v>
      </c>
      <c r="O701" s="5" t="str">
        <f>VLOOKUP(Tabla2[[#This Row],[TIENDA]],[1]INFO_LOCALES!$B:$J,9,0)</f>
        <v>CONVENIO</v>
      </c>
      <c r="P701" s="5" t="str">
        <f>IFERROR(VLOOKUP(I701,[1]INFO_LOCALES!$B:$F,5,FALSE),"")</f>
        <v>NUEVA ATACAMA</v>
      </c>
      <c r="Q701" s="5" t="s">
        <v>85</v>
      </c>
      <c r="R701" s="5" t="s">
        <v>86</v>
      </c>
      <c r="S701" s="6"/>
      <c r="T701" s="5" t="str">
        <f>UPPER(IF(Tabla2[[#This Row],[FECHA DE MUESTREO ]]=0,"",TEXT(Tabla2[[#This Row],[FECHA DE MUESTREO ]],("MMMM"))))</f>
        <v>OCTUBRE</v>
      </c>
      <c r="U701" s="6">
        <v>45952</v>
      </c>
      <c r="V701" s="5" t="s">
        <v>59</v>
      </c>
      <c r="W7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01" s="7">
        <f t="shared" si="26"/>
        <v>2</v>
      </c>
      <c r="Y701" s="5">
        <v>15</v>
      </c>
      <c r="Z701" s="5">
        <v>6.94</v>
      </c>
      <c r="AA701" s="5">
        <v>3</v>
      </c>
      <c r="AB701" s="5">
        <v>24.28</v>
      </c>
      <c r="AC701" s="5">
        <v>302</v>
      </c>
      <c r="AD701" s="5">
        <v>22.2</v>
      </c>
      <c r="AE701" s="5">
        <v>70.7</v>
      </c>
      <c r="AF701" s="5">
        <v>0.1</v>
      </c>
      <c r="AG701" s="5">
        <v>44</v>
      </c>
      <c r="AI701" s="5">
        <f t="shared" ref="AI701:AI776" si="27">AH701*30</f>
        <v>0</v>
      </c>
    </row>
    <row r="702" spans="1:51" x14ac:dyDescent="0.25">
      <c r="A702" s="5" t="s">
        <v>52</v>
      </c>
      <c r="B702" s="5" t="s">
        <v>103</v>
      </c>
      <c r="C702" s="5" t="s">
        <v>77</v>
      </c>
      <c r="E702" s="5" t="s">
        <v>57</v>
      </c>
      <c r="F702" s="5" t="s">
        <v>55</v>
      </c>
      <c r="G702" s="5" t="s">
        <v>61</v>
      </c>
      <c r="H702" s="5" t="s">
        <v>57</v>
      </c>
      <c r="I702" s="5">
        <v>34</v>
      </c>
      <c r="J702" s="5" t="str">
        <f>IFERROR(VLOOKUP(I702,[1]INFO_LOCALES!$B:$C,2,FALSE),"")</f>
        <v>LA CHIMBA</v>
      </c>
      <c r="K702" s="5" t="str">
        <f>IFERROR(VLOOKUP(Tabla2[[#This Row],[TIENDA]],[1]INFO_LOCALES!$B:$D,3,FALSE),"")</f>
        <v>II - Antofagasta</v>
      </c>
      <c r="L702" s="5" t="str">
        <f>IFERROR(VLOOKUP(I702,[1]INFO_LOCALES!$B:$I,8,FALSE),"")</f>
        <v>Antofagasta</v>
      </c>
      <c r="M702" s="5" t="str">
        <f>IFERROR(VLOOKUP(I702,[1]INFO_LOCALES!$B:$H,7,FALSE),"")</f>
        <v>Pedro Aguirre Cerda 8700</v>
      </c>
      <c r="N702" s="5">
        <f>IFERROR(VLOOKUP(I702,[1]INFO_LOCALES!$B:$E,4,FALSE),"")</f>
        <v>0</v>
      </c>
      <c r="O702" s="5" t="str">
        <f>VLOOKUP(Tabla2[[#This Row],[TIENDA]],[1]INFO_LOCALES!$B:$J,9,0)</f>
        <v>SIN CONVENIO</v>
      </c>
      <c r="P702" s="5" t="str">
        <f>IFERROR(VLOOKUP(I702,[1]INFO_LOCALES!$B:$F,5,FALSE),"")</f>
        <v>AGUAS DE ANTOFAGASTA S A</v>
      </c>
      <c r="Q702" s="5" t="s">
        <v>85</v>
      </c>
      <c r="R702" s="5" t="s">
        <v>86</v>
      </c>
      <c r="S702" s="6"/>
      <c r="T702" s="5" t="str">
        <f>UPPER(IF(Tabla2[[#This Row],[FECHA DE MUESTREO ]]=0,"",TEXT(Tabla2[[#This Row],[FECHA DE MUESTREO ]],("MMMM"))))</f>
        <v>OCTUBRE</v>
      </c>
      <c r="U702" s="6">
        <v>45953</v>
      </c>
      <c r="V702" s="5" t="s">
        <v>59</v>
      </c>
      <c r="W7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02" s="7">
        <f t="shared" si="26"/>
        <v>1</v>
      </c>
      <c r="Y702" s="5">
        <v>22</v>
      </c>
      <c r="Z702" s="5">
        <v>7.71</v>
      </c>
      <c r="AA702" s="5">
        <v>1</v>
      </c>
      <c r="AB702" s="5">
        <v>21.61</v>
      </c>
      <c r="AC702" s="5">
        <v>123</v>
      </c>
      <c r="AD702" s="5">
        <v>6.5</v>
      </c>
      <c r="AE702" s="5">
        <v>25.6</v>
      </c>
      <c r="AF702" s="5">
        <v>0.5</v>
      </c>
      <c r="AG702" s="5">
        <v>36</v>
      </c>
      <c r="AH702" s="5">
        <v>1.1599999999999999</v>
      </c>
      <c r="AI702" s="5">
        <f t="shared" si="27"/>
        <v>34.799999999999997</v>
      </c>
    </row>
    <row r="703" spans="1:51" x14ac:dyDescent="0.25">
      <c r="A703" s="5" t="s">
        <v>52</v>
      </c>
      <c r="B703" s="5" t="s">
        <v>82</v>
      </c>
      <c r="C703" s="5" t="s">
        <v>77</v>
      </c>
      <c r="E703" s="5" t="s">
        <v>57</v>
      </c>
      <c r="F703" s="5" t="s">
        <v>55</v>
      </c>
      <c r="G703" s="5" t="s">
        <v>65</v>
      </c>
      <c r="H703" s="5" t="s">
        <v>57</v>
      </c>
      <c r="I703" s="5">
        <v>7</v>
      </c>
      <c r="J703" s="5" t="str">
        <f>IFERROR(VLOOKUP(I703,[1]INFO_LOCALES!$B:$C,2,FALSE),"")</f>
        <v>VALLENAR I</v>
      </c>
      <c r="K703" s="5" t="str">
        <f>IFERROR(VLOOKUP(Tabla2[[#This Row],[TIENDA]],[1]INFO_LOCALES!$B:$D,3,FALSE),"")</f>
        <v>III - Atacama</v>
      </c>
      <c r="L703" s="5" t="str">
        <f>IFERROR(VLOOKUP(I703,[1]INFO_LOCALES!$B:$I,8,FALSE),"")</f>
        <v>Vallenar</v>
      </c>
      <c r="M703" s="5" t="str">
        <f>IFERROR(VLOOKUP(I703,[1]INFO_LOCALES!$B:$H,7,FALSE),"")</f>
        <v>Brasil 663</v>
      </c>
      <c r="N703" s="5">
        <f>IFERROR(VLOOKUP(I703,[1]INFO_LOCALES!$B:$E,4,FALSE),"")</f>
        <v>0</v>
      </c>
      <c r="O703" s="5" t="str">
        <f>VLOOKUP(Tabla2[[#This Row],[TIENDA]],[1]INFO_LOCALES!$B:$J,9,0)</f>
        <v>CONVENIO</v>
      </c>
      <c r="P703" s="5" t="str">
        <f>IFERROR(VLOOKUP(I703,[1]INFO_LOCALES!$B:$F,5,FALSE),"")</f>
        <v>NUEVA ATACAMA</v>
      </c>
      <c r="Q703" s="5" t="s">
        <v>85</v>
      </c>
      <c r="R703" s="5" t="s">
        <v>86</v>
      </c>
      <c r="S703" s="6"/>
      <c r="T703" s="5" t="str">
        <f>UPPER(IF(Tabla2[[#This Row],[FECHA DE MUESTREO ]]=0,"",TEXT(Tabla2[[#This Row],[FECHA DE MUESTREO ]],("MMMM"))))</f>
        <v>OCTUBRE</v>
      </c>
      <c r="U703" s="6">
        <v>45954</v>
      </c>
      <c r="V703" s="5" t="s">
        <v>59</v>
      </c>
      <c r="W7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03" s="7">
        <f t="shared" si="26"/>
        <v>1</v>
      </c>
      <c r="Y703" s="5">
        <v>2</v>
      </c>
      <c r="Z703" s="5">
        <v>7.91</v>
      </c>
      <c r="AA703" s="5">
        <v>1</v>
      </c>
      <c r="AB703" s="5">
        <v>22.14</v>
      </c>
      <c r="AC703" s="5">
        <v>20</v>
      </c>
      <c r="AD703" s="5">
        <v>3.1</v>
      </c>
      <c r="AE703" s="5">
        <v>4.3</v>
      </c>
      <c r="AF703" s="5">
        <v>0.3</v>
      </c>
      <c r="AG703" s="5">
        <v>8</v>
      </c>
      <c r="AH703" s="5">
        <v>1.1299999999999999</v>
      </c>
      <c r="AI703" s="5">
        <f t="shared" si="27"/>
        <v>33.9</v>
      </c>
    </row>
    <row r="704" spans="1:51" x14ac:dyDescent="0.25">
      <c r="A704" s="5" t="s">
        <v>52</v>
      </c>
      <c r="B704" s="5" t="s">
        <v>82</v>
      </c>
      <c r="C704" s="5" t="s">
        <v>77</v>
      </c>
      <c r="E704" s="5" t="s">
        <v>239</v>
      </c>
      <c r="F704" s="5" t="s">
        <v>55</v>
      </c>
      <c r="G704" s="5" t="s">
        <v>65</v>
      </c>
      <c r="H704" s="5" t="s">
        <v>57</v>
      </c>
      <c r="I704" s="5">
        <v>32</v>
      </c>
      <c r="J704" s="5" t="str">
        <f>IFERROR(VLOOKUP(I704,[1]INFO_LOCALES!$B:$C,2,FALSE),"")</f>
        <v>CHAÑARCILLO</v>
      </c>
      <c r="K704" s="5" t="str">
        <f>IFERROR(VLOOKUP(Tabla2[[#This Row],[TIENDA]],[1]INFO_LOCALES!$B:$D,3,FALSE),"")</f>
        <v>III - Atacama</v>
      </c>
      <c r="L704" s="5" t="str">
        <f>IFERROR(VLOOKUP(I704,[1]INFO_LOCALES!$B:$I,8,FALSE),"")</f>
        <v>Copiapó</v>
      </c>
      <c r="M704" s="5" t="str">
        <f>IFERROR(VLOOKUP(I704,[1]INFO_LOCALES!$B:$H,7,FALSE),"")</f>
        <v>Chacabuco Nº 231</v>
      </c>
      <c r="N704" s="5">
        <f>IFERROR(VLOOKUP(I704,[1]INFO_LOCALES!$B:$E,4,FALSE),"")</f>
        <v>0</v>
      </c>
      <c r="O704" s="5" t="str">
        <f>VLOOKUP(Tabla2[[#This Row],[TIENDA]],[1]INFO_LOCALES!$B:$J,9,0)</f>
        <v>CONVENIO</v>
      </c>
      <c r="P704" s="5" t="str">
        <f>IFERROR(VLOOKUP(I704,[1]INFO_LOCALES!$B:$F,5,FALSE),"")</f>
        <v>NUEVA ATACAMA</v>
      </c>
      <c r="Q704" s="5" t="s">
        <v>85</v>
      </c>
      <c r="R704" s="5" t="s">
        <v>86</v>
      </c>
      <c r="S704" s="6"/>
      <c r="T704" s="5" t="str">
        <f>UPPER(IF(Tabla2[[#This Row],[FECHA DE MUESTREO ]]=0,"",TEXT(Tabla2[[#This Row],[FECHA DE MUESTREO ]],("MMMM"))))</f>
        <v>OCTUBRE</v>
      </c>
      <c r="U704" s="6">
        <v>45951</v>
      </c>
      <c r="V704" s="5" t="s">
        <v>59</v>
      </c>
      <c r="W7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04" s="7">
        <f t="shared" si="26"/>
        <v>2</v>
      </c>
      <c r="Y704" s="5">
        <v>9</v>
      </c>
      <c r="Z704" s="5">
        <v>7.9</v>
      </c>
      <c r="AA704" s="5">
        <v>3</v>
      </c>
      <c r="AB704" s="5">
        <v>18.399999999999999</v>
      </c>
      <c r="AC704" s="5">
        <v>461</v>
      </c>
      <c r="AD704" s="5">
        <v>12</v>
      </c>
      <c r="AE704" s="5">
        <v>16.399999999999999</v>
      </c>
      <c r="AF704" s="5">
        <v>0.1</v>
      </c>
      <c r="AG704" s="5">
        <v>56</v>
      </c>
      <c r="AI704" s="5">
        <f t="shared" si="27"/>
        <v>0</v>
      </c>
    </row>
    <row r="705" spans="1:51" x14ac:dyDescent="0.25">
      <c r="A705" s="5" t="s">
        <v>60</v>
      </c>
      <c r="B705" s="5" t="e">
        <v>#N/A</v>
      </c>
      <c r="C705" s="5" t="e">
        <v>#N/A</v>
      </c>
      <c r="E705" s="5" t="s">
        <v>232</v>
      </c>
      <c r="F705" s="5" t="s">
        <v>55</v>
      </c>
      <c r="G705" s="5" t="s">
        <v>61</v>
      </c>
      <c r="H705" s="5" t="s">
        <v>57</v>
      </c>
      <c r="I705" s="5">
        <v>3143</v>
      </c>
      <c r="J705" s="5" t="str">
        <f>IFERROR(VLOOKUP(I705,[1]INFO_LOCALES!$B:$C,2,FALSE),"")</f>
        <v>M10 TEMUCO IV</v>
      </c>
      <c r="K705" s="5" t="str">
        <f>IFERROR(VLOOKUP(Tabla2[[#This Row],[TIENDA]],[1]INFO_LOCALES!$B:$D,3,FALSE),"")</f>
        <v>IX - Araucanía</v>
      </c>
      <c r="L705" s="5" t="str">
        <f>IFERROR(VLOOKUP(I705,[1]INFO_LOCALES!$B:$I,8,FALSE),"")</f>
        <v>Temuco</v>
      </c>
      <c r="M705" s="5" t="str">
        <f>IFERROR(VLOOKUP(I705,[1]INFO_LOCALES!$B:$H,7,FALSE),"")</f>
        <v>Francisco Salazar 01650</v>
      </c>
      <c r="N705" s="5">
        <f>IFERROR(VLOOKUP(I705,[1]INFO_LOCALES!$B:$E,4,FALSE),"")</f>
        <v>4422</v>
      </c>
      <c r="O705" s="5" t="str">
        <f>VLOOKUP(Tabla2[[#This Row],[TIENDA]],[1]INFO_LOCALES!$B:$J,9,0)</f>
        <v>CONVENIO</v>
      </c>
      <c r="P705" s="5" t="str">
        <f>IFERROR(VLOOKUP(I705,[1]INFO_LOCALES!$B:$F,5,FALSE),"")</f>
        <v>AGUAS ARAUCANIA S A</v>
      </c>
      <c r="Q705" s="5" t="s">
        <v>85</v>
      </c>
      <c r="R705" s="5" t="s">
        <v>86</v>
      </c>
      <c r="S705" s="6"/>
      <c r="T705" s="5" t="str">
        <f>UPPER(IF(Tabla2[[#This Row],[FECHA DE MUESTREO ]]=0,"",TEXT(Tabla2[[#This Row],[FECHA DE MUESTREO ]],("MMMM"))))</f>
        <v>OCTUBRE</v>
      </c>
      <c r="U705" s="6">
        <v>45953</v>
      </c>
      <c r="V705" s="5" t="s">
        <v>59</v>
      </c>
      <c r="W7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05" s="7">
        <f t="shared" si="26"/>
        <v>1</v>
      </c>
      <c r="Y705" s="5">
        <v>4</v>
      </c>
      <c r="Z705" s="5">
        <v>7.24</v>
      </c>
      <c r="AA705" s="5">
        <v>1</v>
      </c>
      <c r="AB705" s="5">
        <v>14.85</v>
      </c>
      <c r="AC705" s="5">
        <v>25</v>
      </c>
      <c r="AD705" s="5">
        <v>1.7</v>
      </c>
      <c r="AE705" s="5">
        <v>6.1</v>
      </c>
      <c r="AF705" s="5">
        <v>17</v>
      </c>
      <c r="AG705" s="5">
        <v>4</v>
      </c>
      <c r="AH705" s="5">
        <v>3</v>
      </c>
      <c r="AI705" s="5">
        <f t="shared" si="27"/>
        <v>90</v>
      </c>
    </row>
    <row r="706" spans="1:51" x14ac:dyDescent="0.25">
      <c r="A706" s="5" t="s">
        <v>60</v>
      </c>
      <c r="B706" s="5" t="e">
        <v>#N/A</v>
      </c>
      <c r="C706" s="5" t="e">
        <v>#N/A</v>
      </c>
      <c r="E706" s="5" t="s">
        <v>240</v>
      </c>
      <c r="F706" s="5" t="s">
        <v>234</v>
      </c>
      <c r="G706" s="5" t="s">
        <v>241</v>
      </c>
      <c r="H706" s="5" t="s">
        <v>235</v>
      </c>
      <c r="I706" s="5">
        <v>3022</v>
      </c>
      <c r="J706" s="5" t="str">
        <f>IFERROR(VLOOKUP(I706,[1]INFO_LOCALES!$B:$C,2,FALSE),"")</f>
        <v>M10 TEMUCO II</v>
      </c>
      <c r="K706" s="5" t="str">
        <f>IFERROR(VLOOKUP(Tabla2[[#This Row],[TIENDA]],[1]INFO_LOCALES!$B:$D,3,FALSE),"")</f>
        <v>IX - Araucanía</v>
      </c>
      <c r="L706" s="5" t="str">
        <f>IFERROR(VLOOKUP(I706,[1]INFO_LOCALES!$B:$I,8,FALSE),"")</f>
        <v>Temuco</v>
      </c>
      <c r="M706" s="5" t="str">
        <f>IFERROR(VLOOKUP(I706,[1]INFO_LOCALES!$B:$H,7,FALSE),"")</f>
        <v>Pedro De Valdivia 2285</v>
      </c>
      <c r="N706" s="5">
        <f>IFERROR(VLOOKUP(I706,[1]INFO_LOCALES!$B:$E,4,FALSE),"")</f>
        <v>3721</v>
      </c>
      <c r="O706" s="5" t="str">
        <f>VLOOKUP(Tabla2[[#This Row],[TIENDA]],[1]INFO_LOCALES!$B:$J,9,0)</f>
        <v>CONVENIO</v>
      </c>
      <c r="P706" s="5" t="str">
        <f>IFERROR(VLOOKUP(I706,[1]INFO_LOCALES!$B:$F,5,FALSE),"")</f>
        <v>AGUAS ARAUCANIA S A</v>
      </c>
      <c r="Q706" s="5" t="s">
        <v>85</v>
      </c>
      <c r="R706" s="5" t="s">
        <v>86</v>
      </c>
      <c r="S706" s="6"/>
      <c r="T706" s="5" t="str">
        <f>UPPER(IF(Tabla2[[#This Row],[FECHA DE MUESTREO ]]=0,"",TEXT(Tabla2[[#This Row],[FECHA DE MUESTREO ]],("MMMM"))))</f>
        <v>OCTUBRE</v>
      </c>
      <c r="U706" s="6">
        <v>45953</v>
      </c>
      <c r="V706" s="5" t="s">
        <v>59</v>
      </c>
      <c r="W7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06" s="7">
        <f t="shared" si="26"/>
        <v>2</v>
      </c>
      <c r="Y706" s="5">
        <v>4</v>
      </c>
      <c r="Z706" s="5">
        <v>7.3</v>
      </c>
      <c r="AA706" s="5">
        <v>10</v>
      </c>
      <c r="AB706" s="5">
        <v>14.9</v>
      </c>
      <c r="AC706" s="5">
        <v>310</v>
      </c>
      <c r="AD706" s="5">
        <v>8.6999999999999993</v>
      </c>
      <c r="AE706" s="5">
        <v>27.3</v>
      </c>
      <c r="AF706" s="5">
        <v>35</v>
      </c>
      <c r="AG706" s="5">
        <v>84</v>
      </c>
      <c r="AI706" s="5">
        <f t="shared" si="27"/>
        <v>0</v>
      </c>
    </row>
    <row r="707" spans="1:51" x14ac:dyDescent="0.25">
      <c r="A707" s="5" t="s">
        <v>52</v>
      </c>
      <c r="B707" s="5" t="e">
        <v>#N/A</v>
      </c>
      <c r="C707" s="5" t="e">
        <v>#N/A</v>
      </c>
      <c r="E707" s="5" t="s">
        <v>242</v>
      </c>
      <c r="F707" s="5" t="s">
        <v>55</v>
      </c>
      <c r="G707" s="5" t="s">
        <v>61</v>
      </c>
      <c r="H707" s="5" t="s">
        <v>57</v>
      </c>
      <c r="I707" s="5">
        <v>9139</v>
      </c>
      <c r="J707" s="5" t="str">
        <f>IFERROR(VLOOKUP(I707,[1]INFO_LOCALES!$B:$C,2,FALSE),"")</f>
        <v>CD LO AGUIRRE</v>
      </c>
      <c r="K707" s="5" t="str">
        <f>IFERROR(VLOOKUP(Tabla2[[#This Row],[TIENDA]],[1]INFO_LOCALES!$B:$D,3,FALSE),"")</f>
        <v>RM - Santiago</v>
      </c>
      <c r="L707" s="5" t="str">
        <f>IFERROR(VLOOKUP(I707,[1]INFO_LOCALES!$B:$I,8,FALSE),"")</f>
        <v>Pudahuel</v>
      </c>
      <c r="M707" s="5" t="str">
        <f>IFERROR(VLOOKUP(I707,[1]INFO_LOCALES!$B:$H,7,FALSE),"")</f>
        <v>CAMINO LO AGUIRRE SUR 537</v>
      </c>
      <c r="N707" s="5">
        <f>IFERROR(VLOOKUP(I707,[1]INFO_LOCALES!$B:$E,4,FALSE),"")</f>
        <v>3552</v>
      </c>
      <c r="O707" s="5" t="str">
        <f>VLOOKUP(Tabla2[[#This Row],[TIENDA]],[1]INFO_LOCALES!$B:$J,9,0)</f>
        <v>SIN CONVENIO</v>
      </c>
      <c r="P707" s="5" t="str">
        <f>IFERROR(VLOOKUP(I707,[1]INFO_LOCALES!$B:$F,5,FALSE),"")</f>
        <v>AGUAS IZARRA</v>
      </c>
      <c r="Q707" s="5" t="s">
        <v>85</v>
      </c>
      <c r="R707" s="5" t="s">
        <v>86</v>
      </c>
      <c r="S707" s="6"/>
      <c r="T707" s="5" t="str">
        <f>UPPER(IF(Tabla2[[#This Row],[FECHA DE MUESTREO ]]=0,"",TEXT(Tabla2[[#This Row],[FECHA DE MUESTREO ]],("MMMM"))))</f>
        <v>OCTUBRE</v>
      </c>
      <c r="U707" s="6">
        <v>45957</v>
      </c>
      <c r="V707" s="5" t="s">
        <v>59</v>
      </c>
      <c r="W7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07" s="7">
        <f t="shared" si="26"/>
        <v>1</v>
      </c>
      <c r="Y707" s="5">
        <v>8.1</v>
      </c>
      <c r="Z707" s="5">
        <v>7.58</v>
      </c>
      <c r="AA707" s="5">
        <v>2</v>
      </c>
      <c r="AB707" s="5">
        <v>21.07</v>
      </c>
      <c r="AC707" s="5">
        <v>84</v>
      </c>
      <c r="AD707" s="5">
        <v>3.5</v>
      </c>
      <c r="AE707" s="5">
        <v>24.88</v>
      </c>
      <c r="AF707" s="5">
        <v>0.5</v>
      </c>
      <c r="AG707" s="5">
        <v>44</v>
      </c>
      <c r="AH707" s="5">
        <v>0.68</v>
      </c>
      <c r="AI707" s="5">
        <f t="shared" si="27"/>
        <v>20.400000000000002</v>
      </c>
      <c r="AS707" s="5">
        <v>10</v>
      </c>
    </row>
    <row r="708" spans="1:51" x14ac:dyDescent="0.25">
      <c r="A708" s="5" t="s">
        <v>52</v>
      </c>
      <c r="B708" s="5" t="s">
        <v>103</v>
      </c>
      <c r="C708" s="5" t="s">
        <v>77</v>
      </c>
      <c r="E708" s="5" t="s">
        <v>243</v>
      </c>
      <c r="F708" s="5" t="s">
        <v>55</v>
      </c>
      <c r="G708" s="5" t="s">
        <v>56</v>
      </c>
      <c r="H708" s="5" t="s">
        <v>57</v>
      </c>
      <c r="I708" s="5">
        <v>28</v>
      </c>
      <c r="J708" s="5" t="str">
        <f>IFERROR(VLOOKUP(I708,[1]INFO_LOCALES!$B:$C,2,FALSE),"")</f>
        <v>PARQUE</v>
      </c>
      <c r="K708" s="5" t="str">
        <f>IFERROR(VLOOKUP(Tabla2[[#This Row],[TIENDA]],[1]INFO_LOCALES!$B:$D,3,FALSE),"")</f>
        <v>II - Antofagasta</v>
      </c>
      <c r="L708" s="5" t="str">
        <f>IFERROR(VLOOKUP(I708,[1]INFO_LOCALES!$B:$I,8,FALSE),"")</f>
        <v>Antofagasta</v>
      </c>
      <c r="M708" s="5" t="str">
        <f>IFERROR(VLOOKUP(I708,[1]INFO_LOCALES!$B:$H,7,FALSE),"")</f>
        <v>Av. Jose Miguel Carrera 1527</v>
      </c>
      <c r="N708" s="5">
        <f>IFERROR(VLOOKUP(I708,[1]INFO_LOCALES!$B:$E,4,FALSE),"")</f>
        <v>0</v>
      </c>
      <c r="O708" s="5" t="str">
        <f>VLOOKUP(Tabla2[[#This Row],[TIENDA]],[1]INFO_LOCALES!$B:$J,9,0)</f>
        <v>SIN CONVENIO</v>
      </c>
      <c r="P708" s="5" t="str">
        <f>IFERROR(VLOOKUP(I708,[1]INFO_LOCALES!$B:$F,5,FALSE),"")</f>
        <v>AGUAS DE ANTOFAGASTA S A</v>
      </c>
      <c r="Q708" s="5" t="s">
        <v>85</v>
      </c>
      <c r="R708" s="5" t="s">
        <v>58</v>
      </c>
      <c r="S708" s="6"/>
      <c r="T708" s="5" t="str">
        <f>UPPER(IF(Tabla2[[#This Row],[FECHA DE MUESTREO ]]=0,"",TEXT(Tabla2[[#This Row],[FECHA DE MUESTREO ]],("MMMM"))))</f>
        <v>AGOSTO</v>
      </c>
      <c r="U708" s="6">
        <v>45896</v>
      </c>
      <c r="V708" s="5" t="s">
        <v>59</v>
      </c>
      <c r="W7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08" s="7">
        <f t="shared" si="26"/>
        <v>3</v>
      </c>
      <c r="Y708" s="5">
        <v>14</v>
      </c>
      <c r="Z708" s="5">
        <v>7.51</v>
      </c>
      <c r="AA708" s="5">
        <v>0.8</v>
      </c>
      <c r="AB708" s="5">
        <v>21.6</v>
      </c>
      <c r="AC708" s="5">
        <v>23</v>
      </c>
      <c r="AE708" s="5">
        <v>3.6</v>
      </c>
      <c r="AF708" s="5">
        <v>0.2</v>
      </c>
      <c r="AG708" s="5">
        <v>25</v>
      </c>
      <c r="AH708" s="5">
        <v>4.0730000000000004</v>
      </c>
      <c r="AI708" s="5">
        <f t="shared" si="27"/>
        <v>122.19000000000001</v>
      </c>
      <c r="AX708" s="5">
        <v>2726</v>
      </c>
    </row>
    <row r="709" spans="1:51" x14ac:dyDescent="0.25">
      <c r="A709" s="5" t="s">
        <v>52</v>
      </c>
      <c r="B709" s="5" t="s">
        <v>128</v>
      </c>
      <c r="C709" s="5" t="s">
        <v>77</v>
      </c>
      <c r="D709" s="5">
        <v>2025</v>
      </c>
      <c r="E709" s="5" t="s">
        <v>244</v>
      </c>
      <c r="F709" s="5" t="s">
        <v>237</v>
      </c>
      <c r="G709" s="5" t="s">
        <v>229</v>
      </c>
      <c r="H709" s="5" t="s">
        <v>235</v>
      </c>
      <c r="I709" s="5">
        <v>6</v>
      </c>
      <c r="J709" s="5" t="str">
        <f>IFERROR(VLOOKUP(I709,[1]INFO_LOCALES!$B:$C,2,FALSE),"")</f>
        <v>SINDEMPART</v>
      </c>
      <c r="K709" s="5" t="str">
        <f>IFERROR(VLOOKUP(Tabla2[[#This Row],[TIENDA]],[1]INFO_LOCALES!$B:$D,3,FALSE),"")</f>
        <v>IV - Coquimbo</v>
      </c>
      <c r="L709" s="5" t="str">
        <f>IFERROR(VLOOKUP(I709,[1]INFO_LOCALES!$B:$I,8,FALSE),"")</f>
        <v>Coquimbo</v>
      </c>
      <c r="M709" s="5" t="str">
        <f>IFERROR(VLOOKUP(I709,[1]INFO_LOCALES!$B:$H,7,FALSE),"")</f>
        <v>El Sauce 981</v>
      </c>
      <c r="N709" s="5">
        <f>IFERROR(VLOOKUP(I709,[1]INFO_LOCALES!$B:$E,4,FALSE),"")</f>
        <v>0</v>
      </c>
      <c r="O709" s="5" t="str">
        <f>VLOOKUP(Tabla2[[#This Row],[TIENDA]],[1]INFO_LOCALES!$B:$J,9,0)</f>
        <v>SIN CONVENIO</v>
      </c>
      <c r="P709" s="5" t="str">
        <f>IFERROR(VLOOKUP(I709,[1]INFO_LOCALES!$B:$F,5,FALSE),"")</f>
        <v>AGUAS DEL VALLE S A</v>
      </c>
      <c r="Q709" s="5" t="s">
        <v>85</v>
      </c>
      <c r="R709" s="5" t="s">
        <v>86</v>
      </c>
      <c r="S709" s="6"/>
      <c r="T709" s="5" t="str">
        <f>UPPER(IF(Tabla2[[#This Row],[FECHA DE MUESTREO ]]=0,"",TEXT(Tabla2[[#This Row],[FECHA DE MUESTREO ]],("MMMM"))))</f>
        <v>OCTUBRE</v>
      </c>
      <c r="U709" s="6">
        <v>45945</v>
      </c>
      <c r="V709" s="5" t="s">
        <v>59</v>
      </c>
      <c r="W7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09" s="7">
        <f t="shared" si="26"/>
        <v>3</v>
      </c>
      <c r="Y709" s="5">
        <v>2</v>
      </c>
      <c r="Z709" s="5">
        <v>8.7799999999999994</v>
      </c>
      <c r="AA709" s="5">
        <v>5</v>
      </c>
      <c r="AB709" s="5">
        <v>17.059999999999999</v>
      </c>
      <c r="AC709" s="5">
        <v>1110</v>
      </c>
      <c r="AD709" s="5">
        <v>9.8000000000000007</v>
      </c>
      <c r="AE709" s="5">
        <v>6.8</v>
      </c>
      <c r="AF709" s="5">
        <v>0.1</v>
      </c>
      <c r="AG709" s="5">
        <v>140</v>
      </c>
      <c r="AH709" s="5">
        <v>0.88</v>
      </c>
      <c r="AI709" s="5">
        <f t="shared" si="27"/>
        <v>26.4</v>
      </c>
    </row>
    <row r="710" spans="1:51" x14ac:dyDescent="0.25">
      <c r="A710" s="5" t="s">
        <v>52</v>
      </c>
      <c r="B710" s="5" t="s">
        <v>82</v>
      </c>
      <c r="C710" s="5" t="s">
        <v>77</v>
      </c>
      <c r="E710" s="5" t="s">
        <v>57</v>
      </c>
      <c r="F710" s="5" t="s">
        <v>55</v>
      </c>
      <c r="G710" s="5" t="s">
        <v>229</v>
      </c>
      <c r="H710" s="5" t="s">
        <v>57</v>
      </c>
      <c r="I710" s="5">
        <v>14</v>
      </c>
      <c r="J710" s="5" t="str">
        <f>IFERROR(VLOOKUP(I710,[1]INFO_LOCALES!$B:$C,2,FALSE),"")</f>
        <v>COPIAPO</v>
      </c>
      <c r="K710" s="5" t="str">
        <f>IFERROR(VLOOKUP(Tabla2[[#This Row],[TIENDA]],[1]INFO_LOCALES!$B:$D,3,FALSE),"")</f>
        <v>III - Atacama</v>
      </c>
      <c r="L710" s="5" t="str">
        <f>IFERROR(VLOOKUP(I710,[1]INFO_LOCALES!$B:$I,8,FALSE),"")</f>
        <v>Copiapó</v>
      </c>
      <c r="M710" s="5" t="str">
        <f>IFERROR(VLOOKUP(I710,[1]INFO_LOCALES!$B:$H,7,FALSE),"")</f>
        <v>Av. Henrriquez N° 523</v>
      </c>
      <c r="N710" s="5">
        <f>IFERROR(VLOOKUP(I710,[1]INFO_LOCALES!$B:$E,4,FALSE),"")</f>
        <v>0</v>
      </c>
      <c r="O710" s="5" t="str">
        <f>VLOOKUP(Tabla2[[#This Row],[TIENDA]],[1]INFO_LOCALES!$B:$J,9,0)</f>
        <v>CONVENIO</v>
      </c>
      <c r="P710" s="5" t="str">
        <f>IFERROR(VLOOKUP(I710,[1]INFO_LOCALES!$B:$F,5,FALSE),"")</f>
        <v>NUEVA ATACAMA</v>
      </c>
      <c r="Q710" s="5" t="s">
        <v>85</v>
      </c>
      <c r="R710" s="5" t="s">
        <v>86</v>
      </c>
      <c r="S710" s="6"/>
      <c r="T710" s="5" t="str">
        <f>UPPER(IF(Tabla2[[#This Row],[FECHA DE MUESTREO ]]=0,"",TEXT(Tabla2[[#This Row],[FECHA DE MUESTREO ]],("MMMM"))))</f>
        <v>OCTUBRE</v>
      </c>
      <c r="U710" s="6">
        <v>45953</v>
      </c>
      <c r="V710" s="5" t="s">
        <v>59</v>
      </c>
      <c r="W7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10" s="7">
        <f t="shared" si="26"/>
        <v>1</v>
      </c>
      <c r="Y710" s="5">
        <v>8</v>
      </c>
      <c r="Z710" s="5">
        <v>7.18</v>
      </c>
      <c r="AA710" s="5">
        <v>1</v>
      </c>
      <c r="AB710" s="5">
        <v>23.92</v>
      </c>
      <c r="AC710" s="5">
        <v>238</v>
      </c>
      <c r="AD710" s="5">
        <v>8.4</v>
      </c>
      <c r="AE710" s="5">
        <v>17.600000000000001</v>
      </c>
      <c r="AF710" s="5">
        <v>0.1</v>
      </c>
      <c r="AG710" s="5">
        <v>40</v>
      </c>
      <c r="AH710" s="5">
        <v>0.77</v>
      </c>
      <c r="AI710" s="5">
        <f t="shared" si="27"/>
        <v>23.1</v>
      </c>
    </row>
    <row r="711" spans="1:51" x14ac:dyDescent="0.25">
      <c r="A711" s="5" t="s">
        <v>52</v>
      </c>
      <c r="B711" s="5" t="s">
        <v>82</v>
      </c>
      <c r="C711" s="5" t="s">
        <v>77</v>
      </c>
      <c r="E711" s="5" t="s">
        <v>245</v>
      </c>
      <c r="F711" s="5" t="s">
        <v>234</v>
      </c>
      <c r="G711" s="5" t="s">
        <v>229</v>
      </c>
      <c r="H711" s="5" t="s">
        <v>235</v>
      </c>
      <c r="I711" s="5">
        <v>23</v>
      </c>
      <c r="J711" s="5" t="str">
        <f>IFERROR(VLOOKUP(I711,[1]INFO_LOCALES!$B:$C,2,FALSE),"")</f>
        <v>LOS CARRERAS</v>
      </c>
      <c r="K711" s="5" t="str">
        <f>IFERROR(VLOOKUP(Tabla2[[#This Row],[TIENDA]],[1]INFO_LOCALES!$B:$D,3,FALSE),"")</f>
        <v>III - Atacama</v>
      </c>
      <c r="L711" s="5" t="str">
        <f>IFERROR(VLOOKUP(I711,[1]INFO_LOCALES!$B:$I,8,FALSE),"")</f>
        <v>Copiapó</v>
      </c>
      <c r="M711" s="5" t="str">
        <f>IFERROR(VLOOKUP(I711,[1]INFO_LOCALES!$B:$H,7,FALSE),"")</f>
        <v>Los Carrera 479</v>
      </c>
      <c r="N711" s="5">
        <f>IFERROR(VLOOKUP(I711,[1]INFO_LOCALES!$B:$E,4,FALSE),"")</f>
        <v>0</v>
      </c>
      <c r="O711" s="5" t="str">
        <f>VLOOKUP(Tabla2[[#This Row],[TIENDA]],[1]INFO_LOCALES!$B:$J,9,0)</f>
        <v>SIN CONVENIO</v>
      </c>
      <c r="P711" s="5" t="str">
        <f>IFERROR(VLOOKUP(I711,[1]INFO_LOCALES!$B:$F,5,FALSE),"")</f>
        <v>NUEVA ATACAMA</v>
      </c>
      <c r="Q711" s="5" t="s">
        <v>85</v>
      </c>
      <c r="R711" s="5" t="s">
        <v>86</v>
      </c>
      <c r="S711" s="6"/>
      <c r="T711" s="5" t="str">
        <f>UPPER(IF(Tabla2[[#This Row],[FECHA DE MUESTREO ]]=0,"",TEXT(Tabla2[[#This Row],[FECHA DE MUESTREO ]],("MMMM"))))</f>
        <v>OCTUBRE</v>
      </c>
      <c r="U711" s="6">
        <v>45953</v>
      </c>
      <c r="V711" s="5" t="s">
        <v>59</v>
      </c>
      <c r="W7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11" s="7">
        <f t="shared" si="26"/>
        <v>2</v>
      </c>
      <c r="Y711" s="5">
        <v>9</v>
      </c>
      <c r="Z711" s="5">
        <v>7.7</v>
      </c>
      <c r="AA711" s="5">
        <v>3</v>
      </c>
      <c r="AB711" s="5">
        <v>22.8</v>
      </c>
      <c r="AC711" s="5">
        <v>439</v>
      </c>
      <c r="AD711" s="5">
        <v>14.4</v>
      </c>
      <c r="AE711" s="5">
        <v>56.8</v>
      </c>
      <c r="AF711" s="5">
        <v>0.1</v>
      </c>
      <c r="AG711" s="5">
        <v>60</v>
      </c>
      <c r="AI711" s="5">
        <f t="shared" si="27"/>
        <v>0</v>
      </c>
    </row>
    <row r="712" spans="1:51" x14ac:dyDescent="0.25">
      <c r="A712" s="5" t="s">
        <v>210</v>
      </c>
      <c r="B712" s="5" t="e">
        <v>#N/A</v>
      </c>
      <c r="C712" s="5" t="e">
        <v>#N/A</v>
      </c>
      <c r="E712" s="5" t="s">
        <v>216</v>
      </c>
      <c r="F712" s="5" t="s">
        <v>55</v>
      </c>
      <c r="G712" s="5" t="s">
        <v>65</v>
      </c>
      <c r="H712" s="5" t="s">
        <v>57</v>
      </c>
      <c r="I712" s="5">
        <v>9051</v>
      </c>
      <c r="J712" s="5" t="str">
        <f>IFERROR(VLOOKUP(I712,[1]INFO_LOCALES!$B:$C,2,FALSE),"")</f>
        <v>CD NUEVO COQUIMBO</v>
      </c>
      <c r="K712" s="5" t="str">
        <f>IFERROR(VLOOKUP(Tabla2[[#This Row],[TIENDA]],[1]INFO_LOCALES!$B:$D,3,FALSE),"")</f>
        <v>IV - Coquimbo</v>
      </c>
      <c r="L712" s="5" t="str">
        <f>IFERROR(VLOOKUP(I712,[1]INFO_LOCALES!$B:$I,8,FALSE),"")</f>
        <v>Coquimbo</v>
      </c>
      <c r="M712" s="5" t="str">
        <f>IFERROR(VLOOKUP(I712,[1]INFO_LOCALES!$B:$H,7,FALSE),"")</f>
        <v>PAN DE AZUCAR S/N</v>
      </c>
      <c r="N712" s="5">
        <f>IFERROR(VLOOKUP(I712,[1]INFO_LOCALES!$B:$E,4,FALSE),"")</f>
        <v>0</v>
      </c>
      <c r="O712" s="5" t="str">
        <f>VLOOKUP(Tabla2[[#This Row],[TIENDA]],[1]INFO_LOCALES!$B:$J,9,0)</f>
        <v>SIN CONVENIO</v>
      </c>
      <c r="P712" s="5" t="str">
        <f>IFERROR(VLOOKUP(I712,[1]INFO_LOCALES!$B:$F,5,FALSE),"")</f>
        <v>RENTAS COQUIMBO SPA</v>
      </c>
      <c r="Q712" s="5" t="s">
        <v>85</v>
      </c>
      <c r="R712" s="5" t="s">
        <v>86</v>
      </c>
      <c r="S712" s="6"/>
      <c r="T712" s="5" t="str">
        <f>UPPER(IF(Tabla2[[#This Row],[FECHA DE MUESTREO ]]=0,"",TEXT(Tabla2[[#This Row],[FECHA DE MUESTREO ]],("MMMM"))))</f>
        <v>OCTUBRE</v>
      </c>
      <c r="U712" s="6">
        <v>45958</v>
      </c>
      <c r="V712" s="5" t="s">
        <v>118</v>
      </c>
      <c r="W7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12" s="7">
        <f t="shared" si="26"/>
        <v>1</v>
      </c>
      <c r="Y712" s="5">
        <v>2.2999999999999998</v>
      </c>
      <c r="Z712" s="5">
        <v>7.7</v>
      </c>
      <c r="AA712" s="5">
        <v>2</v>
      </c>
      <c r="AB712" s="5">
        <v>22.3</v>
      </c>
      <c r="AC712" s="5">
        <v>10</v>
      </c>
      <c r="AD712" s="5">
        <v>1.2</v>
      </c>
      <c r="AG712" s="5">
        <v>10</v>
      </c>
      <c r="AI712" s="5">
        <f t="shared" si="27"/>
        <v>0</v>
      </c>
      <c r="AJ712" s="5">
        <v>0.1</v>
      </c>
      <c r="AK712" s="5">
        <v>2E-3</v>
      </c>
      <c r="AL712" s="5">
        <v>0.18629999999999999</v>
      </c>
      <c r="AM712" s="5">
        <v>0.01</v>
      </c>
      <c r="AN712" s="5">
        <v>0.1</v>
      </c>
      <c r="AO712" s="5">
        <v>0.05</v>
      </c>
      <c r="AP712" s="5">
        <v>0.05</v>
      </c>
      <c r="AR712" s="5">
        <v>0.05</v>
      </c>
      <c r="AS712" s="5">
        <v>5</v>
      </c>
      <c r="AT712" s="5">
        <v>1.5900000000000001E-2</v>
      </c>
      <c r="AU712" s="5">
        <v>1E-3</v>
      </c>
      <c r="AV712" s="5">
        <v>0.05</v>
      </c>
      <c r="AW712" s="5">
        <v>0.01</v>
      </c>
      <c r="AX712" s="5">
        <v>193</v>
      </c>
      <c r="AY712" s="5">
        <v>0.5</v>
      </c>
    </row>
    <row r="713" spans="1:51" x14ac:dyDescent="0.25">
      <c r="A713" s="5" t="s">
        <v>52</v>
      </c>
      <c r="B713" s="5" t="s">
        <v>116</v>
      </c>
      <c r="C713" s="5" t="s">
        <v>70</v>
      </c>
      <c r="E713" s="5" t="s">
        <v>246</v>
      </c>
      <c r="F713" s="5" t="s">
        <v>55</v>
      </c>
      <c r="G713" s="5" t="s">
        <v>61</v>
      </c>
      <c r="H713" s="5" t="s">
        <v>247</v>
      </c>
      <c r="I713" s="5">
        <v>477</v>
      </c>
      <c r="J713" s="5" t="str">
        <f>IFERROR(VLOOKUP(I713,[1]INFO_LOCALES!$B:$C,2,FALSE),"")</f>
        <v>CURAUMA</v>
      </c>
      <c r="K713" s="5" t="str">
        <f>IFERROR(VLOOKUP(Tabla2[[#This Row],[TIENDA]],[1]INFO_LOCALES!$B:$D,3,FALSE),"")</f>
        <v>V - Valparaiso</v>
      </c>
      <c r="L713" s="5" t="str">
        <f>IFERROR(VLOOKUP(I713,[1]INFO_LOCALES!$B:$I,8,FALSE),"")</f>
        <v>Valparaíso</v>
      </c>
      <c r="M713" s="5" t="str">
        <f>IFERROR(VLOOKUP(I713,[1]INFO_LOCALES!$B:$H,7,FALSE),"")</f>
        <v>Obispo Valdes 1170</v>
      </c>
      <c r="N713" s="5">
        <f>IFERROR(VLOOKUP(I713,[1]INFO_LOCALES!$B:$E,4,FALSE),"")</f>
        <v>2721</v>
      </c>
      <c r="O713" s="5" t="str">
        <f>VLOOKUP(Tabla2[[#This Row],[TIENDA]],[1]INFO_LOCALES!$B:$J,9,0)</f>
        <v>SIN CONVENIO</v>
      </c>
      <c r="P713" s="5" t="str">
        <f>IFERROR(VLOOKUP(I713,[1]INFO_LOCALES!$B:$F,5,FALSE),"")</f>
        <v>ESVAL S.A.</v>
      </c>
      <c r="Q713" s="5" t="s">
        <v>85</v>
      </c>
      <c r="R713" s="5" t="s">
        <v>86</v>
      </c>
      <c r="S713" s="6"/>
      <c r="T713" s="5" t="str">
        <f>UPPER(IF(Tabla2[[#This Row],[FECHA DE MUESTREO ]]=0,"",TEXT(Tabla2[[#This Row],[FECHA DE MUESTREO ]],("MMMM"))))</f>
        <v>NOVIEMBRE</v>
      </c>
      <c r="U713" s="6">
        <v>45964</v>
      </c>
      <c r="V713" s="5" t="s">
        <v>59</v>
      </c>
      <c r="W7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13" s="7">
        <f t="shared" si="26"/>
        <v>2</v>
      </c>
      <c r="Y713" s="5">
        <v>82.7</v>
      </c>
      <c r="Z713" s="5">
        <v>7.53</v>
      </c>
      <c r="AA713" s="5">
        <v>2</v>
      </c>
      <c r="AB713" s="5">
        <v>20.46</v>
      </c>
      <c r="AC713" s="5">
        <v>481</v>
      </c>
      <c r="AD713" s="5">
        <v>8.5</v>
      </c>
      <c r="AE713" s="5">
        <v>30.61</v>
      </c>
      <c r="AF713" s="5">
        <v>3</v>
      </c>
      <c r="AG713" s="5">
        <v>235.7</v>
      </c>
      <c r="AH713" s="5">
        <v>1.08</v>
      </c>
      <c r="AI713" s="5">
        <f t="shared" si="27"/>
        <v>32.400000000000006</v>
      </c>
    </row>
    <row r="714" spans="1:51" x14ac:dyDescent="0.25">
      <c r="A714" s="5" t="s">
        <v>60</v>
      </c>
      <c r="B714" s="5" t="e">
        <v>#N/A</v>
      </c>
      <c r="C714" s="5" t="e">
        <v>#N/A</v>
      </c>
      <c r="F714" s="5" t="s">
        <v>55</v>
      </c>
      <c r="G714" s="5" t="s">
        <v>229</v>
      </c>
      <c r="H714" s="5" t="s">
        <v>57</v>
      </c>
      <c r="I714" s="5">
        <v>3503</v>
      </c>
      <c r="J714" s="5" t="str">
        <f>IFERROR(VLOOKUP(I714,[1]INFO_LOCALES!$B:$C,2,FALSE),"")</f>
        <v>S10 PORTALES</v>
      </c>
      <c r="K714" s="5" t="str">
        <f>IFERROR(VLOOKUP(Tabla2[[#This Row],[TIENDA]],[1]INFO_LOCALES!$B:$D,3,FALSE),"")</f>
        <v>RM - Santiago</v>
      </c>
      <c r="L714" s="5" t="str">
        <f>IFERROR(VLOOKUP(I714,[1]INFO_LOCALES!$B:$I,8,FALSE),"")</f>
        <v>San Bernardo</v>
      </c>
      <c r="M714" s="5" t="str">
        <f>IFERROR(VLOOKUP(I714,[1]INFO_LOCALES!$B:$H,7,FALSE),"")</f>
        <v>Av. Portales Oriente 1701</v>
      </c>
      <c r="N714" s="5">
        <f>IFERROR(VLOOKUP(I714,[1]INFO_LOCALES!$B:$E,4,FALSE),"")</f>
        <v>0</v>
      </c>
      <c r="O714" s="5" t="str">
        <f>VLOOKUP(Tabla2[[#This Row],[TIENDA]],[1]INFO_LOCALES!$B:$J,9,0)</f>
        <v>SIN CONVENIO</v>
      </c>
      <c r="P714" s="5" t="str">
        <f>IFERROR(VLOOKUP(I714,[1]INFO_LOCALES!$B:$F,5,FALSE),"")</f>
        <v>AGUAS ANDINAS S.A.</v>
      </c>
      <c r="Q714" s="5" t="s">
        <v>113</v>
      </c>
      <c r="R714" s="5" t="s">
        <v>58</v>
      </c>
      <c r="S714" s="6"/>
      <c r="T714" s="5" t="str">
        <f>UPPER(IF(Tabla2[[#This Row],[FECHA DE MUESTREO ]]=0,"",TEXT(Tabla2[[#This Row],[FECHA DE MUESTREO ]],("MMMM"))))</f>
        <v>JULIO</v>
      </c>
      <c r="U714" s="6">
        <v>45861</v>
      </c>
      <c r="V714" s="5" t="s">
        <v>59</v>
      </c>
      <c r="W7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14" s="7">
        <f t="shared" si="26"/>
        <v>1</v>
      </c>
      <c r="Y714" s="5">
        <v>25</v>
      </c>
      <c r="Z714" s="5">
        <v>8.85</v>
      </c>
      <c r="AA714" s="5">
        <v>0.8</v>
      </c>
      <c r="AB714" s="5">
        <v>21.6</v>
      </c>
      <c r="AC714" s="5">
        <v>150</v>
      </c>
      <c r="AD714" s="5">
        <v>5.14</v>
      </c>
      <c r="AE714" s="5">
        <v>34.44</v>
      </c>
      <c r="AF714" s="5">
        <v>1</v>
      </c>
      <c r="AG714" s="5">
        <v>140</v>
      </c>
      <c r="AI714" s="5">
        <f t="shared" si="27"/>
        <v>0</v>
      </c>
    </row>
    <row r="715" spans="1:51" x14ac:dyDescent="0.25">
      <c r="A715" s="5" t="s">
        <v>52</v>
      </c>
      <c r="B715" s="5" t="s">
        <v>74</v>
      </c>
      <c r="C715" s="5" t="s">
        <v>74</v>
      </c>
      <c r="E715" s="5" t="s">
        <v>248</v>
      </c>
      <c r="F715" s="5" t="s">
        <v>55</v>
      </c>
      <c r="G715" s="5" t="s">
        <v>56</v>
      </c>
      <c r="H715" s="5" t="s">
        <v>249</v>
      </c>
      <c r="I715" s="5">
        <v>465</v>
      </c>
      <c r="J715" s="5" t="str">
        <f>IFERROR(VLOOKUP(I715,[1]INFO_LOCALES!$B:$C,2,FALSE),"")</f>
        <v>PUERTO NATALES</v>
      </c>
      <c r="K715" s="5" t="str">
        <f>IFERROR(VLOOKUP(Tabla2[[#This Row],[TIENDA]],[1]INFO_LOCALES!$B:$D,3,FALSE),"")</f>
        <v>XII - Magallanes</v>
      </c>
      <c r="L715" s="5" t="str">
        <f>IFERROR(VLOOKUP(I715,[1]INFO_LOCALES!$B:$I,8,FALSE),"")</f>
        <v>Puerto Natales</v>
      </c>
      <c r="M715" s="5" t="str">
        <f>IFERROR(VLOOKUP(I715,[1]INFO_LOCALES!$B:$H,7,FALSE),"")</f>
        <v>Bulnes 742</v>
      </c>
      <c r="N715" s="5">
        <f>IFERROR(VLOOKUP(I715,[1]INFO_LOCALES!$B:$E,4,FALSE),"")</f>
        <v>1133</v>
      </c>
      <c r="O715" s="5" t="str">
        <f>VLOOKUP(Tabla2[[#This Row],[TIENDA]],[1]INFO_LOCALES!$B:$J,9,0)</f>
        <v>SIN CONVENIO</v>
      </c>
      <c r="P715" s="5" t="str">
        <f>IFERROR(VLOOKUP(I715,[1]INFO_LOCALES!$B:$F,5,FALSE),"")</f>
        <v>AGUAS MAGALLANES S.A.</v>
      </c>
      <c r="Q715" s="5" t="s">
        <v>85</v>
      </c>
      <c r="R715" s="5" t="s">
        <v>86</v>
      </c>
      <c r="S715" s="6"/>
      <c r="T715" s="5" t="str">
        <f>UPPER(IF(Tabla2[[#This Row],[FECHA DE MUESTREO ]]=0,"",TEXT(Tabla2[[#This Row],[FECHA DE MUESTREO ]],("MMMM"))))</f>
        <v>OCTUBRE</v>
      </c>
      <c r="U715" s="6">
        <v>45954</v>
      </c>
      <c r="V715" s="5" t="s">
        <v>59</v>
      </c>
      <c r="W7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15" s="7">
        <f t="shared" si="26"/>
        <v>2</v>
      </c>
      <c r="Y715" s="5">
        <v>4</v>
      </c>
      <c r="Z715" s="5">
        <v>7.39</v>
      </c>
      <c r="AA715" s="5">
        <v>9</v>
      </c>
      <c r="AB715" s="5">
        <v>11.5</v>
      </c>
      <c r="AC715" s="5">
        <v>121</v>
      </c>
      <c r="AD715" s="5">
        <v>3.4</v>
      </c>
      <c r="AE715" s="5">
        <v>4.7699999999999996</v>
      </c>
      <c r="AF715" s="5">
        <v>0.5</v>
      </c>
      <c r="AG715" s="5">
        <v>34</v>
      </c>
      <c r="AH715" s="5">
        <v>1.35</v>
      </c>
      <c r="AI715" s="5">
        <f t="shared" si="27"/>
        <v>40.5</v>
      </c>
    </row>
    <row r="716" spans="1:51" x14ac:dyDescent="0.25">
      <c r="A716" s="5" t="s">
        <v>52</v>
      </c>
      <c r="B716" s="5" t="e">
        <v>#N/A</v>
      </c>
      <c r="C716" s="5" t="e">
        <v>#N/A</v>
      </c>
      <c r="E716" s="5" t="s">
        <v>250</v>
      </c>
      <c r="F716" s="5" t="s">
        <v>55</v>
      </c>
      <c r="G716" s="5" t="s">
        <v>61</v>
      </c>
      <c r="H716" s="5" t="s">
        <v>57</v>
      </c>
      <c r="I716" s="5">
        <v>3014</v>
      </c>
      <c r="J716" s="5" t="str">
        <f>IFERROR(VLOOKUP(I716,[1]INFO_LOCALES!$B:$C,2,FALSE),"")</f>
        <v>M10 SAN FERNANDO</v>
      </c>
      <c r="K716" s="5" t="str">
        <f>IFERROR(VLOOKUP(Tabla2[[#This Row],[TIENDA]],[1]INFO_LOCALES!$B:$D,3,FALSE),"")</f>
        <v>VI - O'Higgins</v>
      </c>
      <c r="L716" s="5" t="str">
        <f>IFERROR(VLOOKUP(I716,[1]INFO_LOCALES!$B:$I,8,FALSE),"")</f>
        <v>San Fernando</v>
      </c>
      <c r="M716" s="5" t="str">
        <f>IFERROR(VLOOKUP(I716,[1]INFO_LOCALES!$B:$H,7,FALSE),"")</f>
        <v>Chillan 745</v>
      </c>
      <c r="N716" s="5">
        <f>IFERROR(VLOOKUP(I716,[1]INFO_LOCALES!$B:$E,4,FALSE),"")</f>
        <v>1298</v>
      </c>
      <c r="O716" s="5" t="str">
        <f>VLOOKUP(Tabla2[[#This Row],[TIENDA]],[1]INFO_LOCALES!$B:$J,9,0)</f>
        <v>TERMINADO</v>
      </c>
      <c r="P716" s="5" t="str">
        <f>IFERROR(VLOOKUP(I716,[1]INFO_LOCALES!$B:$F,5,FALSE),"")</f>
        <v>ESSBIO S.A.</v>
      </c>
      <c r="Q716" s="5" t="s">
        <v>85</v>
      </c>
      <c r="R716" s="5" t="s">
        <v>86</v>
      </c>
      <c r="S716" s="6"/>
      <c r="T716" s="5" t="str">
        <f>UPPER(IF(Tabla2[[#This Row],[FECHA DE MUESTREO ]]=0,"",TEXT(Tabla2[[#This Row],[FECHA DE MUESTREO ]],("MMMM"))))</f>
        <v>OCTUBRE</v>
      </c>
      <c r="U716" s="6">
        <v>45932</v>
      </c>
      <c r="V716" s="5" t="s">
        <v>59</v>
      </c>
      <c r="W7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16" s="7">
        <f t="shared" si="26"/>
        <v>1</v>
      </c>
      <c r="Y716" s="5">
        <v>16</v>
      </c>
      <c r="Z716" s="5">
        <v>7.46</v>
      </c>
      <c r="AA716" s="5">
        <v>1</v>
      </c>
      <c r="AB716" s="5">
        <v>16.670000000000002</v>
      </c>
      <c r="AC716" s="5">
        <v>290</v>
      </c>
      <c r="AD716" s="5">
        <v>15</v>
      </c>
      <c r="AE716" s="5">
        <v>33.1</v>
      </c>
      <c r="AF716" s="5">
        <v>1</v>
      </c>
      <c r="AG716" s="5">
        <v>148</v>
      </c>
      <c r="AH716" s="5">
        <v>0.81</v>
      </c>
      <c r="AI716" s="5">
        <f t="shared" si="27"/>
        <v>24.3</v>
      </c>
    </row>
    <row r="717" spans="1:51" x14ac:dyDescent="0.25">
      <c r="A717" s="5" t="s">
        <v>152</v>
      </c>
      <c r="B717" s="5" t="e">
        <v>#N/A</v>
      </c>
      <c r="C717" s="5" t="e">
        <v>#N/A</v>
      </c>
      <c r="F717" s="5" t="s">
        <v>55</v>
      </c>
      <c r="G717" s="5" t="s">
        <v>229</v>
      </c>
      <c r="H717" s="5" t="s">
        <v>57</v>
      </c>
      <c r="I717" s="5">
        <v>3197</v>
      </c>
      <c r="J717" s="5" t="str">
        <f>IFERROR(VLOOKUP(I717,[1]INFO_LOCALES!$B:$C,2,FALSE),"")</f>
        <v>ALVI PICARTE VALDIVIA</v>
      </c>
      <c r="K717" s="5" t="str">
        <f>IFERROR(VLOOKUP(Tabla2[[#This Row],[TIENDA]],[1]INFO_LOCALES!$B:$D,3,FALSE),"")</f>
        <v>XIV - Los Ríos</v>
      </c>
      <c r="L717" s="5" t="str">
        <f>IFERROR(VLOOKUP(I717,[1]INFO_LOCALES!$B:$I,8,FALSE),"")</f>
        <v>Valdivia</v>
      </c>
      <c r="M717" s="5" t="str">
        <f>IFERROR(VLOOKUP(I717,[1]INFO_LOCALES!$B:$H,7,FALSE),"")</f>
        <v>Av. Ramon Picarte 2593</v>
      </c>
      <c r="N717" s="5">
        <f>IFERROR(VLOOKUP(I717,[1]INFO_LOCALES!$B:$E,4,FALSE),"")</f>
        <v>1961</v>
      </c>
      <c r="O717" s="5" t="str">
        <f>VLOOKUP(Tabla2[[#This Row],[TIENDA]],[1]INFO_LOCALES!$B:$J,9,0)</f>
        <v>CONVENIO</v>
      </c>
      <c r="P717" s="5" t="str">
        <f>IFERROR(VLOOKUP(I717,[1]INFO_LOCALES!$B:$F,5,FALSE),"")</f>
        <v>AGUAS DECIMA S A</v>
      </c>
      <c r="Q717" s="5" t="s">
        <v>105</v>
      </c>
      <c r="R717" s="5" t="s">
        <v>58</v>
      </c>
      <c r="S717" s="6"/>
      <c r="T717" s="5" t="str">
        <f>UPPER(IF(Tabla2[[#This Row],[FECHA DE MUESTREO ]]=0,"",TEXT(Tabla2[[#This Row],[FECHA DE MUESTREO ]],("MMMM"))))</f>
        <v>OCTUBRE</v>
      </c>
      <c r="U717" s="6">
        <v>45952</v>
      </c>
      <c r="V717" s="5" t="s">
        <v>59</v>
      </c>
      <c r="W7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17" s="7">
        <f t="shared" si="26"/>
        <v>1</v>
      </c>
      <c r="Y717" s="5">
        <v>14</v>
      </c>
      <c r="Z717" s="5">
        <v>8.74</v>
      </c>
      <c r="AA717" s="5">
        <v>2</v>
      </c>
      <c r="AB717" s="5">
        <v>10.3</v>
      </c>
      <c r="AC717" s="5">
        <v>249</v>
      </c>
      <c r="AD717" s="5">
        <v>9</v>
      </c>
      <c r="AE717" s="5">
        <v>76.63</v>
      </c>
      <c r="AF717" s="5">
        <v>1.2</v>
      </c>
      <c r="AG717" s="5">
        <v>79</v>
      </c>
      <c r="AH717" s="5">
        <v>8.7999999999999995E-2</v>
      </c>
      <c r="AI717" s="5">
        <f t="shared" si="27"/>
        <v>2.6399999999999997</v>
      </c>
    </row>
    <row r="718" spans="1:51" x14ac:dyDescent="0.25">
      <c r="A718" s="5" t="s">
        <v>52</v>
      </c>
      <c r="B718" s="5" t="s">
        <v>149</v>
      </c>
      <c r="C718" s="5" t="s">
        <v>81</v>
      </c>
      <c r="E718" s="5" t="s">
        <v>251</v>
      </c>
      <c r="F718" s="5" t="s">
        <v>55</v>
      </c>
      <c r="G718" s="5" t="s">
        <v>229</v>
      </c>
      <c r="H718" s="5" t="s">
        <v>57</v>
      </c>
      <c r="I718" s="5">
        <v>763</v>
      </c>
      <c r="J718" s="5" t="str">
        <f>IFERROR(VLOOKUP(I718,[1]INFO_LOCALES!$B:$C,2,FALSE),"")</f>
        <v>JUAN SOLER</v>
      </c>
      <c r="K718" s="5" t="str">
        <f>IFERROR(VLOOKUP(Tabla2[[#This Row],[TIENDA]],[1]INFO_LOCALES!$B:$D,3,FALSE),"")</f>
        <v>X - Los Lagos</v>
      </c>
      <c r="L718" s="5" t="str">
        <f>IFERROR(VLOOKUP(I718,[1]INFO_LOCALES!$B:$I,8,FALSE),"")</f>
        <v>Puerto Montt</v>
      </c>
      <c r="M718" s="5" t="str">
        <f>IFERROR(VLOOKUP(I718,[1]INFO_LOCALES!$B:$H,7,FALSE),"")</f>
        <v>Juan Soler Manfredini 51</v>
      </c>
      <c r="N718" s="5">
        <f>IFERROR(VLOOKUP(I718,[1]INFO_LOCALES!$B:$E,4,FALSE),"")</f>
        <v>0</v>
      </c>
      <c r="O718" s="5" t="str">
        <f>VLOOKUP(Tabla2[[#This Row],[TIENDA]],[1]INFO_LOCALES!$B:$J,9,0)</f>
        <v>SIN CONVENIO</v>
      </c>
      <c r="P718" s="5" t="str">
        <f>IFERROR(VLOOKUP(I718,[1]INFO_LOCALES!$B:$F,5,FALSE),"")</f>
        <v>SURALIS</v>
      </c>
      <c r="Q718" s="5" t="s">
        <v>215</v>
      </c>
      <c r="R718" s="5" t="s">
        <v>58</v>
      </c>
      <c r="S718" s="6"/>
      <c r="T718" s="5" t="str">
        <f>UPPER(IF(Tabla2[[#This Row],[FECHA DE MUESTREO ]]=0,"",TEXT(Tabla2[[#This Row],[FECHA DE MUESTREO ]],("MMMM"))))</f>
        <v>OCTUBRE</v>
      </c>
      <c r="U718" s="6">
        <v>45954</v>
      </c>
      <c r="V718" s="5" t="s">
        <v>59</v>
      </c>
      <c r="W7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18" s="7">
        <f t="shared" si="26"/>
        <v>2</v>
      </c>
      <c r="Y718" s="5">
        <v>20</v>
      </c>
      <c r="Z718" s="5">
        <v>7.9</v>
      </c>
      <c r="AA718" s="5">
        <v>2</v>
      </c>
      <c r="AB718" s="5">
        <v>15.6</v>
      </c>
      <c r="AC718" s="5">
        <v>381</v>
      </c>
      <c r="AD718" s="5">
        <v>11.5</v>
      </c>
      <c r="AE718" s="5">
        <v>72.2</v>
      </c>
      <c r="AF718" s="5">
        <v>24</v>
      </c>
      <c r="AG718" s="5">
        <v>284</v>
      </c>
      <c r="AH718" s="5">
        <v>7</v>
      </c>
      <c r="AI718" s="5">
        <f t="shared" si="27"/>
        <v>210</v>
      </c>
    </row>
    <row r="719" spans="1:51" x14ac:dyDescent="0.25">
      <c r="A719" s="5" t="s">
        <v>52</v>
      </c>
      <c r="B719" s="5" t="s">
        <v>90</v>
      </c>
      <c r="C719" s="5" t="s">
        <v>81</v>
      </c>
      <c r="E719" s="5" t="s">
        <v>252</v>
      </c>
      <c r="F719" s="5" t="s">
        <v>55</v>
      </c>
      <c r="G719" s="5" t="s">
        <v>56</v>
      </c>
      <c r="H719" s="5" t="s">
        <v>253</v>
      </c>
      <c r="I719" s="5">
        <v>777</v>
      </c>
      <c r="J719" s="5" t="str">
        <f>IFERROR(VLOOKUP(I719,[1]INFO_LOCALES!$B:$C,2,FALSE),"")</f>
        <v>CENTRAL</v>
      </c>
      <c r="K719" s="5" t="str">
        <f>IFERROR(VLOOKUP(Tabla2[[#This Row],[TIENDA]],[1]INFO_LOCALES!$B:$D,3,FALSE),"")</f>
        <v>X - Los Lagos</v>
      </c>
      <c r="L719" s="5" t="str">
        <f>IFERROR(VLOOKUP(I719,[1]INFO_LOCALES!$B:$I,8,FALSE),"")</f>
        <v>Osorno</v>
      </c>
      <c r="M719" s="5" t="str">
        <f>IFERROR(VLOOKUP(I719,[1]INFO_LOCALES!$B:$H,7,FALSE),"")</f>
        <v>Patricio Lynch 1278</v>
      </c>
      <c r="N719" s="5">
        <f>IFERROR(VLOOKUP(I719,[1]INFO_LOCALES!$B:$E,4,FALSE),"")</f>
        <v>3684</v>
      </c>
      <c r="O719" s="5" t="str">
        <f>VLOOKUP(Tabla2[[#This Row],[TIENDA]],[1]INFO_LOCALES!$B:$J,9,0)</f>
        <v>CONVENIO</v>
      </c>
      <c r="P719" s="5" t="str">
        <f>IFERROR(VLOOKUP(I719,[1]INFO_LOCALES!$B:$F,5,FALSE),"")</f>
        <v>SURALIS</v>
      </c>
      <c r="Q719" s="5" t="s">
        <v>105</v>
      </c>
      <c r="R719" s="5" t="s">
        <v>58</v>
      </c>
      <c r="S719" s="6"/>
      <c r="T719" s="5" t="str">
        <f>UPPER(IF(Tabla2[[#This Row],[FECHA DE MUESTREO ]]=0,"",TEXT(Tabla2[[#This Row],[FECHA DE MUESTREO ]],("MMMM"))))</f>
        <v>OCTUBRE</v>
      </c>
      <c r="U719" s="6">
        <v>45944</v>
      </c>
      <c r="V719" s="5" t="s">
        <v>59</v>
      </c>
      <c r="W7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19" s="7">
        <f t="shared" si="26"/>
        <v>3</v>
      </c>
      <c r="Y719" s="5">
        <v>14</v>
      </c>
      <c r="Z719" s="5">
        <v>7.3</v>
      </c>
      <c r="AA719" s="5">
        <v>20</v>
      </c>
      <c r="AB719" s="5">
        <v>12.4</v>
      </c>
      <c r="AC719" s="5">
        <v>357</v>
      </c>
      <c r="AD719" s="5">
        <v>10</v>
      </c>
      <c r="AE719" s="5">
        <v>45.8</v>
      </c>
      <c r="AF719" s="5">
        <v>1</v>
      </c>
      <c r="AG719" s="5">
        <v>204</v>
      </c>
      <c r="AH719" s="5">
        <v>2</v>
      </c>
      <c r="AI719" s="5">
        <f t="shared" si="27"/>
        <v>60</v>
      </c>
    </row>
    <row r="720" spans="1:51" x14ac:dyDescent="0.25">
      <c r="A720" s="5" t="s">
        <v>52</v>
      </c>
      <c r="B720" s="5" t="s">
        <v>149</v>
      </c>
      <c r="C720" s="5" t="s">
        <v>81</v>
      </c>
      <c r="E720" s="5" t="s">
        <v>57</v>
      </c>
      <c r="F720" s="5" t="s">
        <v>55</v>
      </c>
      <c r="G720" s="5" t="s">
        <v>229</v>
      </c>
      <c r="H720" s="5" t="s">
        <v>57</v>
      </c>
      <c r="I720" s="5">
        <v>789</v>
      </c>
      <c r="J720" s="5" t="str">
        <f>IFERROR(VLOOKUP(I720,[1]INFO_LOCALES!$B:$C,2,FALSE),"")</f>
        <v>FRUTILLAR III</v>
      </c>
      <c r="K720" s="5" t="str">
        <f>IFERROR(VLOOKUP(Tabla2[[#This Row],[TIENDA]],[1]INFO_LOCALES!$B:$D,3,FALSE),"")</f>
        <v>X - Los Lagos</v>
      </c>
      <c r="L720" s="5" t="str">
        <f>IFERROR(VLOOKUP(I720,[1]INFO_LOCALES!$B:$I,8,FALSE),"")</f>
        <v>Frutillar</v>
      </c>
      <c r="M720" s="5" t="str">
        <f>IFERROR(VLOOKUP(I720,[1]INFO_LOCALES!$B:$H,7,FALSE),"")</f>
        <v>Arturo Alessandri 381</v>
      </c>
      <c r="N720" s="5">
        <f>IFERROR(VLOOKUP(I720,[1]INFO_LOCALES!$B:$E,4,FALSE),"")</f>
        <v>0</v>
      </c>
      <c r="O720" s="5" t="str">
        <f>VLOOKUP(Tabla2[[#This Row],[TIENDA]],[1]INFO_LOCALES!$B:$J,9,0)</f>
        <v>SIN CONVENIO</v>
      </c>
      <c r="P720" s="5" t="str">
        <f>IFERROR(VLOOKUP(I720,[1]INFO_LOCALES!$B:$F,5,FALSE),"")</f>
        <v>SURALIS</v>
      </c>
      <c r="Q720" s="5" t="s">
        <v>215</v>
      </c>
      <c r="R720" s="5" t="s">
        <v>58</v>
      </c>
      <c r="S720" s="6"/>
      <c r="T720" s="5" t="str">
        <f>UPPER(IF(Tabla2[[#This Row],[FECHA DE MUESTREO ]]=0,"",TEXT(Tabla2[[#This Row],[FECHA DE MUESTREO ]],("MMMM"))))</f>
        <v>NOVIEMBRE</v>
      </c>
      <c r="U720" s="6">
        <v>45964</v>
      </c>
      <c r="V720" s="5" t="s">
        <v>59</v>
      </c>
      <c r="W7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20" s="7">
        <f t="shared" si="26"/>
        <v>1</v>
      </c>
      <c r="Y720" s="5">
        <v>14</v>
      </c>
      <c r="Z720" s="5">
        <v>7.7</v>
      </c>
      <c r="AA720" s="5">
        <v>2</v>
      </c>
      <c r="AB720" s="5">
        <v>13.9</v>
      </c>
      <c r="AC720" s="5">
        <v>227</v>
      </c>
      <c r="AD720" s="5">
        <v>7.3</v>
      </c>
      <c r="AE720" s="5">
        <v>45.8</v>
      </c>
      <c r="AF720" s="5">
        <v>2</v>
      </c>
      <c r="AG720" s="5">
        <v>149</v>
      </c>
      <c r="AH720" s="5">
        <v>11</v>
      </c>
      <c r="AI720" s="5">
        <f t="shared" si="27"/>
        <v>330</v>
      </c>
    </row>
    <row r="721" spans="1:51" x14ac:dyDescent="0.25">
      <c r="A721" s="5" t="s">
        <v>52</v>
      </c>
      <c r="B721" s="5" t="s">
        <v>149</v>
      </c>
      <c r="C721" s="5" t="s">
        <v>81</v>
      </c>
      <c r="E721" s="5" t="s">
        <v>254</v>
      </c>
      <c r="F721" s="5" t="s">
        <v>55</v>
      </c>
      <c r="G721" s="5" t="s">
        <v>229</v>
      </c>
      <c r="H721" s="5" t="s">
        <v>57</v>
      </c>
      <c r="I721" s="5">
        <v>771</v>
      </c>
      <c r="J721" s="5" t="str">
        <f>IFERROR(VLOOKUP(I721,[1]INFO_LOCALES!$B:$C,2,FALSE),"")</f>
        <v>MIRASOL</v>
      </c>
      <c r="K721" s="5" t="str">
        <f>IFERROR(VLOOKUP(Tabla2[[#This Row],[TIENDA]],[1]INFO_LOCALES!$B:$D,3,FALSE),"")</f>
        <v>X - Los Lagos</v>
      </c>
      <c r="L721" s="5" t="str">
        <f>IFERROR(VLOOKUP(I721,[1]INFO_LOCALES!$B:$I,8,FALSE),"")</f>
        <v>Puerto Montt</v>
      </c>
      <c r="M721" s="5" t="str">
        <f>IFERROR(VLOOKUP(I721,[1]INFO_LOCALES!$B:$H,7,FALSE),"")</f>
        <v>Av. La Cruz 2006</v>
      </c>
      <c r="N721" s="5">
        <f>IFERROR(VLOOKUP(I721,[1]INFO_LOCALES!$B:$E,4,FALSE),"")</f>
        <v>3723</v>
      </c>
      <c r="O721" s="5" t="str">
        <f>VLOOKUP(Tabla2[[#This Row],[TIENDA]],[1]INFO_LOCALES!$B:$J,9,0)</f>
        <v>SIN CONVENIO</v>
      </c>
      <c r="P721" s="5" t="str">
        <f>IFERROR(VLOOKUP(I721,[1]INFO_LOCALES!$B:$F,5,FALSE),"")</f>
        <v>SURALIS</v>
      </c>
      <c r="Q721" s="5" t="s">
        <v>215</v>
      </c>
      <c r="R721" s="5" t="s">
        <v>58</v>
      </c>
      <c r="S721" s="6"/>
      <c r="T721" s="5" t="str">
        <f>UPPER(IF(Tabla2[[#This Row],[FECHA DE MUESTREO ]]=0,"",TEXT(Tabla2[[#This Row],[FECHA DE MUESTREO ]],("MMMM"))))</f>
        <v>NOVIEMBRE</v>
      </c>
      <c r="U721" s="6">
        <v>45967</v>
      </c>
      <c r="V721" s="5" t="s">
        <v>59</v>
      </c>
      <c r="W7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21" s="7">
        <f t="shared" si="26"/>
        <v>2</v>
      </c>
      <c r="Y721" s="5">
        <v>14</v>
      </c>
      <c r="Z721" s="5">
        <v>7.62</v>
      </c>
      <c r="AA721" s="5">
        <v>2</v>
      </c>
      <c r="AB721" s="5">
        <v>19.899999999999999</v>
      </c>
      <c r="AC721" s="5">
        <v>172</v>
      </c>
      <c r="AD721" s="5">
        <v>14.5</v>
      </c>
      <c r="AE721" s="5">
        <v>147.5</v>
      </c>
      <c r="AF721" s="5">
        <v>0.5</v>
      </c>
      <c r="AG721" s="5">
        <v>67</v>
      </c>
      <c r="AI721" s="5">
        <f t="shared" si="27"/>
        <v>0</v>
      </c>
    </row>
    <row r="722" spans="1:51" x14ac:dyDescent="0.25">
      <c r="A722" s="5" t="s">
        <v>52</v>
      </c>
      <c r="B722" s="5" t="s">
        <v>90</v>
      </c>
      <c r="C722" s="5" t="s">
        <v>81</v>
      </c>
      <c r="E722" s="5" t="s">
        <v>252</v>
      </c>
      <c r="F722" s="5" t="s">
        <v>55</v>
      </c>
      <c r="G722" s="5" t="s">
        <v>56</v>
      </c>
      <c r="H722" s="5" t="s">
        <v>57</v>
      </c>
      <c r="I722" s="5">
        <v>778</v>
      </c>
      <c r="J722" s="5" t="str">
        <f>IFERROR(VLOOKUP(I722,[1]INFO_LOCALES!$B:$C,2,FALSE),"")</f>
        <v>ORIENTE</v>
      </c>
      <c r="K722" s="5" t="str">
        <f>IFERROR(VLOOKUP(Tabla2[[#This Row],[TIENDA]],[1]INFO_LOCALES!$B:$D,3,FALSE),"")</f>
        <v>X - Los Lagos</v>
      </c>
      <c r="L722" s="5" t="str">
        <f>IFERROR(VLOOKUP(I722,[1]INFO_LOCALES!$B:$I,8,FALSE),"")</f>
        <v>Osorno</v>
      </c>
      <c r="M722" s="5" t="str">
        <f>IFERROR(VLOOKUP(I722,[1]INFO_LOCALES!$B:$H,7,FALSE),"")</f>
        <v>Julio Buschman 2223</v>
      </c>
      <c r="N722" s="5">
        <f>IFERROR(VLOOKUP(I722,[1]INFO_LOCALES!$B:$E,4,FALSE),"")</f>
        <v>2867</v>
      </c>
      <c r="O722" s="5" t="str">
        <f>VLOOKUP(Tabla2[[#This Row],[TIENDA]],[1]INFO_LOCALES!$B:$J,9,0)</f>
        <v>CONVENIO</v>
      </c>
      <c r="P722" s="5" t="str">
        <f>IFERROR(VLOOKUP(I722,[1]INFO_LOCALES!$B:$F,5,FALSE),"")</f>
        <v>SURALIS</v>
      </c>
      <c r="Q722" s="5" t="s">
        <v>215</v>
      </c>
      <c r="R722" s="5" t="s">
        <v>58</v>
      </c>
      <c r="S722" s="6"/>
      <c r="T722" s="5" t="str">
        <f>UPPER(IF(Tabla2[[#This Row],[FECHA DE MUESTREO ]]=0,"",TEXT(Tabla2[[#This Row],[FECHA DE MUESTREO ]],("MMMM"))))</f>
        <v>OCTUBRE</v>
      </c>
      <c r="U722" s="6">
        <v>45957</v>
      </c>
      <c r="V722" s="5" t="s">
        <v>59</v>
      </c>
      <c r="W7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22" s="7">
        <f t="shared" si="26"/>
        <v>3</v>
      </c>
      <c r="Y722" s="5">
        <v>44</v>
      </c>
      <c r="Z722" s="5">
        <v>8.9</v>
      </c>
      <c r="AA722" s="5">
        <v>2</v>
      </c>
      <c r="AB722" s="5">
        <v>12.9</v>
      </c>
      <c r="AC722" s="5">
        <v>1130</v>
      </c>
      <c r="AD722" s="5">
        <v>12.2</v>
      </c>
      <c r="AE722" s="5">
        <v>25.8</v>
      </c>
      <c r="AF722" s="5">
        <v>5</v>
      </c>
      <c r="AG722" s="5">
        <v>640</v>
      </c>
      <c r="AH722" s="5">
        <v>12</v>
      </c>
      <c r="AI722" s="5">
        <f t="shared" si="27"/>
        <v>360</v>
      </c>
    </row>
    <row r="723" spans="1:51" x14ac:dyDescent="0.25">
      <c r="A723" s="5" t="s">
        <v>52</v>
      </c>
      <c r="B723" s="5" t="s">
        <v>90</v>
      </c>
      <c r="C723" s="5" t="s">
        <v>81</v>
      </c>
      <c r="E723" s="5" t="s">
        <v>57</v>
      </c>
      <c r="F723" s="5" t="s">
        <v>55</v>
      </c>
      <c r="G723" s="5" t="s">
        <v>61</v>
      </c>
      <c r="H723" s="5" t="s">
        <v>57</v>
      </c>
      <c r="I723" s="5">
        <v>780</v>
      </c>
      <c r="J723" s="5" t="str">
        <f>IFERROR(VLOOKUP(I723,[1]INFO_LOCALES!$B:$C,2,FALSE),"")</f>
        <v>VICTORIA</v>
      </c>
      <c r="K723" s="5" t="str">
        <f>IFERROR(VLOOKUP(Tabla2[[#This Row],[TIENDA]],[1]INFO_LOCALES!$B:$D,3,FALSE),"")</f>
        <v>X - Los Lagos</v>
      </c>
      <c r="L723" s="5" t="str">
        <f>IFERROR(VLOOKUP(I723,[1]INFO_LOCALES!$B:$I,8,FALSE),"")</f>
        <v>Osorno</v>
      </c>
      <c r="M723" s="5" t="str">
        <f>IFERROR(VLOOKUP(I723,[1]INFO_LOCALES!$B:$H,7,FALSE),"")</f>
        <v>Victoria 367 Rahue Bajo</v>
      </c>
      <c r="N723" s="5">
        <f>IFERROR(VLOOKUP(I723,[1]INFO_LOCALES!$B:$E,4,FALSE),"")</f>
        <v>1362</v>
      </c>
      <c r="O723" s="5" t="str">
        <f>VLOOKUP(Tabla2[[#This Row],[TIENDA]],[1]INFO_LOCALES!$B:$J,9,0)</f>
        <v>SIN CONVENIO</v>
      </c>
      <c r="P723" s="5" t="str">
        <f>IFERROR(VLOOKUP(I723,[1]INFO_LOCALES!$B:$F,5,FALSE),"")</f>
        <v>SURALIS</v>
      </c>
      <c r="Q723" s="5" t="s">
        <v>215</v>
      </c>
      <c r="R723" s="5" t="s">
        <v>58</v>
      </c>
      <c r="S723" s="6"/>
      <c r="T723" s="5" t="str">
        <f>UPPER(IF(Tabla2[[#This Row],[FECHA DE MUESTREO ]]=0,"",TEXT(Tabla2[[#This Row],[FECHA DE MUESTREO ]],("MMMM"))))</f>
        <v>OCTUBRE</v>
      </c>
      <c r="U723" s="6">
        <v>45954</v>
      </c>
      <c r="V723" s="5" t="s">
        <v>59</v>
      </c>
      <c r="W7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23" s="7">
        <f t="shared" si="26"/>
        <v>1</v>
      </c>
      <c r="Y723" s="5">
        <v>14</v>
      </c>
      <c r="Z723" s="5">
        <v>6.9</v>
      </c>
      <c r="AA723" s="5">
        <v>2</v>
      </c>
      <c r="AB723" s="5">
        <v>15</v>
      </c>
      <c r="AC723" s="5">
        <v>133</v>
      </c>
      <c r="AD723" s="5">
        <v>9</v>
      </c>
      <c r="AE723" s="5">
        <v>28.6</v>
      </c>
      <c r="AF723" s="5">
        <v>0.5</v>
      </c>
      <c r="AG723" s="5">
        <v>54</v>
      </c>
      <c r="AH723" s="5">
        <v>1</v>
      </c>
      <c r="AI723" s="5">
        <f t="shared" si="27"/>
        <v>30</v>
      </c>
    </row>
    <row r="724" spans="1:51" x14ac:dyDescent="0.25">
      <c r="A724" s="5" t="s">
        <v>52</v>
      </c>
      <c r="B724" s="5" t="s">
        <v>103</v>
      </c>
      <c r="C724" s="5" t="s">
        <v>77</v>
      </c>
      <c r="E724" s="5" t="s">
        <v>255</v>
      </c>
      <c r="F724" s="14" t="s">
        <v>256</v>
      </c>
      <c r="G724" s="5" t="s">
        <v>61</v>
      </c>
      <c r="H724" s="5" t="s">
        <v>57</v>
      </c>
      <c r="I724" s="5">
        <v>111</v>
      </c>
      <c r="J724" s="5" t="str">
        <f>IFERROR(VLOOKUP(I724,[1]INFO_LOCALES!$B:$C,2,FALSE),"")</f>
        <v>CALAMA II</v>
      </c>
      <c r="K724" s="5" t="str">
        <f>IFERROR(VLOOKUP(Tabla2[[#This Row],[TIENDA]],[1]INFO_LOCALES!$B:$D,3,FALSE),"")</f>
        <v>II - Antofagasta</v>
      </c>
      <c r="L724" s="5" t="str">
        <f>IFERROR(VLOOKUP(I724,[1]INFO_LOCALES!$B:$I,8,FALSE),"")</f>
        <v>Calama</v>
      </c>
      <c r="M724" s="5" t="str">
        <f>IFERROR(VLOOKUP(I724,[1]INFO_LOCALES!$B:$H,7,FALSE),"")</f>
        <v>Aconcagua 2588</v>
      </c>
      <c r="N724" s="5">
        <f>IFERROR(VLOOKUP(I724,[1]INFO_LOCALES!$B:$E,4,FALSE),"")</f>
        <v>2966</v>
      </c>
      <c r="O724" s="5" t="str">
        <f>VLOOKUP(Tabla2[[#This Row],[TIENDA]],[1]INFO_LOCALES!$B:$J,9,0)</f>
        <v>SIN CONVENIO</v>
      </c>
      <c r="P724" s="5" t="str">
        <f>IFERROR(VLOOKUP(I724,[1]INFO_LOCALES!$B:$F,5,FALSE),"")</f>
        <v>AGUAS DE ANTOFAGASTA S A</v>
      </c>
      <c r="Q724" s="5" t="s">
        <v>85</v>
      </c>
      <c r="R724" s="5" t="s">
        <v>86</v>
      </c>
      <c r="S724" s="6"/>
      <c r="T724" s="5" t="str">
        <f>UPPER(IF(Tabla2[[#This Row],[FECHA DE MUESTREO ]]=0,"",TEXT(Tabla2[[#This Row],[FECHA DE MUESTREO ]],("MMMM"))))</f>
        <v>NOVIEMBRE</v>
      </c>
      <c r="U724" s="6">
        <v>45968</v>
      </c>
      <c r="V724" s="5" t="s">
        <v>59</v>
      </c>
      <c r="W7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24" s="7">
        <f t="shared" si="26"/>
        <v>1</v>
      </c>
      <c r="Y724" s="5">
        <v>23.7</v>
      </c>
      <c r="Z724" s="5">
        <v>7.73</v>
      </c>
      <c r="AA724" s="5">
        <v>2</v>
      </c>
      <c r="AB724" s="5">
        <v>22.94</v>
      </c>
      <c r="AC724" s="5">
        <v>146</v>
      </c>
      <c r="AD724" s="5">
        <v>6</v>
      </c>
      <c r="AE724" s="5">
        <v>19.41</v>
      </c>
      <c r="AF724" s="5">
        <v>0.5</v>
      </c>
      <c r="AG724" s="5">
        <v>60</v>
      </c>
      <c r="AH724" s="5">
        <v>1.03</v>
      </c>
      <c r="AI724" s="5">
        <f t="shared" si="27"/>
        <v>30.900000000000002</v>
      </c>
    </row>
    <row r="725" spans="1:51" x14ac:dyDescent="0.25">
      <c r="A725" s="5" t="s">
        <v>52</v>
      </c>
      <c r="B725" s="5" t="s">
        <v>103</v>
      </c>
      <c r="C725" s="5" t="s">
        <v>77</v>
      </c>
      <c r="F725" s="14" t="s">
        <v>256</v>
      </c>
      <c r="G725" s="5" t="s">
        <v>65</v>
      </c>
      <c r="H725" s="5" t="s">
        <v>57</v>
      </c>
      <c r="I725" s="5">
        <v>46</v>
      </c>
      <c r="J725" s="5" t="str">
        <f>IFERROR(VLOOKUP(I725,[1]INFO_LOCALES!$B:$C,2,FALSE),"")</f>
        <v>CALAMA I</v>
      </c>
      <c r="K725" s="5" t="str">
        <f>IFERROR(VLOOKUP(Tabla2[[#This Row],[TIENDA]],[1]INFO_LOCALES!$B:$D,3,FALSE),"")</f>
        <v>II - Antofagasta</v>
      </c>
      <c r="L725" s="5" t="str">
        <f>IFERROR(VLOOKUP(I725,[1]INFO_LOCALES!$B:$I,8,FALSE),"")</f>
        <v>Calama</v>
      </c>
      <c r="M725" s="5" t="str">
        <f>IFERROR(VLOOKUP(I725,[1]INFO_LOCALES!$B:$H,7,FALSE),"")</f>
        <v>Granaderos 3180</v>
      </c>
      <c r="N725" s="5">
        <f>IFERROR(VLOOKUP(I725,[1]INFO_LOCALES!$B:$E,4,FALSE),"")</f>
        <v>3035</v>
      </c>
      <c r="O725" s="5" t="str">
        <f>VLOOKUP(Tabla2[[#This Row],[TIENDA]],[1]INFO_LOCALES!$B:$J,9,0)</f>
        <v>SIN CONVENIO</v>
      </c>
      <c r="P725" s="5" t="str">
        <f>IFERROR(VLOOKUP(I725,[1]INFO_LOCALES!$B:$F,5,FALSE),"")</f>
        <v>AGUAS DE ANTOFAGASTA S A</v>
      </c>
      <c r="Q725" s="5" t="s">
        <v>85</v>
      </c>
      <c r="R725" s="5" t="s">
        <v>86</v>
      </c>
      <c r="S725" s="6"/>
      <c r="T725" s="5" t="str">
        <f>UPPER(IF(Tabla2[[#This Row],[FECHA DE MUESTREO ]]=0,"",TEXT(Tabla2[[#This Row],[FECHA DE MUESTREO ]],("MMMM"))))</f>
        <v>NOVIEMBRE</v>
      </c>
      <c r="U725" s="6">
        <v>45968</v>
      </c>
      <c r="V725" s="5" t="s">
        <v>59</v>
      </c>
      <c r="W7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25" s="7">
        <f t="shared" si="26"/>
        <v>3</v>
      </c>
      <c r="Y725" s="5">
        <v>73.599999999999994</v>
      </c>
      <c r="Z725" s="5">
        <v>7.7</v>
      </c>
      <c r="AA725" s="5">
        <v>12</v>
      </c>
      <c r="AB725" s="5">
        <v>21.44</v>
      </c>
      <c r="AC725" s="5">
        <v>629</v>
      </c>
      <c r="AD725" s="5">
        <v>22.3</v>
      </c>
      <c r="AE725" s="5">
        <v>8.8800000000000008</v>
      </c>
      <c r="AF725" s="5">
        <v>0.5</v>
      </c>
      <c r="AG725" s="5">
        <v>178</v>
      </c>
      <c r="AI725" s="5">
        <f t="shared" si="27"/>
        <v>0</v>
      </c>
    </row>
    <row r="726" spans="1:51" x14ac:dyDescent="0.25">
      <c r="A726" s="5" t="s">
        <v>52</v>
      </c>
      <c r="B726" s="5" t="s">
        <v>103</v>
      </c>
      <c r="C726" s="5" t="s">
        <v>77</v>
      </c>
      <c r="E726" s="5" t="s">
        <v>57</v>
      </c>
      <c r="F726" s="14" t="s">
        <v>256</v>
      </c>
      <c r="G726" s="5" t="s">
        <v>61</v>
      </c>
      <c r="H726" s="5" t="s">
        <v>57</v>
      </c>
      <c r="I726" s="5">
        <v>34</v>
      </c>
      <c r="J726" s="5" t="str">
        <f>IFERROR(VLOOKUP(I726,[1]INFO_LOCALES!$B:$C,2,FALSE),"")</f>
        <v>LA CHIMBA</v>
      </c>
      <c r="K726" s="5" t="str">
        <f>IFERROR(VLOOKUP(Tabla2[[#This Row],[TIENDA]],[1]INFO_LOCALES!$B:$D,3,FALSE),"")</f>
        <v>II - Antofagasta</v>
      </c>
      <c r="L726" s="5" t="str">
        <f>IFERROR(VLOOKUP(I726,[1]INFO_LOCALES!$B:$I,8,FALSE),"")</f>
        <v>Antofagasta</v>
      </c>
      <c r="M726" s="5" t="str">
        <f>IFERROR(VLOOKUP(I726,[1]INFO_LOCALES!$B:$H,7,FALSE),"")</f>
        <v>Pedro Aguirre Cerda 8700</v>
      </c>
      <c r="N726" s="5">
        <f>IFERROR(VLOOKUP(I726,[1]INFO_LOCALES!$B:$E,4,FALSE),"")</f>
        <v>0</v>
      </c>
      <c r="O726" s="5" t="str">
        <f>VLOOKUP(Tabla2[[#This Row],[TIENDA]],[1]INFO_LOCALES!$B:$J,9,0)</f>
        <v>SIN CONVENIO</v>
      </c>
      <c r="P726" s="5" t="str">
        <f>IFERROR(VLOOKUP(I726,[1]INFO_LOCALES!$B:$F,5,FALSE),"")</f>
        <v>AGUAS DE ANTOFAGASTA S A</v>
      </c>
      <c r="Q726" s="5" t="s">
        <v>85</v>
      </c>
      <c r="R726" s="5" t="s">
        <v>86</v>
      </c>
      <c r="S726" s="6"/>
      <c r="T726" s="5" t="str">
        <f>UPPER(IF(Tabla2[[#This Row],[FECHA DE MUESTREO ]]=0,"",TEXT(Tabla2[[#This Row],[FECHA DE MUESTREO ]],("MMMM"))))</f>
        <v>NOVIEMBRE</v>
      </c>
      <c r="U726" s="6">
        <v>45966</v>
      </c>
      <c r="V726" s="5" t="s">
        <v>59</v>
      </c>
      <c r="W7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26" s="7">
        <f t="shared" si="26"/>
        <v>1</v>
      </c>
      <c r="Y726" s="5">
        <v>24.6</v>
      </c>
      <c r="Z726" s="5">
        <v>7.61</v>
      </c>
      <c r="AA726" s="5">
        <v>3</v>
      </c>
      <c r="AB726" s="5">
        <v>23.3</v>
      </c>
      <c r="AC726" s="5">
        <v>212</v>
      </c>
      <c r="AD726" s="5">
        <v>8</v>
      </c>
      <c r="AE726" s="5">
        <v>30.61</v>
      </c>
      <c r="AF726" s="5">
        <v>0.5</v>
      </c>
      <c r="AG726" s="5">
        <v>77</v>
      </c>
      <c r="AH726" s="5">
        <v>1.04</v>
      </c>
      <c r="AI726" s="5">
        <f t="shared" si="27"/>
        <v>31.200000000000003</v>
      </c>
    </row>
    <row r="727" spans="1:51" x14ac:dyDescent="0.25">
      <c r="A727" s="5" t="s">
        <v>52</v>
      </c>
      <c r="B727" s="5" t="s">
        <v>82</v>
      </c>
      <c r="C727" s="5" t="s">
        <v>77</v>
      </c>
      <c r="F727" s="14" t="s">
        <v>256</v>
      </c>
      <c r="G727" s="5" t="s">
        <v>257</v>
      </c>
      <c r="I727" s="5">
        <v>7</v>
      </c>
      <c r="J727" s="5" t="str">
        <f>IFERROR(VLOOKUP(I727,[1]INFO_LOCALES!$B:$C,2,FALSE),"")</f>
        <v>VALLENAR I</v>
      </c>
      <c r="K727" s="5" t="str">
        <f>IFERROR(VLOOKUP(Tabla2[[#This Row],[TIENDA]],[1]INFO_LOCALES!$B:$D,3,FALSE),"")</f>
        <v>III - Atacama</v>
      </c>
      <c r="L727" s="5" t="str">
        <f>IFERROR(VLOOKUP(I727,[1]INFO_LOCALES!$B:$I,8,FALSE),"")</f>
        <v>Vallenar</v>
      </c>
      <c r="M727" s="5" t="str">
        <f>IFERROR(VLOOKUP(I727,[1]INFO_LOCALES!$B:$H,7,FALSE),"")</f>
        <v>Brasil 663</v>
      </c>
      <c r="N727" s="5">
        <f>IFERROR(VLOOKUP(I727,[1]INFO_LOCALES!$B:$E,4,FALSE),"")</f>
        <v>0</v>
      </c>
      <c r="O727" s="5" t="str">
        <f>VLOOKUP(Tabla2[[#This Row],[TIENDA]],[1]INFO_LOCALES!$B:$J,9,0)</f>
        <v>CONVENIO</v>
      </c>
      <c r="P727" s="5" t="str">
        <f>IFERROR(VLOOKUP(I727,[1]INFO_LOCALES!$B:$F,5,FALSE),"")</f>
        <v>NUEVA ATACAMA</v>
      </c>
      <c r="Q727" s="5" t="s">
        <v>85</v>
      </c>
      <c r="R727" s="5" t="s">
        <v>86</v>
      </c>
      <c r="S727" s="6"/>
      <c r="T727" s="5" t="str">
        <f>UPPER(IF(Tabla2[[#This Row],[FECHA DE MUESTREO ]]=0,"",TEXT(Tabla2[[#This Row],[FECHA DE MUESTREO ]],("MMMM"))))</f>
        <v/>
      </c>
      <c r="U727" s="6"/>
      <c r="V727" s="5" t="s">
        <v>59</v>
      </c>
      <c r="W7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27" s="7">
        <f t="shared" si="26"/>
        <v>1</v>
      </c>
      <c r="AH727" s="5">
        <f ca="1">Tabla2[[#This Row],[VOLUMEN DE DESCARGA MENSUAL (M3/M)]]*30</f>
        <v>0</v>
      </c>
      <c r="AI727" s="5">
        <f t="shared" ca="1" si="27"/>
        <v>0</v>
      </c>
    </row>
    <row r="728" spans="1:51" x14ac:dyDescent="0.25">
      <c r="A728" s="5" t="s">
        <v>52</v>
      </c>
      <c r="B728" s="5" t="s">
        <v>82</v>
      </c>
      <c r="C728" s="5" t="s">
        <v>77</v>
      </c>
      <c r="F728" s="14" t="s">
        <v>256</v>
      </c>
      <c r="G728" s="5" t="s">
        <v>257</v>
      </c>
      <c r="I728" s="5">
        <v>16</v>
      </c>
      <c r="J728" s="5" t="str">
        <f>IFERROR(VLOOKUP(I728,[1]INFO_LOCALES!$B:$C,2,FALSE),"")</f>
        <v>VALLENAR II</v>
      </c>
      <c r="K728" s="5" t="str">
        <f>IFERROR(VLOOKUP(Tabla2[[#This Row],[TIENDA]],[1]INFO_LOCALES!$B:$D,3,FALSE),"")</f>
        <v>III - Atacama</v>
      </c>
      <c r="L728" s="5" t="str">
        <f>IFERROR(VLOOKUP(I728,[1]INFO_LOCALES!$B:$I,8,FALSE),"")</f>
        <v>Vallenar</v>
      </c>
      <c r="M728" s="5" t="str">
        <f>IFERROR(VLOOKUP(I728,[1]INFO_LOCALES!$B:$H,7,FALSE),"")</f>
        <v>Arturo Prat 2350</v>
      </c>
      <c r="N728" s="5">
        <f>IFERROR(VLOOKUP(I728,[1]INFO_LOCALES!$B:$E,4,FALSE),"")</f>
        <v>0</v>
      </c>
      <c r="O728" s="5" t="str">
        <f>VLOOKUP(Tabla2[[#This Row],[TIENDA]],[1]INFO_LOCALES!$B:$J,9,0)</f>
        <v>TERMINADO</v>
      </c>
      <c r="P728" s="5" t="str">
        <f>IFERROR(VLOOKUP(I728,[1]INFO_LOCALES!$B:$F,5,FALSE),"")</f>
        <v>NUEVA ATACAMA</v>
      </c>
      <c r="Q728" s="5" t="s">
        <v>85</v>
      </c>
      <c r="R728" s="5" t="s">
        <v>86</v>
      </c>
      <c r="S728" s="6"/>
      <c r="T728" s="5" t="str">
        <f>UPPER(IF(Tabla2[[#This Row],[FECHA DE MUESTREO ]]=0,"",TEXT(Tabla2[[#This Row],[FECHA DE MUESTREO ]],("MMMM"))))</f>
        <v/>
      </c>
      <c r="U728" s="6"/>
      <c r="V728" s="5" t="s">
        <v>59</v>
      </c>
      <c r="W7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28" s="7">
        <f t="shared" si="26"/>
        <v>1</v>
      </c>
      <c r="AH728" s="5">
        <f ca="1">Tabla2[[#This Row],[VOLUMEN DE DESCARGA MENSUAL (M3/M)]]*30</f>
        <v>0</v>
      </c>
      <c r="AI728" s="5">
        <f t="shared" ca="1" si="27"/>
        <v>0</v>
      </c>
    </row>
    <row r="729" spans="1:51" x14ac:dyDescent="0.25">
      <c r="A729" s="5" t="s">
        <v>52</v>
      </c>
      <c r="B729" s="5" t="s">
        <v>82</v>
      </c>
      <c r="C729" s="5" t="s">
        <v>77</v>
      </c>
      <c r="F729" s="14" t="s">
        <v>256</v>
      </c>
      <c r="G729" s="5" t="s">
        <v>65</v>
      </c>
      <c r="H729" s="5" t="s">
        <v>57</v>
      </c>
      <c r="I729" s="5">
        <v>22</v>
      </c>
      <c r="J729" s="5" t="str">
        <f>IFERROR(VLOOKUP(I729,[1]INFO_LOCALES!$B:$C,2,FALSE),"")</f>
        <v>ATACAMA</v>
      </c>
      <c r="K729" s="5" t="str">
        <f>IFERROR(VLOOKUP(Tabla2[[#This Row],[TIENDA]],[1]INFO_LOCALES!$B:$D,3,FALSE),"")</f>
        <v>III - Atacama</v>
      </c>
      <c r="L729" s="5" t="str">
        <f>IFERROR(VLOOKUP(I729,[1]INFO_LOCALES!$B:$I,8,FALSE),"")</f>
        <v>Copiapó</v>
      </c>
      <c r="M729" s="5" t="str">
        <f>IFERROR(VLOOKUP(I729,[1]INFO_LOCALES!$B:$H,7,FALSE),"")</f>
        <v>Los Carreras 2242</v>
      </c>
      <c r="N729" s="5">
        <f>IFERROR(VLOOKUP(I729,[1]INFO_LOCALES!$B:$E,4,FALSE),"")</f>
        <v>2666</v>
      </c>
      <c r="O729" s="5" t="str">
        <f>VLOOKUP(Tabla2[[#This Row],[TIENDA]],[1]INFO_LOCALES!$B:$J,9,0)</f>
        <v>CONVENIO</v>
      </c>
      <c r="P729" s="5" t="str">
        <f>IFERROR(VLOOKUP(I729,[1]INFO_LOCALES!$B:$F,5,FALSE),"")</f>
        <v>NUEVA ATACAMA</v>
      </c>
      <c r="Q729" s="5" t="s">
        <v>85</v>
      </c>
      <c r="R729" s="5" t="s">
        <v>86</v>
      </c>
      <c r="S729" s="6"/>
      <c r="T729" s="5" t="str">
        <f>UPPER(IF(Tabla2[[#This Row],[FECHA DE MUESTREO ]]=0,"",TEXT(Tabla2[[#This Row],[FECHA DE MUESTREO ]],("MMMM"))))</f>
        <v>NOVIEMBRE</v>
      </c>
      <c r="U729" s="6">
        <v>45986</v>
      </c>
      <c r="V729" s="5" t="s">
        <v>59</v>
      </c>
      <c r="W7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29" s="7">
        <f t="shared" si="26"/>
        <v>1</v>
      </c>
      <c r="Y729" s="5">
        <v>25.2</v>
      </c>
      <c r="Z729" s="5">
        <v>7.33</v>
      </c>
      <c r="AA729" s="5">
        <v>2</v>
      </c>
      <c r="AB729" s="5">
        <v>20.85</v>
      </c>
      <c r="AC729" s="5">
        <v>197</v>
      </c>
      <c r="AD729" s="5">
        <v>12.4</v>
      </c>
      <c r="AE729" s="5">
        <v>26.2</v>
      </c>
      <c r="AF729" s="5">
        <v>0.5</v>
      </c>
      <c r="AG729" s="5">
        <v>72.7</v>
      </c>
      <c r="AH729" s="5">
        <v>224</v>
      </c>
      <c r="AI729" s="5">
        <f t="shared" si="27"/>
        <v>6720</v>
      </c>
    </row>
    <row r="730" spans="1:51" x14ac:dyDescent="0.25">
      <c r="A730" s="5" t="s">
        <v>52</v>
      </c>
      <c r="B730" s="5" t="s">
        <v>82</v>
      </c>
      <c r="C730" s="5" t="s">
        <v>77</v>
      </c>
      <c r="F730" s="14" t="s">
        <v>256</v>
      </c>
      <c r="G730" s="5" t="s">
        <v>229</v>
      </c>
      <c r="H730" s="5" t="s">
        <v>57</v>
      </c>
      <c r="I730" s="5">
        <v>23</v>
      </c>
      <c r="J730" s="5" t="str">
        <f>IFERROR(VLOOKUP(I730,[1]INFO_LOCALES!$B:$C,2,FALSE),"")</f>
        <v>LOS CARRERAS</v>
      </c>
      <c r="K730" s="5" t="str">
        <f>IFERROR(VLOOKUP(Tabla2[[#This Row],[TIENDA]],[1]INFO_LOCALES!$B:$D,3,FALSE),"")</f>
        <v>III - Atacama</v>
      </c>
      <c r="L730" s="5" t="str">
        <f>IFERROR(VLOOKUP(I730,[1]INFO_LOCALES!$B:$I,8,FALSE),"")</f>
        <v>Copiapó</v>
      </c>
      <c r="M730" s="5" t="str">
        <f>IFERROR(VLOOKUP(I730,[1]INFO_LOCALES!$B:$H,7,FALSE),"")</f>
        <v>Los Carrera 479</v>
      </c>
      <c r="N730" s="5">
        <f>IFERROR(VLOOKUP(I730,[1]INFO_LOCALES!$B:$E,4,FALSE),"")</f>
        <v>0</v>
      </c>
      <c r="O730" s="5" t="str">
        <f>VLOOKUP(Tabla2[[#This Row],[TIENDA]],[1]INFO_LOCALES!$B:$J,9,0)</f>
        <v>SIN CONVENIO</v>
      </c>
      <c r="P730" s="5" t="str">
        <f>IFERROR(VLOOKUP(I730,[1]INFO_LOCALES!$B:$F,5,FALSE),"")</f>
        <v>NUEVA ATACAMA</v>
      </c>
      <c r="Q730" s="5" t="s">
        <v>85</v>
      </c>
      <c r="R730" s="5" t="s">
        <v>86</v>
      </c>
      <c r="S730" s="6"/>
      <c r="T730" s="5" t="str">
        <f>UPPER(IF(Tabla2[[#This Row],[FECHA DE MUESTREO ]]=0,"",TEXT(Tabla2[[#This Row],[FECHA DE MUESTREO ]],("MMMM"))))</f>
        <v>NOVIEMBRE</v>
      </c>
      <c r="U730" s="6">
        <v>45987</v>
      </c>
      <c r="V730" s="5" t="s">
        <v>59</v>
      </c>
      <c r="W7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30" s="7">
        <f t="shared" si="26"/>
        <v>1</v>
      </c>
      <c r="Y730" s="5">
        <v>9.1</v>
      </c>
      <c r="Z730" s="5">
        <v>7.55</v>
      </c>
      <c r="AA730" s="5">
        <v>7</v>
      </c>
      <c r="AB730" s="5">
        <v>23.14</v>
      </c>
      <c r="AC730" s="5">
        <v>251</v>
      </c>
      <c r="AD730" s="5">
        <v>13.2</v>
      </c>
      <c r="AE730" s="5">
        <v>25.3</v>
      </c>
      <c r="AF730" s="5">
        <v>0.5</v>
      </c>
      <c r="AG730" s="5">
        <v>30</v>
      </c>
      <c r="AH730" s="5">
        <v>0.78</v>
      </c>
      <c r="AI730" s="5">
        <f t="shared" si="27"/>
        <v>23.400000000000002</v>
      </c>
    </row>
    <row r="731" spans="1:51" x14ac:dyDescent="0.25">
      <c r="A731" s="5" t="s">
        <v>52</v>
      </c>
      <c r="B731" s="5" t="s">
        <v>82</v>
      </c>
      <c r="C731" s="5" t="s">
        <v>77</v>
      </c>
      <c r="F731" s="14" t="s">
        <v>256</v>
      </c>
      <c r="G731" s="5" t="s">
        <v>258</v>
      </c>
      <c r="H731" s="5" t="s">
        <v>57</v>
      </c>
      <c r="I731" s="5">
        <v>24</v>
      </c>
      <c r="J731" s="5" t="str">
        <f>IFERROR(VLOOKUP(I731,[1]INFO_LOCALES!$B:$C,2,FALSE),"")</f>
        <v>CHACABUCO</v>
      </c>
      <c r="K731" s="5" t="str">
        <f>IFERROR(VLOOKUP(Tabla2[[#This Row],[TIENDA]],[1]INFO_LOCALES!$B:$D,3,FALSE),"")</f>
        <v>III - Atacama</v>
      </c>
      <c r="L731" s="5" t="str">
        <f>IFERROR(VLOOKUP(I731,[1]INFO_LOCALES!$B:$I,8,FALSE),"")</f>
        <v>Copiapó</v>
      </c>
      <c r="M731" s="5" t="str">
        <f>IFERROR(VLOOKUP(I731,[1]INFO_LOCALES!$B:$H,7,FALSE),"")</f>
        <v>Los Carreras  586</v>
      </c>
      <c r="N731" s="5">
        <f>IFERROR(VLOOKUP(I731,[1]INFO_LOCALES!$B:$E,4,FALSE),"")</f>
        <v>0</v>
      </c>
      <c r="O731" s="5" t="str">
        <f>VLOOKUP(Tabla2[[#This Row],[TIENDA]],[1]INFO_LOCALES!$B:$J,9,0)</f>
        <v>SIN CONVENIO</v>
      </c>
      <c r="P731" s="5" t="str">
        <f>IFERROR(VLOOKUP(I731,[1]INFO_LOCALES!$B:$F,5,FALSE),"")</f>
        <v>NUEVA ATACAMA</v>
      </c>
      <c r="Q731" s="5" t="s">
        <v>85</v>
      </c>
      <c r="R731" s="5" t="s">
        <v>86</v>
      </c>
      <c r="S731" s="6"/>
      <c r="T731" s="5" t="str">
        <f>UPPER(IF(Tabla2[[#This Row],[FECHA DE MUESTREO ]]=0,"",TEXT(Tabla2[[#This Row],[FECHA DE MUESTREO ]],("MMMM"))))</f>
        <v>NOVIEMBRE</v>
      </c>
      <c r="U731" s="6">
        <v>45986</v>
      </c>
      <c r="V731" s="5" t="s">
        <v>59</v>
      </c>
      <c r="W7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31" s="7">
        <f t="shared" si="26"/>
        <v>1</v>
      </c>
      <c r="Y731" s="5">
        <v>6.3</v>
      </c>
      <c r="Z731" s="5">
        <v>7.38</v>
      </c>
      <c r="AA731" s="5">
        <v>2</v>
      </c>
      <c r="AB731" s="5">
        <v>23.86</v>
      </c>
      <c r="AC731" s="5">
        <v>11</v>
      </c>
      <c r="AD731" s="5">
        <v>9.3000000000000007</v>
      </c>
      <c r="AE731" s="5">
        <v>23.1</v>
      </c>
      <c r="AF731" s="5">
        <v>0.5</v>
      </c>
      <c r="AG731" s="5">
        <v>10.8</v>
      </c>
      <c r="AH731" s="5">
        <f ca="1">Tabla2[[#This Row],[VOLUMEN DE DESCARGA MENSUAL (M3/M)]]*30</f>
        <v>0</v>
      </c>
      <c r="AI731" s="5">
        <f t="shared" ca="1" si="27"/>
        <v>0</v>
      </c>
    </row>
    <row r="732" spans="1:51" x14ac:dyDescent="0.25">
      <c r="A732" s="5" t="s">
        <v>52</v>
      </c>
      <c r="B732" s="5" t="s">
        <v>82</v>
      </c>
      <c r="C732" s="5" t="s">
        <v>77</v>
      </c>
      <c r="F732" s="14" t="s">
        <v>256</v>
      </c>
      <c r="G732" s="5" t="s">
        <v>229</v>
      </c>
      <c r="H732" s="5" t="s">
        <v>57</v>
      </c>
      <c r="I732" s="5">
        <v>32</v>
      </c>
      <c r="J732" s="5" t="str">
        <f>IFERROR(VLOOKUP(I732,[1]INFO_LOCALES!$B:$C,2,FALSE),"")</f>
        <v>CHAÑARCILLO</v>
      </c>
      <c r="K732" s="5" t="str">
        <f>IFERROR(VLOOKUP(Tabla2[[#This Row],[TIENDA]],[1]INFO_LOCALES!$B:$D,3,FALSE),"")</f>
        <v>III - Atacama</v>
      </c>
      <c r="L732" s="5" t="str">
        <f>IFERROR(VLOOKUP(I732,[1]INFO_LOCALES!$B:$I,8,FALSE),"")</f>
        <v>Copiapó</v>
      </c>
      <c r="M732" s="5" t="str">
        <f>IFERROR(VLOOKUP(I732,[1]INFO_LOCALES!$B:$H,7,FALSE),"")</f>
        <v>Chacabuco Nº 231</v>
      </c>
      <c r="N732" s="5">
        <f>IFERROR(VLOOKUP(I732,[1]INFO_LOCALES!$B:$E,4,FALSE),"")</f>
        <v>0</v>
      </c>
      <c r="O732" s="5" t="str">
        <f>VLOOKUP(Tabla2[[#This Row],[TIENDA]],[1]INFO_LOCALES!$B:$J,9,0)</f>
        <v>CONVENIO</v>
      </c>
      <c r="P732" s="5" t="str">
        <f>IFERROR(VLOOKUP(I732,[1]INFO_LOCALES!$B:$F,5,FALSE),"")</f>
        <v>NUEVA ATACAMA</v>
      </c>
      <c r="Q732" s="5" t="s">
        <v>85</v>
      </c>
      <c r="R732" s="5" t="s">
        <v>86</v>
      </c>
      <c r="S732" s="6"/>
      <c r="T732" s="5" t="str">
        <f>UPPER(IF(Tabla2[[#This Row],[FECHA DE MUESTREO ]]=0,"",TEXT(Tabla2[[#This Row],[FECHA DE MUESTREO ]],("MMMM"))))</f>
        <v>NOVIEMBRE</v>
      </c>
      <c r="U732" s="6">
        <v>45987</v>
      </c>
      <c r="V732" s="5" t="s">
        <v>59</v>
      </c>
      <c r="W7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32" s="7">
        <f t="shared" si="26"/>
        <v>1</v>
      </c>
      <c r="Y732" s="5">
        <v>25.4</v>
      </c>
      <c r="Z732" s="5">
        <v>7.53</v>
      </c>
      <c r="AA732" s="5">
        <v>3</v>
      </c>
      <c r="AB732" s="5">
        <v>22.43</v>
      </c>
      <c r="AC732" s="5">
        <v>225</v>
      </c>
      <c r="AD732" s="5">
        <v>12.8</v>
      </c>
      <c r="AE732" s="5">
        <v>20.100000000000001</v>
      </c>
      <c r="AF732" s="5">
        <v>1.5</v>
      </c>
      <c r="AG732" s="5">
        <v>70.7</v>
      </c>
      <c r="AH732" s="5">
        <v>2.4700000000000002</v>
      </c>
      <c r="AI732" s="5">
        <f t="shared" si="27"/>
        <v>74.100000000000009</v>
      </c>
    </row>
    <row r="733" spans="1:51" x14ac:dyDescent="0.25">
      <c r="A733" s="5" t="s">
        <v>52</v>
      </c>
      <c r="B733" s="5" t="s">
        <v>74</v>
      </c>
      <c r="C733" s="5" t="s">
        <v>74</v>
      </c>
      <c r="F733" s="14" t="s">
        <v>256</v>
      </c>
      <c r="G733" s="5" t="s">
        <v>241</v>
      </c>
      <c r="I733" s="5">
        <v>465</v>
      </c>
      <c r="J733" s="5" t="str">
        <f>IFERROR(VLOOKUP(I733,[1]INFO_LOCALES!$B:$C,2,FALSE),"")</f>
        <v>PUERTO NATALES</v>
      </c>
      <c r="K733" s="5" t="str">
        <f>IFERROR(VLOOKUP(Tabla2[[#This Row],[TIENDA]],[1]INFO_LOCALES!$B:$D,3,FALSE),"")</f>
        <v>XII - Magallanes</v>
      </c>
      <c r="L733" s="5" t="str">
        <f>IFERROR(VLOOKUP(I733,[1]INFO_LOCALES!$B:$I,8,FALSE),"")</f>
        <v>Puerto Natales</v>
      </c>
      <c r="M733" s="5" t="str">
        <f>IFERROR(VLOOKUP(I733,[1]INFO_LOCALES!$B:$H,7,FALSE),"")</f>
        <v>Bulnes 742</v>
      </c>
      <c r="N733" s="5">
        <f>IFERROR(VLOOKUP(I733,[1]INFO_LOCALES!$B:$E,4,FALSE),"")</f>
        <v>1133</v>
      </c>
      <c r="O733" s="5" t="str">
        <f>VLOOKUP(Tabla2[[#This Row],[TIENDA]],[1]INFO_LOCALES!$B:$J,9,0)</f>
        <v>SIN CONVENIO</v>
      </c>
      <c r="P733" s="5" t="str">
        <f>IFERROR(VLOOKUP(I733,[1]INFO_LOCALES!$B:$F,5,FALSE),"")</f>
        <v>AGUAS MAGALLANES S.A.</v>
      </c>
      <c r="Q733" s="5" t="s">
        <v>85</v>
      </c>
      <c r="R733" s="5" t="s">
        <v>86</v>
      </c>
      <c r="S733" s="6"/>
      <c r="T733" s="5" t="str">
        <f>UPPER(IF(Tabla2[[#This Row],[FECHA DE MUESTREO ]]=0,"",TEXT(Tabla2[[#This Row],[FECHA DE MUESTREO ]],("MMMM"))))</f>
        <v/>
      </c>
      <c r="U733" s="6"/>
      <c r="V733" s="5" t="s">
        <v>59</v>
      </c>
      <c r="W7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33" s="7">
        <f t="shared" si="26"/>
        <v>1</v>
      </c>
      <c r="AH733" s="5">
        <f ca="1">Tabla2[[#This Row],[VOLUMEN DE DESCARGA MENSUAL (M3/M)]]*30</f>
        <v>0</v>
      </c>
      <c r="AI733" s="5">
        <f t="shared" ca="1" si="27"/>
        <v>0</v>
      </c>
    </row>
    <row r="734" spans="1:51" x14ac:dyDescent="0.25">
      <c r="A734" s="5" t="s">
        <v>52</v>
      </c>
      <c r="B734" s="5" t="s">
        <v>82</v>
      </c>
      <c r="C734" s="5" t="s">
        <v>77</v>
      </c>
      <c r="F734" s="14" t="s">
        <v>256</v>
      </c>
      <c r="G734" s="5" t="s">
        <v>258</v>
      </c>
      <c r="H734" s="5" t="s">
        <v>57</v>
      </c>
      <c r="I734" s="5">
        <v>472</v>
      </c>
      <c r="J734" s="5" t="str">
        <f>IFERROR(VLOOKUP(I734,[1]INFO_LOCALES!$B:$C,2,FALSE),"")</f>
        <v>CALDERA I</v>
      </c>
      <c r="K734" s="5" t="str">
        <f>IFERROR(VLOOKUP(Tabla2[[#This Row],[TIENDA]],[1]INFO_LOCALES!$B:$D,3,FALSE),"")</f>
        <v>III - Atacama</v>
      </c>
      <c r="L734" s="5" t="str">
        <f>IFERROR(VLOOKUP(I734,[1]INFO_LOCALES!$B:$I,8,FALSE),"")</f>
        <v>Caldera</v>
      </c>
      <c r="M734" s="5" t="str">
        <f>IFERROR(VLOOKUP(I734,[1]INFO_LOCALES!$B:$H,7,FALSE),"")</f>
        <v>Batallon Atacama 319</v>
      </c>
      <c r="N734" s="5">
        <f>IFERROR(VLOOKUP(I734,[1]INFO_LOCALES!$B:$E,4,FALSE),"")</f>
        <v>0</v>
      </c>
      <c r="O734" s="5" t="str">
        <f>VLOOKUP(Tabla2[[#This Row],[TIENDA]],[1]INFO_LOCALES!$B:$J,9,0)</f>
        <v>CONVENIO</v>
      </c>
      <c r="P734" s="5" t="str">
        <f>IFERROR(VLOOKUP(I734,[1]INFO_LOCALES!$B:$F,5,FALSE),"")</f>
        <v>NUEVA ATACAMA</v>
      </c>
      <c r="Q734" s="5" t="s">
        <v>85</v>
      </c>
      <c r="R734" s="5" t="s">
        <v>86</v>
      </c>
      <c r="S734" s="6"/>
      <c r="T734" s="5" t="str">
        <f>UPPER(IF(Tabla2[[#This Row],[FECHA DE MUESTREO ]]=0,"",TEXT(Tabla2[[#This Row],[FECHA DE MUESTREO ]],("MMMM"))))</f>
        <v>NOVIEMBRE</v>
      </c>
      <c r="U734" s="6">
        <v>45985</v>
      </c>
      <c r="V734" s="5" t="s">
        <v>59</v>
      </c>
      <c r="W7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34" s="7">
        <f t="shared" si="26"/>
        <v>1</v>
      </c>
      <c r="Y734" s="5">
        <v>3.8</v>
      </c>
      <c r="Z734" s="5">
        <v>7.65</v>
      </c>
      <c r="AA734" s="5">
        <v>7</v>
      </c>
      <c r="AB734" s="5">
        <v>22.04</v>
      </c>
      <c r="AC734" s="5">
        <v>55</v>
      </c>
      <c r="AD734" s="5">
        <v>2.2999999999999998</v>
      </c>
      <c r="AE734" s="5">
        <v>19.8</v>
      </c>
      <c r="AF734" s="5">
        <v>0.5</v>
      </c>
      <c r="AG734" s="5">
        <v>15.4</v>
      </c>
      <c r="AH734" s="5">
        <f ca="1">Tabla2[[#This Row],[VOLUMEN DE DESCARGA MENSUAL (M3/M)]]*30</f>
        <v>0</v>
      </c>
      <c r="AI734" s="5">
        <f t="shared" ca="1" si="27"/>
        <v>0</v>
      </c>
    </row>
    <row r="735" spans="1:51" x14ac:dyDescent="0.25">
      <c r="A735" s="5" t="s">
        <v>60</v>
      </c>
      <c r="B735" s="5" t="e">
        <v>#N/A</v>
      </c>
      <c r="C735" s="5" t="e">
        <v>#N/A</v>
      </c>
      <c r="E735" s="5" t="s">
        <v>259</v>
      </c>
      <c r="F735" s="14" t="s">
        <v>256</v>
      </c>
      <c r="G735" s="15" t="s">
        <v>56</v>
      </c>
      <c r="H735" s="5" t="s">
        <v>249</v>
      </c>
      <c r="I735" s="5">
        <v>3014</v>
      </c>
      <c r="J735" s="5" t="str">
        <f>IFERROR(VLOOKUP(I735,[1]INFO_LOCALES!$B:$C,2,FALSE),"")</f>
        <v>M10 SAN FERNANDO</v>
      </c>
      <c r="K735" s="5" t="str">
        <f>IFERROR(VLOOKUP(Tabla2[[#This Row],[TIENDA]],[1]INFO_LOCALES!$B:$D,3,FALSE),"")</f>
        <v>VI - O'Higgins</v>
      </c>
      <c r="L735" s="5" t="str">
        <f>IFERROR(VLOOKUP(I735,[1]INFO_LOCALES!$B:$I,8,FALSE),"")</f>
        <v>San Fernando</v>
      </c>
      <c r="M735" s="5" t="str">
        <f>IFERROR(VLOOKUP(I735,[1]INFO_LOCALES!$B:$H,7,FALSE),"")</f>
        <v>Chillan 745</v>
      </c>
      <c r="N735" s="5">
        <f>IFERROR(VLOOKUP(I735,[1]INFO_LOCALES!$B:$E,4,FALSE),"")</f>
        <v>1298</v>
      </c>
      <c r="O735" s="5" t="str">
        <f>VLOOKUP(Tabla2[[#This Row],[TIENDA]],[1]INFO_LOCALES!$B:$J,9,0)</f>
        <v>TERMINADO</v>
      </c>
      <c r="P735" s="5" t="str">
        <f>IFERROR(VLOOKUP(I735,[1]INFO_LOCALES!$B:$F,5,FALSE),"")</f>
        <v>ESSBIO S.A.</v>
      </c>
      <c r="Q735" s="5" t="s">
        <v>85</v>
      </c>
      <c r="R735" s="5" t="s">
        <v>86</v>
      </c>
      <c r="S735" s="6"/>
      <c r="T735" s="5" t="str">
        <f>UPPER(IF(Tabla2[[#This Row],[FECHA DE MUESTREO ]]=0,"",TEXT(Tabla2[[#This Row],[FECHA DE MUESTREO ]],("MMMM"))))</f>
        <v>NOVIEMBRE</v>
      </c>
      <c r="U735" s="6">
        <v>45987</v>
      </c>
      <c r="V735" s="10" t="s">
        <v>59</v>
      </c>
      <c r="W7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35" s="7">
        <f t="shared" si="26"/>
        <v>3</v>
      </c>
      <c r="Y735" s="5">
        <v>70.599999999999994</v>
      </c>
      <c r="Z735" s="5">
        <v>7.58</v>
      </c>
      <c r="AA735" s="5">
        <v>11</v>
      </c>
      <c r="AB735" s="5">
        <v>21.56</v>
      </c>
      <c r="AC735" s="5">
        <v>654</v>
      </c>
      <c r="AD735" s="5">
        <v>10.8</v>
      </c>
      <c r="AE735" s="5">
        <v>25.4</v>
      </c>
      <c r="AF735" s="5">
        <v>0.5</v>
      </c>
      <c r="AG735" s="5">
        <v>312</v>
      </c>
      <c r="AH735" s="5">
        <v>0.71</v>
      </c>
      <c r="AI735" s="5">
        <f t="shared" si="27"/>
        <v>21.299999999999997</v>
      </c>
    </row>
    <row r="736" spans="1:51" x14ac:dyDescent="0.25">
      <c r="A736" s="5" t="s">
        <v>210</v>
      </c>
      <c r="B736" s="5" t="e">
        <v>#N/A</v>
      </c>
      <c r="C736" s="5" t="e">
        <v>#N/A</v>
      </c>
      <c r="F736" s="14" t="s">
        <v>256</v>
      </c>
      <c r="G736" s="5" t="s">
        <v>65</v>
      </c>
      <c r="H736" s="5" t="s">
        <v>57</v>
      </c>
      <c r="I736" s="5">
        <v>9051</v>
      </c>
      <c r="J736" s="5" t="str">
        <f>IFERROR(VLOOKUP(I736,[1]INFO_LOCALES!$B:$C,2,FALSE),"")</f>
        <v>CD NUEVO COQUIMBO</v>
      </c>
      <c r="K736" s="5" t="str">
        <f>IFERROR(VLOOKUP(Tabla2[[#This Row],[TIENDA]],[1]INFO_LOCALES!$B:$D,3,FALSE),"")</f>
        <v>IV - Coquimbo</v>
      </c>
      <c r="L736" s="5" t="str">
        <f>IFERROR(VLOOKUP(I736,[1]INFO_LOCALES!$B:$I,8,FALSE),"")</f>
        <v>Coquimbo</v>
      </c>
      <c r="M736" s="5" t="str">
        <f>IFERROR(VLOOKUP(I736,[1]INFO_LOCALES!$B:$H,7,FALSE),"")</f>
        <v>PAN DE AZUCAR S/N</v>
      </c>
      <c r="N736" s="5">
        <f>IFERROR(VLOOKUP(I736,[1]INFO_LOCALES!$B:$E,4,FALSE),"")</f>
        <v>0</v>
      </c>
      <c r="O736" s="5" t="str">
        <f>VLOOKUP(Tabla2[[#This Row],[TIENDA]],[1]INFO_LOCALES!$B:$J,9,0)</f>
        <v>SIN CONVENIO</v>
      </c>
      <c r="P736" s="5" t="str">
        <f>IFERROR(VLOOKUP(I736,[1]INFO_LOCALES!$B:$F,5,FALSE),"")</f>
        <v>RENTAS COQUIMBO SPA</v>
      </c>
      <c r="Q736" s="5" t="s">
        <v>85</v>
      </c>
      <c r="R736" s="5" t="s">
        <v>86</v>
      </c>
      <c r="S736" s="6"/>
      <c r="T736" s="5" t="str">
        <f>UPPER(IF(Tabla2[[#This Row],[FECHA DE MUESTREO ]]=0,"",TEXT(Tabla2[[#This Row],[FECHA DE MUESTREO ]],("MMMM"))))</f>
        <v>NOVIEMBRE</v>
      </c>
      <c r="U736" s="6">
        <v>45980</v>
      </c>
      <c r="V736" s="5" t="s">
        <v>118</v>
      </c>
      <c r="W7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36" s="7">
        <f>IF(W736="CUMPLE",1,IF(W736="CUMPLE CON TOLERANCIA",2,IF(W736="NO CUMPLE",3)))</f>
        <v>1</v>
      </c>
      <c r="Y736" s="5">
        <v>9.1999999999999993</v>
      </c>
      <c r="Z736" s="5">
        <v>7.8</v>
      </c>
      <c r="AA736" s="5">
        <v>2</v>
      </c>
      <c r="AB736" s="5">
        <v>21.9</v>
      </c>
      <c r="AC736" s="5">
        <v>39</v>
      </c>
      <c r="AD736" s="5">
        <v>1.4</v>
      </c>
      <c r="AE736" s="5">
        <v>25</v>
      </c>
      <c r="AG736" s="5">
        <v>16.7</v>
      </c>
      <c r="AH736" s="5">
        <f ca="1">Tabla2[[#This Row],[VOLUMEN DE DESCARGA MENSUAL (M3/M)]]*30</f>
        <v>0</v>
      </c>
      <c r="AI736" s="5">
        <f ca="1">AH736*30</f>
        <v>0</v>
      </c>
      <c r="AJ736" s="5">
        <v>0.2253</v>
      </c>
      <c r="AK736" s="5">
        <v>2E-3</v>
      </c>
      <c r="AL736" s="5">
        <v>0.31019999999999998</v>
      </c>
      <c r="AM736" s="5">
        <v>0.01</v>
      </c>
      <c r="AN736" s="5">
        <v>0.1</v>
      </c>
      <c r="AO736" s="5">
        <v>5.7000000000000002E-2</v>
      </c>
      <c r="AP736" s="5">
        <v>0.05</v>
      </c>
      <c r="AQ736" s="5">
        <v>0.05</v>
      </c>
      <c r="AR736" s="5">
        <v>0.05</v>
      </c>
      <c r="AS736" s="5">
        <v>5</v>
      </c>
      <c r="AT736" s="5">
        <v>2.47E-2</v>
      </c>
      <c r="AU736" s="5">
        <v>1E-3</v>
      </c>
      <c r="AV736" s="5">
        <v>0.05</v>
      </c>
      <c r="AW736" s="5">
        <v>0.01</v>
      </c>
      <c r="AX736" s="5">
        <v>232</v>
      </c>
      <c r="AY736" s="5">
        <v>0.5</v>
      </c>
    </row>
    <row r="737" spans="1:51" x14ac:dyDescent="0.25">
      <c r="A737" s="5" t="s">
        <v>210</v>
      </c>
      <c r="B737" s="5" t="e">
        <v>#N/A</v>
      </c>
      <c r="C737" s="5" t="e">
        <v>#N/A</v>
      </c>
      <c r="F737" s="14" t="s">
        <v>256</v>
      </c>
      <c r="G737" s="5" t="s">
        <v>61</v>
      </c>
      <c r="H737" s="5" t="s">
        <v>57</v>
      </c>
      <c r="I737" s="5">
        <v>9139</v>
      </c>
      <c r="J737" s="5" t="str">
        <f>IFERROR(VLOOKUP(I737,[1]INFO_LOCALES!$B:$C,2,FALSE),"")</f>
        <v>CD LO AGUIRRE</v>
      </c>
      <c r="K737" s="5" t="str">
        <f>IFERROR(VLOOKUP(Tabla2[[#This Row],[TIENDA]],[1]INFO_LOCALES!$B:$D,3,FALSE),"")</f>
        <v>RM - Santiago</v>
      </c>
      <c r="L737" s="5" t="str">
        <f>IFERROR(VLOOKUP(I737,[1]INFO_LOCALES!$B:$I,8,FALSE),"")</f>
        <v>Pudahuel</v>
      </c>
      <c r="M737" s="5" t="str">
        <f>IFERROR(VLOOKUP(I737,[1]INFO_LOCALES!$B:$H,7,FALSE),"")</f>
        <v>CAMINO LO AGUIRRE SUR 537</v>
      </c>
      <c r="N737" s="5">
        <f>IFERROR(VLOOKUP(I737,[1]INFO_LOCALES!$B:$E,4,FALSE),"")</f>
        <v>3552</v>
      </c>
      <c r="O737" s="5" t="str">
        <f>VLOOKUP(Tabla2[[#This Row],[TIENDA]],[1]INFO_LOCALES!$B:$J,9,0)</f>
        <v>SIN CONVENIO</v>
      </c>
      <c r="P737" s="5" t="str">
        <f>IFERROR(VLOOKUP(I737,[1]INFO_LOCALES!$B:$F,5,FALSE),"")</f>
        <v>AGUAS IZARRA</v>
      </c>
      <c r="Q737" s="5" t="s">
        <v>85</v>
      </c>
      <c r="R737" s="5" t="s">
        <v>86</v>
      </c>
      <c r="S737" s="6"/>
      <c r="T737" s="5" t="str">
        <f>UPPER(IF(Tabla2[[#This Row],[FECHA DE MUESTREO ]]=0,"",TEXT(Tabla2[[#This Row],[FECHA DE MUESTREO ]],("MMMM"))))</f>
        <v>NOVIEMBRE</v>
      </c>
      <c r="U737" s="6">
        <v>45986</v>
      </c>
      <c r="V737" s="5" t="s">
        <v>59</v>
      </c>
      <c r="W7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37" s="7">
        <f>IF(W737="CUMPLE",1,IF(W737="CUMPLE CON TOLERANCIA",2,IF(W737="NO CUMPLE",3)))</f>
        <v>1</v>
      </c>
      <c r="Y737" s="5">
        <v>14.5</v>
      </c>
      <c r="Z737" s="5">
        <v>6.65</v>
      </c>
      <c r="AA737" s="5">
        <v>4</v>
      </c>
      <c r="AB737" s="5">
        <v>18.61</v>
      </c>
      <c r="AC737" s="5">
        <v>66</v>
      </c>
      <c r="AD737" s="5">
        <v>3.8</v>
      </c>
      <c r="AE737" s="5">
        <v>25.99</v>
      </c>
      <c r="AF737" s="5">
        <v>0.5</v>
      </c>
      <c r="AG737" s="5">
        <v>12.8</v>
      </c>
      <c r="AH737" s="5">
        <v>1.77</v>
      </c>
      <c r="AI737" s="5">
        <f>AH737*30</f>
        <v>53.1</v>
      </c>
      <c r="AS737" s="5">
        <v>10</v>
      </c>
    </row>
    <row r="738" spans="1:51" x14ac:dyDescent="0.25">
      <c r="A738" s="5" t="s">
        <v>52</v>
      </c>
      <c r="B738" s="5" t="s">
        <v>53</v>
      </c>
      <c r="C738" s="5" t="s">
        <v>54</v>
      </c>
      <c r="F738" s="14" t="s">
        <v>256</v>
      </c>
      <c r="G738" s="5" t="s">
        <v>61</v>
      </c>
      <c r="H738" s="5" t="s">
        <v>57</v>
      </c>
      <c r="I738" s="5">
        <v>344</v>
      </c>
      <c r="J738" s="5" t="str">
        <f>IFERROR(VLOOKUP(I738,[1]INFO_LOCALES!$B:$C,2,FALSE),"")</f>
        <v>CURICO ALAMEDA</v>
      </c>
      <c r="K738" s="5" t="str">
        <f>IFERROR(VLOOKUP(Tabla2[[#This Row],[TIENDA]],[1]INFO_LOCALES!$B:$D,3,FALSE),"")</f>
        <v>VII - Maule</v>
      </c>
      <c r="L738" s="5" t="str">
        <f>IFERROR(VLOOKUP(I738,[1]INFO_LOCALES!$B:$I,8,FALSE),"")</f>
        <v>Curicó</v>
      </c>
      <c r="M738" s="5" t="str">
        <f>IFERROR(VLOOKUP(I738,[1]INFO_LOCALES!$B:$H,7,FALSE),"")</f>
        <v>Estado 43</v>
      </c>
      <c r="N738" s="5">
        <f>IFERROR(VLOOKUP(I738,[1]INFO_LOCALES!$B:$E,4,FALSE),"")</f>
        <v>4530</v>
      </c>
      <c r="O738" s="5" t="str">
        <f>VLOOKUP(Tabla2[[#This Row],[TIENDA]],[1]INFO_LOCALES!$B:$J,9,0)</f>
        <v>SIN CONVENIO</v>
      </c>
      <c r="P738" s="5" t="str">
        <f>IFERROR(VLOOKUP(I738,[1]INFO_LOCALES!$B:$F,5,FALSE),"")</f>
        <v>NUEVOSUR S.A.</v>
      </c>
      <c r="Q738" s="5" t="s">
        <v>85</v>
      </c>
      <c r="R738" s="5" t="s">
        <v>86</v>
      </c>
      <c r="S738" s="6"/>
      <c r="T738" s="5" t="str">
        <f>UPPER(IF(Tabla2[[#This Row],[FECHA DE MUESTREO ]]=0,"",TEXT(Tabla2[[#This Row],[FECHA DE MUESTREO ]],("MMMM"))))</f>
        <v>NOVIEMBRE</v>
      </c>
      <c r="U738" s="6">
        <v>45988</v>
      </c>
      <c r="V738" s="5" t="s">
        <v>59</v>
      </c>
      <c r="W7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38" s="7">
        <f>IF(W738="CUMPLE",1,IF(W738="CUMPLE CON TOLERANCIA",2,IF(W738="NO CUMPLE",3)))</f>
        <v>1</v>
      </c>
      <c r="AH738" s="5">
        <v>0.67</v>
      </c>
      <c r="AI738" s="5">
        <f>AH738*30</f>
        <v>20.100000000000001</v>
      </c>
    </row>
    <row r="739" spans="1:51" x14ac:dyDescent="0.25">
      <c r="A739" s="5" t="s">
        <v>52</v>
      </c>
      <c r="B739" s="5" t="s">
        <v>104</v>
      </c>
      <c r="C739" s="5" t="s">
        <v>54</v>
      </c>
      <c r="E739" s="5" t="s">
        <v>260</v>
      </c>
      <c r="F739" s="14" t="s">
        <v>256</v>
      </c>
      <c r="G739" s="5" t="s">
        <v>56</v>
      </c>
      <c r="H739" s="5" t="s">
        <v>249</v>
      </c>
      <c r="I739" s="5">
        <v>555</v>
      </c>
      <c r="J739" s="5" t="str">
        <f>IFERROR(VLOOKUP(I739,[1]INFO_LOCALES!$B:$C,2,FALSE),"")</f>
        <v>GRANEROS</v>
      </c>
      <c r="K739" s="5" t="str">
        <f>IFERROR(VLOOKUP(Tabla2[[#This Row],[TIENDA]],[1]INFO_LOCALES!$B:$D,3,FALSE),"")</f>
        <v>VI - O'Higgins</v>
      </c>
      <c r="L739" s="5" t="str">
        <f>IFERROR(VLOOKUP(I739,[1]INFO_LOCALES!$B:$I,8,FALSE),"")</f>
        <v>Graneros</v>
      </c>
      <c r="M739" s="5" t="str">
        <f>IFERROR(VLOOKUP(I739,[1]INFO_LOCALES!$B:$H,7,FALSE),"")</f>
        <v>Obispo Rafael Lira 042</v>
      </c>
      <c r="N739" s="5">
        <f>IFERROR(VLOOKUP(I739,[1]INFO_LOCALES!$B:$E,4,FALSE),"")</f>
        <v>4574</v>
      </c>
      <c r="O739" s="5" t="str">
        <f>VLOOKUP(Tabla2[[#This Row],[TIENDA]],[1]INFO_LOCALES!$B:$J,9,0)</f>
        <v>SIN CONVENIO</v>
      </c>
      <c r="P739" s="5" t="str">
        <f>IFERROR(VLOOKUP(I739,[1]INFO_LOCALES!$B:$F,5,FALSE),"")</f>
        <v>ESSBIO S.A.</v>
      </c>
      <c r="Q739" s="5" t="s">
        <v>85</v>
      </c>
      <c r="R739" s="5" t="s">
        <v>86</v>
      </c>
      <c r="S739" s="6"/>
      <c r="T739" s="5" t="str">
        <f>UPPER(IF(Tabla2[[#This Row],[FECHA DE MUESTREO ]]=0,"",TEXT(Tabla2[[#This Row],[FECHA DE MUESTREO ]],("MMMM"))))</f>
        <v>NOVIEMBRE</v>
      </c>
      <c r="U739" s="6">
        <v>45988</v>
      </c>
      <c r="V739" s="5" t="s">
        <v>59</v>
      </c>
      <c r="W7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39" s="7">
        <f t="shared" si="26"/>
        <v>3</v>
      </c>
      <c r="Y739" s="5">
        <v>24.2</v>
      </c>
      <c r="Z739" s="5">
        <v>7.5</v>
      </c>
      <c r="AA739" s="5">
        <v>37</v>
      </c>
      <c r="AB739" s="5">
        <v>20.89</v>
      </c>
      <c r="AC739" s="5">
        <v>361</v>
      </c>
      <c r="AD739" s="5">
        <v>4.5</v>
      </c>
      <c r="AE739" s="5">
        <v>12</v>
      </c>
      <c r="AF739" s="5">
        <v>5</v>
      </c>
      <c r="AG739" s="5">
        <v>167</v>
      </c>
      <c r="AH739" s="5">
        <v>0.33</v>
      </c>
      <c r="AI739" s="5">
        <f t="shared" si="27"/>
        <v>9.9</v>
      </c>
    </row>
    <row r="740" spans="1:51" x14ac:dyDescent="0.25">
      <c r="A740" s="5" t="s">
        <v>52</v>
      </c>
      <c r="B740" s="5" t="s">
        <v>128</v>
      </c>
      <c r="C740" s="5" t="s">
        <v>77</v>
      </c>
      <c r="D740" s="5">
        <v>2025</v>
      </c>
      <c r="E740" s="5" t="s">
        <v>261</v>
      </c>
      <c r="F740" s="10" t="s">
        <v>262</v>
      </c>
      <c r="G740" s="5" t="s">
        <v>61</v>
      </c>
      <c r="H740" s="5" t="s">
        <v>57</v>
      </c>
      <c r="I740" s="5">
        <v>5</v>
      </c>
      <c r="J740" s="5" t="str">
        <f>IFERROR(VLOOKUP(I740,[1]INFO_LOCALES!$B:$C,2,FALSE),"")</f>
        <v>LAS COMPAÑIAS</v>
      </c>
      <c r="K740" s="5" t="str">
        <f>IFERROR(VLOOKUP(Tabla2[[#This Row],[TIENDA]],[1]INFO_LOCALES!$B:$D,3,FALSE),"")</f>
        <v>IV - Coquimbo</v>
      </c>
      <c r="L740" s="5" t="str">
        <f>IFERROR(VLOOKUP(I740,[1]INFO_LOCALES!$B:$I,8,FALSE),"")</f>
        <v>La Serena</v>
      </c>
      <c r="M740" s="5" t="str">
        <f>IFERROR(VLOOKUP(I740,[1]INFO_LOCALES!$B:$H,7,FALSE),"")</f>
        <v>Nicaragua 1571</v>
      </c>
      <c r="N740" s="5">
        <f>IFERROR(VLOOKUP(I740,[1]INFO_LOCALES!$B:$E,4,FALSE),"")</f>
        <v>2644</v>
      </c>
      <c r="O740" s="5" t="str">
        <f>VLOOKUP(Tabla2[[#This Row],[TIENDA]],[1]INFO_LOCALES!$B:$J,9,0)</f>
        <v>SIN CONVENIO</v>
      </c>
      <c r="P740" s="8" t="str">
        <f>IFERROR(VLOOKUP(I740,[1]INFO_LOCALES!$B:$F,5,FALSE),"")</f>
        <v>AGUAS DEL VALLE S A</v>
      </c>
      <c r="Q740" s="5" t="s">
        <v>85</v>
      </c>
      <c r="R740" s="5" t="s">
        <v>86</v>
      </c>
      <c r="S740" s="6"/>
      <c r="T740" s="5" t="str">
        <f>UPPER(IF(Tabla2[[#This Row],[FECHA DE MUESTREO ]]=0,"",TEXT(Tabla2[[#This Row],[FECHA DE MUESTREO ]],("MMMM"))))</f>
        <v>DICIEMBRE</v>
      </c>
      <c r="U740" s="6">
        <v>46009</v>
      </c>
      <c r="V740" s="5" t="s">
        <v>118</v>
      </c>
      <c r="W7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40" s="7">
        <f t="shared" si="26"/>
        <v>2</v>
      </c>
      <c r="Y740" s="5">
        <v>9.1</v>
      </c>
      <c r="Z740" s="5">
        <v>7.56</v>
      </c>
      <c r="AA740" s="5">
        <v>8</v>
      </c>
      <c r="AB740" s="5">
        <v>22.5</v>
      </c>
      <c r="AC740" s="5">
        <v>231</v>
      </c>
      <c r="AD740" s="5">
        <v>4.8</v>
      </c>
      <c r="AE740" s="5">
        <v>18</v>
      </c>
      <c r="AF740" s="5">
        <v>0.5</v>
      </c>
      <c r="AG740" s="5">
        <v>41</v>
      </c>
      <c r="AH740" s="5">
        <v>1.08</v>
      </c>
      <c r="AI740" s="5">
        <f t="shared" si="27"/>
        <v>32.400000000000006</v>
      </c>
      <c r="AJ740" s="5">
        <v>0.59419999999999995</v>
      </c>
      <c r="AK740" s="5">
        <v>3.0000000000000001E-3</v>
      </c>
      <c r="AL740" s="5">
        <v>0.51229999999999998</v>
      </c>
      <c r="AM740" s="5">
        <v>2E-3</v>
      </c>
      <c r="AN740" s="5">
        <v>2E-3</v>
      </c>
      <c r="AO740" s="5">
        <v>0.13589999999999999</v>
      </c>
      <c r="AP740" s="5">
        <v>5.8500000000000003E-2</v>
      </c>
      <c r="AQ740" s="5">
        <v>0.11</v>
      </c>
      <c r="AR740" s="5">
        <v>0.04</v>
      </c>
      <c r="AS740" s="5">
        <v>0</v>
      </c>
      <c r="AT740" s="5">
        <v>6.4799999999999996E-2</v>
      </c>
      <c r="AU740" s="5">
        <v>1E-3</v>
      </c>
      <c r="AV740" s="5">
        <v>7.4700000000000003E-2</v>
      </c>
      <c r="AW740" s="5">
        <v>0.04</v>
      </c>
      <c r="AX740" s="5">
        <v>246</v>
      </c>
      <c r="AY740" s="5">
        <v>0.03</v>
      </c>
    </row>
    <row r="741" spans="1:51" x14ac:dyDescent="0.25">
      <c r="A741" s="5" t="s">
        <v>52</v>
      </c>
      <c r="B741" s="5" t="s">
        <v>82</v>
      </c>
      <c r="C741" s="5" t="s">
        <v>77</v>
      </c>
      <c r="F741" s="10" t="s">
        <v>262</v>
      </c>
      <c r="G741" s="5" t="s">
        <v>258</v>
      </c>
      <c r="H741" s="5" t="s">
        <v>249</v>
      </c>
      <c r="I741" s="5">
        <v>7</v>
      </c>
      <c r="J741" s="5" t="str">
        <f>IFERROR(VLOOKUP(I741,[1]INFO_LOCALES!$B:$C,2,FALSE),"")</f>
        <v>VALLENAR I</v>
      </c>
      <c r="K741" s="5" t="str">
        <f>IFERROR(VLOOKUP(Tabla2[[#This Row],[TIENDA]],[1]INFO_LOCALES!$B:$D,3,FALSE),"")</f>
        <v>III - Atacama</v>
      </c>
      <c r="L741" s="5" t="str">
        <f>IFERROR(VLOOKUP(I741,[1]INFO_LOCALES!$B:$I,8,FALSE),"")</f>
        <v>Vallenar</v>
      </c>
      <c r="M741" s="5" t="str">
        <f>IFERROR(VLOOKUP(I741,[1]INFO_LOCALES!$B:$H,7,FALSE),"")</f>
        <v>Brasil 663</v>
      </c>
      <c r="N741" s="5">
        <f>IFERROR(VLOOKUP(I741,[1]INFO_LOCALES!$B:$E,4,FALSE),"")</f>
        <v>0</v>
      </c>
      <c r="O741" s="5" t="str">
        <f>VLOOKUP(Tabla2[[#This Row],[TIENDA]],[1]INFO_LOCALES!$B:$J,9,0)</f>
        <v>CONVENIO</v>
      </c>
      <c r="P741" s="5" t="str">
        <f>IFERROR(VLOOKUP(I741,[1]INFO_LOCALES!$B:$F,5,FALSE),"")</f>
        <v>NUEVA ATACAMA</v>
      </c>
      <c r="Q741" s="5" t="s">
        <v>85</v>
      </c>
      <c r="R741" s="5" t="s">
        <v>86</v>
      </c>
      <c r="S741" s="6"/>
      <c r="T741" s="5" t="str">
        <f>UPPER(IF(Tabla2[[#This Row],[FECHA DE MUESTREO ]]=0,"",TEXT(Tabla2[[#This Row],[FECHA DE MUESTREO ]],("MMMM"))))</f>
        <v>DICIEMBRE</v>
      </c>
      <c r="U741" s="6">
        <v>46020</v>
      </c>
      <c r="V741" s="5" t="s">
        <v>59</v>
      </c>
      <c r="W7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41" s="7">
        <f t="shared" ref="X741:X804" si="28">IF(W741="CUMPLE",1,IF(W741="CUMPLE CON TOLERANCIA",2,IF(W741="NO CUMPLE",3)))</f>
        <v>3</v>
      </c>
      <c r="Y741" s="5">
        <v>3</v>
      </c>
      <c r="Z741" s="5">
        <v>6.84</v>
      </c>
      <c r="AA741" s="5">
        <v>15</v>
      </c>
      <c r="AB741" s="5">
        <v>21.23</v>
      </c>
      <c r="AC741" s="5">
        <v>496</v>
      </c>
      <c r="AD741" s="5">
        <v>8.3000000000000007</v>
      </c>
      <c r="AE741" s="5">
        <v>4.5</v>
      </c>
      <c r="AF741" s="5">
        <v>0.6</v>
      </c>
      <c r="AG741" s="5">
        <v>71</v>
      </c>
      <c r="AI741" s="5">
        <f t="shared" si="27"/>
        <v>0</v>
      </c>
    </row>
    <row r="742" spans="1:51" x14ac:dyDescent="0.25">
      <c r="A742" s="5" t="s">
        <v>52</v>
      </c>
      <c r="B742" s="5" t="s">
        <v>82</v>
      </c>
      <c r="C742" s="5" t="s">
        <v>77</v>
      </c>
      <c r="F742" s="10" t="s">
        <v>262</v>
      </c>
      <c r="G742" s="5" t="s">
        <v>258</v>
      </c>
      <c r="H742" s="5" t="s">
        <v>57</v>
      </c>
      <c r="I742" s="5">
        <v>16</v>
      </c>
      <c r="J742" s="5" t="str">
        <f>IFERROR(VLOOKUP(I742,[1]INFO_LOCALES!$B:$C,2,FALSE),"")</f>
        <v>VALLENAR II</v>
      </c>
      <c r="K742" s="5" t="str">
        <f>IFERROR(VLOOKUP(Tabla2[[#This Row],[TIENDA]],[1]INFO_LOCALES!$B:$D,3,FALSE),"")</f>
        <v>III - Atacama</v>
      </c>
      <c r="L742" s="5" t="str">
        <f>IFERROR(VLOOKUP(I742,[1]INFO_LOCALES!$B:$I,8,FALSE),"")</f>
        <v>Vallenar</v>
      </c>
      <c r="M742" s="5" t="str">
        <f>IFERROR(VLOOKUP(I742,[1]INFO_LOCALES!$B:$H,7,FALSE),"")</f>
        <v>Arturo Prat 2350</v>
      </c>
      <c r="N742" s="5">
        <f>IFERROR(VLOOKUP(I742,[1]INFO_LOCALES!$B:$E,4,FALSE),"")</f>
        <v>0</v>
      </c>
      <c r="O742" s="5" t="str">
        <f>VLOOKUP(Tabla2[[#This Row],[TIENDA]],[1]INFO_LOCALES!$B:$J,9,0)</f>
        <v>TERMINADO</v>
      </c>
      <c r="P742" s="5" t="str">
        <f>IFERROR(VLOOKUP(I742,[1]INFO_LOCALES!$B:$F,5,FALSE),"")</f>
        <v>NUEVA ATACAMA</v>
      </c>
      <c r="Q742" s="5" t="s">
        <v>85</v>
      </c>
      <c r="R742" s="5" t="s">
        <v>86</v>
      </c>
      <c r="S742" s="6"/>
      <c r="T742" s="5" t="str">
        <f>UPPER(IF(Tabla2[[#This Row],[FECHA DE MUESTREO ]]=0,"",TEXT(Tabla2[[#This Row],[FECHA DE MUESTREO ]],("MMMM"))))</f>
        <v>DICIEMBRE</v>
      </c>
      <c r="U742" s="6">
        <v>46020</v>
      </c>
      <c r="V742" s="5" t="s">
        <v>59</v>
      </c>
      <c r="W7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42" s="7">
        <f t="shared" si="28"/>
        <v>1</v>
      </c>
      <c r="Y742" s="5">
        <v>8.9</v>
      </c>
      <c r="Z742" s="5">
        <v>7.26</v>
      </c>
      <c r="AA742" s="5">
        <v>3</v>
      </c>
      <c r="AB742" s="5">
        <v>22.75</v>
      </c>
      <c r="AC742" s="5">
        <v>12</v>
      </c>
      <c r="AD742" s="5">
        <v>0.3</v>
      </c>
      <c r="AE742" s="5">
        <v>3.9</v>
      </c>
      <c r="AF742" s="5">
        <v>0.2</v>
      </c>
      <c r="AG742" s="5">
        <v>25</v>
      </c>
      <c r="AI742" s="5">
        <f t="shared" si="27"/>
        <v>0</v>
      </c>
    </row>
    <row r="743" spans="1:51" x14ac:dyDescent="0.25">
      <c r="A743" s="5" t="s">
        <v>52</v>
      </c>
      <c r="B743" s="5" t="s">
        <v>128</v>
      </c>
      <c r="C743" s="5" t="s">
        <v>77</v>
      </c>
      <c r="D743" s="5">
        <v>2025</v>
      </c>
      <c r="F743" s="10" t="s">
        <v>262</v>
      </c>
      <c r="G743" s="5" t="s">
        <v>61</v>
      </c>
      <c r="H743" s="5" t="s">
        <v>57</v>
      </c>
      <c r="I743" s="5">
        <v>17</v>
      </c>
      <c r="J743" s="5" t="str">
        <f>IFERROR(VLOOKUP(I743,[1]INFO_LOCALES!$B:$C,2,FALSE),"")</f>
        <v>LOS ALAMOS</v>
      </c>
      <c r="K743" s="5" t="str">
        <f>IFERROR(VLOOKUP(Tabla2[[#This Row],[TIENDA]],[1]INFO_LOCALES!$B:$D,3,FALSE),"")</f>
        <v>IV - Coquimbo</v>
      </c>
      <c r="L743" s="5" t="str">
        <f>IFERROR(VLOOKUP(I743,[1]INFO_LOCALES!$B:$I,8,FALSE),"")</f>
        <v>Coquimbo</v>
      </c>
      <c r="M743" s="5" t="str">
        <f>IFERROR(VLOOKUP(I743,[1]INFO_LOCALES!$B:$H,7,FALSE),"")</f>
        <v>Los Alamos 580</v>
      </c>
      <c r="N743" s="5">
        <f>IFERROR(VLOOKUP(I743,[1]INFO_LOCALES!$B:$E,4,FALSE),"")</f>
        <v>2643</v>
      </c>
      <c r="O743" s="5" t="str">
        <f>VLOOKUP(Tabla2[[#This Row],[TIENDA]],[1]INFO_LOCALES!$B:$J,9,0)</f>
        <v>TERMINADO</v>
      </c>
      <c r="P743" s="8" t="str">
        <f>IFERROR(VLOOKUP(I743,[1]INFO_LOCALES!$B:$F,5,FALSE),"")</f>
        <v>AGUAS DEL VALLE S A</v>
      </c>
      <c r="Q743" s="5" t="s">
        <v>85</v>
      </c>
      <c r="R743" s="5" t="s">
        <v>86</v>
      </c>
      <c r="S743" s="6"/>
      <c r="T743" s="5" t="str">
        <f>UPPER(IF(Tabla2[[#This Row],[FECHA DE MUESTREO ]]=0,"",TEXT(Tabla2[[#This Row],[FECHA DE MUESTREO ]],("MMMM"))))</f>
        <v>DICIEMBRE</v>
      </c>
      <c r="U743" s="6">
        <v>46006</v>
      </c>
      <c r="V743" s="5" t="s">
        <v>118</v>
      </c>
      <c r="W7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43" s="7">
        <f t="shared" si="28"/>
        <v>1</v>
      </c>
      <c r="Y743" s="5">
        <v>12.3</v>
      </c>
      <c r="Z743" s="5">
        <v>8.0399999999999991</v>
      </c>
      <c r="AA743" s="5">
        <v>2</v>
      </c>
      <c r="AB743" s="5">
        <v>22.8</v>
      </c>
      <c r="AC743" s="5">
        <v>144</v>
      </c>
      <c r="AD743" s="5">
        <v>5.5</v>
      </c>
      <c r="AE743" s="5">
        <v>30</v>
      </c>
      <c r="AF743" s="5">
        <v>0.3</v>
      </c>
      <c r="AG743" s="5">
        <v>42</v>
      </c>
      <c r="AH743" s="5">
        <v>3.42</v>
      </c>
      <c r="AI743" s="5">
        <f t="shared" si="27"/>
        <v>102.6</v>
      </c>
      <c r="AJ743" s="5">
        <v>0.14080000000000001</v>
      </c>
      <c r="AK743" s="5">
        <v>5.0000000000000001E-3</v>
      </c>
      <c r="AL743" s="5">
        <v>0.56140000000000001</v>
      </c>
      <c r="AM743" s="5">
        <v>2E-3</v>
      </c>
      <c r="AN743" s="5">
        <v>2E-3</v>
      </c>
      <c r="AO743" s="5">
        <v>0.16300000000000001</v>
      </c>
      <c r="AP743" s="5">
        <v>7.0099999999999996E-2</v>
      </c>
      <c r="AQ743" s="5">
        <v>0.05</v>
      </c>
      <c r="AR743" s="5">
        <v>0.03</v>
      </c>
      <c r="AS743" s="5">
        <v>0</v>
      </c>
      <c r="AT743" s="5">
        <v>2.7900000000000001E-2</v>
      </c>
      <c r="AU743" s="5">
        <v>1E-3</v>
      </c>
      <c r="AV743" s="5">
        <v>1.4999999999999999E-2</v>
      </c>
      <c r="AW743" s="5">
        <v>0.04</v>
      </c>
      <c r="AX743" s="5">
        <v>234</v>
      </c>
      <c r="AY743" s="5">
        <v>0.03</v>
      </c>
    </row>
    <row r="744" spans="1:51" x14ac:dyDescent="0.25">
      <c r="A744" s="5" t="s">
        <v>52</v>
      </c>
      <c r="B744" s="5" t="s">
        <v>82</v>
      </c>
      <c r="C744" s="5" t="s">
        <v>77</v>
      </c>
      <c r="E744" s="5" t="s">
        <v>263</v>
      </c>
      <c r="F744" s="10" t="s">
        <v>262</v>
      </c>
      <c r="G744" s="5" t="s">
        <v>61</v>
      </c>
      <c r="H744" s="5" t="s">
        <v>57</v>
      </c>
      <c r="I744" s="5">
        <v>22</v>
      </c>
      <c r="J744" s="5" t="str">
        <f>IFERROR(VLOOKUP(I744,[1]INFO_LOCALES!$B:$C,2,FALSE),"")</f>
        <v>ATACAMA</v>
      </c>
      <c r="K744" s="5" t="str">
        <f>IFERROR(VLOOKUP(Tabla2[[#This Row],[TIENDA]],[1]INFO_LOCALES!$B:$D,3,FALSE),"")</f>
        <v>III - Atacama</v>
      </c>
      <c r="L744" s="5" t="str">
        <f>IFERROR(VLOOKUP(I744,[1]INFO_LOCALES!$B:$I,8,FALSE),"")</f>
        <v>Copiapó</v>
      </c>
      <c r="M744" s="5" t="str">
        <f>IFERROR(VLOOKUP(I744,[1]INFO_LOCALES!$B:$H,7,FALSE),"")</f>
        <v>Los Carreras 2242</v>
      </c>
      <c r="N744" s="5">
        <f>IFERROR(VLOOKUP(I744,[1]INFO_LOCALES!$B:$E,4,FALSE),"")</f>
        <v>2666</v>
      </c>
      <c r="O744" s="5" t="str">
        <f>VLOOKUP(Tabla2[[#This Row],[TIENDA]],[1]INFO_LOCALES!$B:$J,9,0)</f>
        <v>CONVENIO</v>
      </c>
      <c r="P744" s="5" t="str">
        <f>IFERROR(VLOOKUP(I744,[1]INFO_LOCALES!$B:$F,5,FALSE),"")</f>
        <v>NUEVA ATACAMA</v>
      </c>
      <c r="Q744" s="5" t="s">
        <v>85</v>
      </c>
      <c r="R744" s="5" t="s">
        <v>86</v>
      </c>
      <c r="S744" s="6"/>
      <c r="T744" s="5" t="str">
        <f>UPPER(IF(Tabla2[[#This Row],[FECHA DE MUESTREO ]]=0,"",TEXT(Tabla2[[#This Row],[FECHA DE MUESTREO ]],("MMMM"))))</f>
        <v>DICIEMBRE</v>
      </c>
      <c r="U744" s="6">
        <v>46008</v>
      </c>
      <c r="V744" s="5" t="s">
        <v>59</v>
      </c>
      <c r="W7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44" s="7">
        <f t="shared" si="28"/>
        <v>2</v>
      </c>
      <c r="Y744" s="5">
        <v>27.8</v>
      </c>
      <c r="Z744" s="5">
        <v>7.18</v>
      </c>
      <c r="AA744" s="5">
        <v>3</v>
      </c>
      <c r="AB744" s="5">
        <v>21.34</v>
      </c>
      <c r="AC744" s="5">
        <v>360</v>
      </c>
      <c r="AD744" s="5">
        <v>12.5</v>
      </c>
      <c r="AE744" s="5">
        <v>70</v>
      </c>
      <c r="AF744" s="5">
        <v>0.4</v>
      </c>
      <c r="AG744" s="5">
        <v>63</v>
      </c>
      <c r="AH744" s="5">
        <v>0.18</v>
      </c>
      <c r="AI744" s="5">
        <f t="shared" si="27"/>
        <v>5.3999999999999995</v>
      </c>
    </row>
    <row r="745" spans="1:51" x14ac:dyDescent="0.25">
      <c r="A745" s="5" t="s">
        <v>52</v>
      </c>
      <c r="B745" s="5" t="s">
        <v>82</v>
      </c>
      <c r="C745" s="5" t="s">
        <v>77</v>
      </c>
      <c r="E745" s="5" t="s">
        <v>264</v>
      </c>
      <c r="F745" s="10" t="s">
        <v>262</v>
      </c>
      <c r="G745" s="5" t="s">
        <v>229</v>
      </c>
      <c r="H745" s="5" t="s">
        <v>57</v>
      </c>
      <c r="I745" s="5">
        <v>23</v>
      </c>
      <c r="J745" s="5" t="str">
        <f>IFERROR(VLOOKUP(I745,[1]INFO_LOCALES!$B:$C,2,FALSE),"")</f>
        <v>LOS CARRERAS</v>
      </c>
      <c r="K745" s="5" t="str">
        <f>IFERROR(VLOOKUP(Tabla2[[#This Row],[TIENDA]],[1]INFO_LOCALES!$B:$D,3,FALSE),"")</f>
        <v>III - Atacama</v>
      </c>
      <c r="L745" s="5" t="str">
        <f>IFERROR(VLOOKUP(I745,[1]INFO_LOCALES!$B:$I,8,FALSE),"")</f>
        <v>Copiapó</v>
      </c>
      <c r="M745" s="5" t="str">
        <f>IFERROR(VLOOKUP(I745,[1]INFO_LOCALES!$B:$H,7,FALSE),"")</f>
        <v>Los Carrera 479</v>
      </c>
      <c r="N745" s="5">
        <f>IFERROR(VLOOKUP(I745,[1]INFO_LOCALES!$B:$E,4,FALSE),"")</f>
        <v>0</v>
      </c>
      <c r="O745" s="5" t="str">
        <f>VLOOKUP(Tabla2[[#This Row],[TIENDA]],[1]INFO_LOCALES!$B:$J,9,0)</f>
        <v>SIN CONVENIO</v>
      </c>
      <c r="P745" s="5" t="str">
        <f>IFERROR(VLOOKUP(I745,[1]INFO_LOCALES!$B:$F,5,FALSE),"")</f>
        <v>NUEVA ATACAMA</v>
      </c>
      <c r="Q745" s="5" t="s">
        <v>85</v>
      </c>
      <c r="R745" s="5" t="s">
        <v>86</v>
      </c>
      <c r="S745" s="6"/>
      <c r="T745" s="5" t="str">
        <f>UPPER(IF(Tabla2[[#This Row],[FECHA DE MUESTREO ]]=0,"",TEXT(Tabla2[[#This Row],[FECHA DE MUESTREO ]],("MMMM"))))</f>
        <v>DICIEMBRE</v>
      </c>
      <c r="U745" s="6">
        <v>46008</v>
      </c>
      <c r="V745" s="5" t="s">
        <v>59</v>
      </c>
      <c r="W7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45" s="7">
        <f t="shared" si="28"/>
        <v>2</v>
      </c>
      <c r="Y745" s="5">
        <v>16.100000000000001</v>
      </c>
      <c r="Z745" s="5">
        <v>7.53</v>
      </c>
      <c r="AA745" s="5">
        <v>10</v>
      </c>
      <c r="AB745" s="5">
        <v>21.86</v>
      </c>
      <c r="AC745" s="5">
        <v>382</v>
      </c>
      <c r="AD745" s="5">
        <v>13</v>
      </c>
      <c r="AE745" s="5">
        <v>47</v>
      </c>
      <c r="AF745" s="5">
        <v>0.2</v>
      </c>
      <c r="AG745" s="5">
        <v>61</v>
      </c>
      <c r="AH745" s="5">
        <v>5</v>
      </c>
      <c r="AI745" s="5">
        <f t="shared" si="27"/>
        <v>150</v>
      </c>
    </row>
    <row r="746" spans="1:51" x14ac:dyDescent="0.25">
      <c r="A746" s="5" t="s">
        <v>52</v>
      </c>
      <c r="B746" s="5" t="s">
        <v>82</v>
      </c>
      <c r="C746" s="5" t="s">
        <v>77</v>
      </c>
      <c r="F746" s="10" t="s">
        <v>262</v>
      </c>
      <c r="G746" s="5" t="s">
        <v>229</v>
      </c>
      <c r="H746" s="5" t="s">
        <v>57</v>
      </c>
      <c r="I746" s="5">
        <v>24</v>
      </c>
      <c r="J746" s="5" t="str">
        <f>IFERROR(VLOOKUP(I746,[1]INFO_LOCALES!$B:$C,2,FALSE),"")</f>
        <v>CHACABUCO</v>
      </c>
      <c r="K746" s="5" t="str">
        <f>IFERROR(VLOOKUP(Tabla2[[#This Row],[TIENDA]],[1]INFO_LOCALES!$B:$D,3,FALSE),"")</f>
        <v>III - Atacama</v>
      </c>
      <c r="L746" s="5" t="str">
        <f>IFERROR(VLOOKUP(I746,[1]INFO_LOCALES!$B:$I,8,FALSE),"")</f>
        <v>Copiapó</v>
      </c>
      <c r="M746" s="5" t="str">
        <f>IFERROR(VLOOKUP(I746,[1]INFO_LOCALES!$B:$H,7,FALSE),"")</f>
        <v>Los Carreras  586</v>
      </c>
      <c r="N746" s="5">
        <f>IFERROR(VLOOKUP(I746,[1]INFO_LOCALES!$B:$E,4,FALSE),"")</f>
        <v>0</v>
      </c>
      <c r="O746" s="5" t="str">
        <f>VLOOKUP(Tabla2[[#This Row],[TIENDA]],[1]INFO_LOCALES!$B:$J,9,0)</f>
        <v>SIN CONVENIO</v>
      </c>
      <c r="P746" s="5" t="str">
        <f>IFERROR(VLOOKUP(I746,[1]INFO_LOCALES!$B:$F,5,FALSE),"")</f>
        <v>NUEVA ATACAMA</v>
      </c>
      <c r="Q746" s="5" t="s">
        <v>85</v>
      </c>
      <c r="R746" s="5" t="s">
        <v>86</v>
      </c>
      <c r="S746" s="6"/>
      <c r="T746" s="5" t="str">
        <f>UPPER(IF(Tabla2[[#This Row],[FECHA DE MUESTREO ]]=0,"",TEXT(Tabla2[[#This Row],[FECHA DE MUESTREO ]],("MMMM"))))</f>
        <v>DICIEMBRE</v>
      </c>
      <c r="U746" s="6">
        <v>46020</v>
      </c>
      <c r="V746" s="5" t="s">
        <v>59</v>
      </c>
      <c r="W7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46" s="7">
        <f t="shared" si="28"/>
        <v>1</v>
      </c>
      <c r="Y746" s="5">
        <v>9.8000000000000007</v>
      </c>
      <c r="Z746" s="5">
        <v>6.84</v>
      </c>
      <c r="AA746" s="5">
        <v>2</v>
      </c>
      <c r="AB746" s="5">
        <v>21.23</v>
      </c>
      <c r="AC746" s="5">
        <v>13</v>
      </c>
      <c r="AD746" s="5">
        <v>4.5</v>
      </c>
      <c r="AE746" s="5">
        <v>13</v>
      </c>
      <c r="AF746" s="5">
        <v>0.1</v>
      </c>
      <c r="AG746" s="5">
        <v>7.2</v>
      </c>
      <c r="AI746" s="5">
        <f t="shared" si="27"/>
        <v>0</v>
      </c>
    </row>
    <row r="747" spans="1:51" x14ac:dyDescent="0.25">
      <c r="A747" s="5" t="s">
        <v>52</v>
      </c>
      <c r="B747" s="5" t="s">
        <v>82</v>
      </c>
      <c r="C747" s="5" t="s">
        <v>77</v>
      </c>
      <c r="F747" s="10" t="s">
        <v>262</v>
      </c>
      <c r="G747" s="5" t="s">
        <v>61</v>
      </c>
      <c r="H747" s="5" t="s">
        <v>57</v>
      </c>
      <c r="I747" s="5">
        <v>25</v>
      </c>
      <c r="J747" s="5" t="str">
        <f>IFERROR(VLOOKUP(I747,[1]INFO_LOCALES!$B:$C,2,FALSE),"")</f>
        <v>EL PALOMAR</v>
      </c>
      <c r="K747" s="5" t="str">
        <f>IFERROR(VLOOKUP(Tabla2[[#This Row],[TIENDA]],[1]INFO_LOCALES!$B:$D,3,FALSE),"")</f>
        <v>III - Atacama</v>
      </c>
      <c r="L747" s="5" t="str">
        <f>IFERROR(VLOOKUP(I747,[1]INFO_LOCALES!$B:$I,8,FALSE),"")</f>
        <v>Copiapó</v>
      </c>
      <c r="M747" s="5" t="str">
        <f>IFERROR(VLOOKUP(I747,[1]INFO_LOCALES!$B:$H,7,FALSE),"")</f>
        <v>Av. Palomar 1525</v>
      </c>
      <c r="N747" s="5">
        <f>IFERROR(VLOOKUP(I747,[1]INFO_LOCALES!$B:$E,4,FALSE),"")</f>
        <v>3868</v>
      </c>
      <c r="O747" s="5" t="str">
        <f>VLOOKUP(Tabla2[[#This Row],[TIENDA]],[1]INFO_LOCALES!$B:$J,9,0)</f>
        <v>TERMINADO</v>
      </c>
      <c r="P747" s="5" t="str">
        <f>IFERROR(VLOOKUP(I747,[1]INFO_LOCALES!$B:$F,5,FALSE),"")</f>
        <v>NUEVA ATACAMA</v>
      </c>
      <c r="Q747" s="5" t="s">
        <v>85</v>
      </c>
      <c r="R747" s="5" t="s">
        <v>86</v>
      </c>
      <c r="S747" s="6"/>
      <c r="T747" s="5" t="str">
        <f>UPPER(IF(Tabla2[[#This Row],[FECHA DE MUESTREO ]]=0,"",TEXT(Tabla2[[#This Row],[FECHA DE MUESTREO ]],("MMMM"))))</f>
        <v>DICIEMBRE</v>
      </c>
      <c r="U747" s="6">
        <v>46020</v>
      </c>
      <c r="V747" s="5" t="s">
        <v>59</v>
      </c>
      <c r="W7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47" s="7">
        <f t="shared" si="28"/>
        <v>1</v>
      </c>
      <c r="Y747" s="5">
        <v>2</v>
      </c>
      <c r="Z747" s="5">
        <v>7.3</v>
      </c>
      <c r="AA747" s="5">
        <v>2</v>
      </c>
      <c r="AB747" s="5">
        <v>23.35</v>
      </c>
      <c r="AC747" s="5">
        <v>134</v>
      </c>
      <c r="AD747" s="5">
        <v>8</v>
      </c>
      <c r="AE747" s="5">
        <v>25</v>
      </c>
      <c r="AF747" s="5">
        <v>0.1</v>
      </c>
      <c r="AG747" s="5">
        <v>28</v>
      </c>
      <c r="AI747" s="5">
        <v>313</v>
      </c>
    </row>
    <row r="748" spans="1:51" x14ac:dyDescent="0.25">
      <c r="A748" s="5" t="s">
        <v>52</v>
      </c>
      <c r="B748" s="5" t="s">
        <v>82</v>
      </c>
      <c r="C748" s="5" t="s">
        <v>77</v>
      </c>
      <c r="F748" s="10" t="s">
        <v>262</v>
      </c>
      <c r="G748" s="5" t="s">
        <v>229</v>
      </c>
      <c r="H748" s="5" t="s">
        <v>57</v>
      </c>
      <c r="I748" s="5">
        <v>32</v>
      </c>
      <c r="J748" s="5" t="str">
        <f>IFERROR(VLOOKUP(I748,[1]INFO_LOCALES!$B:$C,2,FALSE),"")</f>
        <v>CHAÑARCILLO</v>
      </c>
      <c r="K748" s="5" t="str">
        <f>IFERROR(VLOOKUP(Tabla2[[#This Row],[TIENDA]],[1]INFO_LOCALES!$B:$D,3,FALSE),"")</f>
        <v>III - Atacama</v>
      </c>
      <c r="L748" s="5" t="str">
        <f>IFERROR(VLOOKUP(I748,[1]INFO_LOCALES!$B:$I,8,FALSE),"")</f>
        <v>Copiapó</v>
      </c>
      <c r="M748" s="5" t="str">
        <f>IFERROR(VLOOKUP(I748,[1]INFO_LOCALES!$B:$H,7,FALSE),"")</f>
        <v>Chacabuco Nº 231</v>
      </c>
      <c r="N748" s="5">
        <f>IFERROR(VLOOKUP(I748,[1]INFO_LOCALES!$B:$E,4,FALSE),"")</f>
        <v>0</v>
      </c>
      <c r="O748" s="5" t="str">
        <f>VLOOKUP(Tabla2[[#This Row],[TIENDA]],[1]INFO_LOCALES!$B:$J,9,0)</f>
        <v>CONVENIO</v>
      </c>
      <c r="P748" s="5" t="str">
        <f>IFERROR(VLOOKUP(I748,[1]INFO_LOCALES!$B:$F,5,FALSE),"")</f>
        <v>NUEVA ATACAMA</v>
      </c>
      <c r="Q748" s="5" t="s">
        <v>85</v>
      </c>
      <c r="R748" s="5" t="s">
        <v>86</v>
      </c>
      <c r="S748" s="6"/>
      <c r="T748" s="5" t="str">
        <f>UPPER(IF(Tabla2[[#This Row],[FECHA DE MUESTREO ]]=0,"",TEXT(Tabla2[[#This Row],[FECHA DE MUESTREO ]],("MMMM"))))</f>
        <v>DICIEMBRE</v>
      </c>
      <c r="U748" s="6">
        <v>46008</v>
      </c>
      <c r="V748" s="5" t="s">
        <v>59</v>
      </c>
      <c r="W7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48" s="7">
        <f t="shared" si="28"/>
        <v>1</v>
      </c>
      <c r="Y748" s="5">
        <v>10.1</v>
      </c>
      <c r="Z748" s="5">
        <v>7.24</v>
      </c>
      <c r="AA748" s="5">
        <v>3</v>
      </c>
      <c r="AB748" s="5">
        <v>21.48</v>
      </c>
      <c r="AC748" s="5">
        <v>33</v>
      </c>
      <c r="AD748" s="5">
        <v>10.5</v>
      </c>
      <c r="AE748" s="5">
        <v>55</v>
      </c>
      <c r="AF748" s="5">
        <v>1</v>
      </c>
      <c r="AG748" s="5">
        <v>38</v>
      </c>
      <c r="AH748" s="5">
        <v>0.2</v>
      </c>
      <c r="AI748" s="5">
        <f t="shared" si="27"/>
        <v>6</v>
      </c>
    </row>
    <row r="749" spans="1:51" x14ac:dyDescent="0.25">
      <c r="A749" s="5" t="s">
        <v>52</v>
      </c>
      <c r="B749" s="5" t="s">
        <v>103</v>
      </c>
      <c r="C749" s="5" t="s">
        <v>77</v>
      </c>
      <c r="E749" s="16" t="s">
        <v>265</v>
      </c>
      <c r="F749" s="10" t="s">
        <v>262</v>
      </c>
      <c r="G749" s="5" t="s">
        <v>56</v>
      </c>
      <c r="H749" s="5" t="s">
        <v>253</v>
      </c>
      <c r="I749" s="5">
        <v>46</v>
      </c>
      <c r="J749" s="5" t="str">
        <f>IFERROR(VLOOKUP(I749,[1]INFO_LOCALES!$B:$C,2,FALSE),"")</f>
        <v>CALAMA I</v>
      </c>
      <c r="K749" s="5" t="str">
        <f>IFERROR(VLOOKUP(Tabla2[[#This Row],[TIENDA]],[1]INFO_LOCALES!$B:$D,3,FALSE),"")</f>
        <v>II - Antofagasta</v>
      </c>
      <c r="L749" s="5" t="str">
        <f>IFERROR(VLOOKUP(I749,[1]INFO_LOCALES!$B:$I,8,FALSE),"")</f>
        <v>Calama</v>
      </c>
      <c r="M749" s="5" t="str">
        <f>IFERROR(VLOOKUP(I749,[1]INFO_LOCALES!$B:$H,7,FALSE),"")</f>
        <v>Granaderos 3180</v>
      </c>
      <c r="N749" s="5">
        <f>IFERROR(VLOOKUP(I749,[1]INFO_LOCALES!$B:$E,4,FALSE),"")</f>
        <v>3035</v>
      </c>
      <c r="O749" s="5" t="str">
        <f>VLOOKUP(Tabla2[[#This Row],[TIENDA]],[1]INFO_LOCALES!$B:$J,9,0)</f>
        <v>SIN CONVENIO</v>
      </c>
      <c r="P749" s="8" t="str">
        <f>IFERROR(VLOOKUP(I749,[1]INFO_LOCALES!$B:$F,5,FALSE),"")</f>
        <v>AGUAS DE ANTOFAGASTA S A</v>
      </c>
      <c r="Q749" s="5" t="s">
        <v>85</v>
      </c>
      <c r="R749" s="5" t="s">
        <v>86</v>
      </c>
      <c r="S749" s="6"/>
      <c r="T749" s="5" t="str">
        <f>UPPER(IF(Tabla2[[#This Row],[FECHA DE MUESTREO ]]=0,"",TEXT(Tabla2[[#This Row],[FECHA DE MUESTREO ]],("MMMM"))))</f>
        <v>DICIEMBRE</v>
      </c>
      <c r="U749" s="6">
        <v>46010</v>
      </c>
      <c r="V749" s="5" t="s">
        <v>118</v>
      </c>
      <c r="W7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49" s="7">
        <f t="shared" si="28"/>
        <v>3</v>
      </c>
      <c r="Y749" s="5">
        <v>110.3</v>
      </c>
      <c r="Z749" s="5">
        <v>7.61</v>
      </c>
      <c r="AA749" s="5">
        <v>5</v>
      </c>
      <c r="AB749" s="5">
        <v>22.89</v>
      </c>
      <c r="AC749" s="5">
        <v>919</v>
      </c>
      <c r="AD749" s="5">
        <v>6.8</v>
      </c>
      <c r="AE749" s="5">
        <v>35</v>
      </c>
      <c r="AF749" s="5">
        <v>1</v>
      </c>
      <c r="AG749" s="5">
        <v>258</v>
      </c>
      <c r="AI749" s="5">
        <f t="shared" si="27"/>
        <v>0</v>
      </c>
      <c r="AJ749" s="5">
        <v>0.4713</v>
      </c>
      <c r="AK749" s="5">
        <v>8.9999999999999993E-3</v>
      </c>
      <c r="AL749" s="5">
        <v>4.0278999999999998</v>
      </c>
      <c r="AM749" s="5">
        <v>2E-3</v>
      </c>
      <c r="AN749" s="5">
        <v>2E-3</v>
      </c>
      <c r="AO749" s="5">
        <v>0.28539999999999999</v>
      </c>
      <c r="AP749" s="5">
        <v>0.20660000000000001</v>
      </c>
      <c r="AQ749" s="5">
        <v>0.05</v>
      </c>
      <c r="AR749" s="5">
        <v>0.03</v>
      </c>
      <c r="AS749" s="5">
        <v>4.9000000000000004</v>
      </c>
      <c r="AT749" s="5">
        <v>7.1199999999999999E-2</v>
      </c>
      <c r="AU749" s="5">
        <v>1E-3</v>
      </c>
      <c r="AV749" s="5">
        <v>1.4999999999999999E-2</v>
      </c>
      <c r="AW749" s="5">
        <v>0.04</v>
      </c>
      <c r="AX749" s="5">
        <v>292</v>
      </c>
      <c r="AY749" s="5">
        <v>0.03</v>
      </c>
    </row>
    <row r="750" spans="1:51" x14ac:dyDescent="0.25">
      <c r="A750" s="5" t="s">
        <v>52</v>
      </c>
      <c r="B750" s="5" t="s">
        <v>76</v>
      </c>
      <c r="C750" s="5" t="s">
        <v>77</v>
      </c>
      <c r="E750" s="5" t="s">
        <v>266</v>
      </c>
      <c r="F750" s="10" t="s">
        <v>262</v>
      </c>
      <c r="G750" s="5" t="s">
        <v>241</v>
      </c>
      <c r="H750" s="5" t="s">
        <v>57</v>
      </c>
      <c r="I750" s="5">
        <v>86</v>
      </c>
      <c r="J750" s="5" t="str">
        <f>IFERROR(VLOOKUP(I750,[1]INFO_LOCALES!$B:$C,2,FALSE),"")</f>
        <v>BILBAO</v>
      </c>
      <c r="K750" s="5" t="str">
        <f>IFERROR(VLOOKUP(Tabla2[[#This Row],[TIENDA]],[1]INFO_LOCALES!$B:$D,3,FALSE),"")</f>
        <v>I - Tarapacá</v>
      </c>
      <c r="L750" s="5" t="str">
        <f>IFERROR(VLOOKUP(I750,[1]INFO_LOCALES!$B:$I,8,FALSE),"")</f>
        <v>Iquique</v>
      </c>
      <c r="M750" s="5" t="str">
        <f>IFERROR(VLOOKUP(I750,[1]INFO_LOCALES!$B:$H,7,FALSE),"")</f>
        <v>Fco.Bilbao 3545</v>
      </c>
      <c r="N750" s="5">
        <f>IFERROR(VLOOKUP(I750,[1]INFO_LOCALES!$B:$E,4,FALSE),"")</f>
        <v>4049</v>
      </c>
      <c r="O750" s="5" t="str">
        <f>VLOOKUP(Tabla2[[#This Row],[TIENDA]],[1]INFO_LOCALES!$B:$J,9,0)</f>
        <v>CONVENIO</v>
      </c>
      <c r="P750" s="8" t="str">
        <f>IFERROR(VLOOKUP(I750,[1]INFO_LOCALES!$B:$F,5,FALSE),"")</f>
        <v>AGUAS DEL ALTIPLANO S.A.</v>
      </c>
      <c r="Q750" s="5" t="s">
        <v>85</v>
      </c>
      <c r="R750" s="5" t="s">
        <v>86</v>
      </c>
      <c r="S750" s="6"/>
      <c r="T750" s="5" t="str">
        <f>UPPER(IF(Tabla2[[#This Row],[FECHA DE MUESTREO ]]=0,"",TEXT(Tabla2[[#This Row],[FECHA DE MUESTREO ]],("MMMM"))))</f>
        <v>DICIEMBRE</v>
      </c>
      <c r="U750" s="6">
        <v>46013</v>
      </c>
      <c r="V750" s="5" t="s">
        <v>118</v>
      </c>
      <c r="W7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50" s="7">
        <f t="shared" si="28"/>
        <v>2</v>
      </c>
      <c r="Y750" s="5">
        <v>30.4</v>
      </c>
      <c r="Z750" s="5">
        <v>6.76</v>
      </c>
      <c r="AA750" s="5">
        <v>3</v>
      </c>
      <c r="AB750" s="5">
        <v>24.84</v>
      </c>
      <c r="AC750" s="5">
        <v>420</v>
      </c>
      <c r="AD750" s="5">
        <v>12</v>
      </c>
      <c r="AE750" s="5">
        <v>26</v>
      </c>
      <c r="AF750" s="5">
        <v>5</v>
      </c>
      <c r="AG750" s="5">
        <v>110</v>
      </c>
      <c r="AH750" s="5">
        <v>0.32</v>
      </c>
      <c r="AI750" s="5">
        <f t="shared" si="27"/>
        <v>9.6</v>
      </c>
    </row>
    <row r="751" spans="1:51" x14ac:dyDescent="0.25">
      <c r="A751" s="5" t="s">
        <v>52</v>
      </c>
      <c r="B751" s="5" t="s">
        <v>76</v>
      </c>
      <c r="C751" s="5" t="s">
        <v>77</v>
      </c>
      <c r="E751" s="16" t="s">
        <v>267</v>
      </c>
      <c r="F751" s="10" t="s">
        <v>262</v>
      </c>
      <c r="G751" s="5" t="s">
        <v>56</v>
      </c>
      <c r="H751" s="5" t="s">
        <v>249</v>
      </c>
      <c r="I751" s="5">
        <v>103</v>
      </c>
      <c r="J751" s="5" t="str">
        <f>IFERROR(VLOOKUP(I751,[1]INFO_LOCALES!$B:$C,2,FALSE),"")</f>
        <v>VIVAR</v>
      </c>
      <c r="K751" s="5" t="str">
        <f>IFERROR(VLOOKUP(Tabla2[[#This Row],[TIENDA]],[1]INFO_LOCALES!$B:$D,3,FALSE),"")</f>
        <v>I - Tarapacá</v>
      </c>
      <c r="L751" s="5" t="str">
        <f>IFERROR(VLOOKUP(I751,[1]INFO_LOCALES!$B:$I,8,FALSE),"")</f>
        <v>Iquique</v>
      </c>
      <c r="M751" s="5" t="str">
        <f>IFERROR(VLOOKUP(I751,[1]INFO_LOCALES!$B:$H,7,FALSE),"")</f>
        <v>Vivar 786</v>
      </c>
      <c r="N751" s="5">
        <f>IFERROR(VLOOKUP(I751,[1]INFO_LOCALES!$B:$E,4,FALSE),"")</f>
        <v>4420</v>
      </c>
      <c r="O751" s="5" t="str">
        <f>VLOOKUP(Tabla2[[#This Row],[TIENDA]],[1]INFO_LOCALES!$B:$J,9,0)</f>
        <v>CONVENIO</v>
      </c>
      <c r="P751" s="5" t="str">
        <f>IFERROR(VLOOKUP(I751,[1]INFO_LOCALES!$B:$F,5,FALSE),"")</f>
        <v>AGUAS DEL ALTIPLANO S.A.</v>
      </c>
      <c r="Q751" s="5" t="s">
        <v>85</v>
      </c>
      <c r="R751" s="5" t="s">
        <v>86</v>
      </c>
      <c r="S751" s="6"/>
      <c r="T751" s="5" t="str">
        <f>UPPER(IF(Tabla2[[#This Row],[FECHA DE MUESTREO ]]=0,"",TEXT(Tabla2[[#This Row],[FECHA DE MUESTREO ]],("MMMM"))))</f>
        <v>DICIEMBRE</v>
      </c>
      <c r="U751" s="6">
        <v>46009</v>
      </c>
      <c r="V751" s="5" t="s">
        <v>59</v>
      </c>
      <c r="W7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51" s="7">
        <f t="shared" si="28"/>
        <v>2</v>
      </c>
      <c r="Y751" s="5">
        <v>9.6999999999999993</v>
      </c>
      <c r="Z751" s="5">
        <v>6.96</v>
      </c>
      <c r="AA751" s="5">
        <v>13</v>
      </c>
      <c r="AB751" s="5">
        <v>23.5</v>
      </c>
      <c r="AC751" s="5">
        <v>323</v>
      </c>
      <c r="AD751" s="5">
        <v>3.1</v>
      </c>
      <c r="AE751" s="5">
        <v>10</v>
      </c>
      <c r="AF751" s="5">
        <v>1.2</v>
      </c>
      <c r="AG751" s="5">
        <v>53</v>
      </c>
      <c r="AH751" s="5">
        <v>18.84</v>
      </c>
      <c r="AI751" s="5">
        <f t="shared" si="27"/>
        <v>565.20000000000005</v>
      </c>
      <c r="AJ751" s="5">
        <v>0.43980000000000002</v>
      </c>
      <c r="AK751" s="5">
        <v>6.0000000000000001E-3</v>
      </c>
      <c r="AL751" s="5">
        <v>4.3451000000000004</v>
      </c>
      <c r="AM751" s="5">
        <v>2E-3</v>
      </c>
      <c r="AN751" s="5">
        <v>2E-3</v>
      </c>
      <c r="AO751" s="5">
        <v>0.15490000000000001</v>
      </c>
      <c r="AP751" s="5">
        <v>5.33E-2</v>
      </c>
      <c r="AQ751" s="5">
        <v>0.05</v>
      </c>
      <c r="AR751" s="5">
        <v>0.03</v>
      </c>
      <c r="AS751" s="5">
        <v>0</v>
      </c>
      <c r="AT751" s="5">
        <v>4.7899999999999998E-2</v>
      </c>
      <c r="AU751" s="5">
        <v>1E-3</v>
      </c>
      <c r="AV751" s="5">
        <v>1.4999999999999999E-2</v>
      </c>
      <c r="AW751" s="5">
        <v>0.04</v>
      </c>
      <c r="AX751" s="5">
        <v>397</v>
      </c>
      <c r="AY751" s="5">
        <v>0.03</v>
      </c>
    </row>
    <row r="752" spans="1:51" x14ac:dyDescent="0.25">
      <c r="A752" s="5" t="s">
        <v>52</v>
      </c>
      <c r="B752" s="5" t="s">
        <v>76</v>
      </c>
      <c r="C752" s="5" t="s">
        <v>77</v>
      </c>
      <c r="E752" s="16" t="s">
        <v>268</v>
      </c>
      <c r="F752" s="10" t="s">
        <v>262</v>
      </c>
      <c r="G752" s="5" t="s">
        <v>241</v>
      </c>
      <c r="H752" s="5" t="s">
        <v>57</v>
      </c>
      <c r="I752" s="5">
        <v>105</v>
      </c>
      <c r="J752" s="5" t="str">
        <f>IFERROR(VLOOKUP(I752,[1]INFO_LOCALES!$B:$C,2,FALSE),"")</f>
        <v>IQUIQUE CENTRO</v>
      </c>
      <c r="K752" s="5" t="str">
        <f>IFERROR(VLOOKUP(Tabla2[[#This Row],[TIENDA]],[1]INFO_LOCALES!$B:$D,3,FALSE),"")</f>
        <v>I - Tarapacá</v>
      </c>
      <c r="L752" s="5" t="str">
        <f>IFERROR(VLOOKUP(I752,[1]INFO_LOCALES!$B:$I,8,FALSE),"")</f>
        <v>Iquique</v>
      </c>
      <c r="M752" s="5" t="str">
        <f>IFERROR(VLOOKUP(I752,[1]INFO_LOCALES!$B:$H,7,FALSE),"")</f>
        <v>Tarapaca 579</v>
      </c>
      <c r="N752" s="5">
        <f>IFERROR(VLOOKUP(I752,[1]INFO_LOCALES!$B:$E,4,FALSE),"")</f>
        <v>4051</v>
      </c>
      <c r="O752" s="5" t="str">
        <f>VLOOKUP(Tabla2[[#This Row],[TIENDA]],[1]INFO_LOCALES!$B:$J,9,0)</f>
        <v>TERMINADO</v>
      </c>
      <c r="P752" s="5" t="str">
        <f>IFERROR(VLOOKUP(I752,[1]INFO_LOCALES!$B:$F,5,FALSE),"")</f>
        <v>AGUAS DEL ALTIPLANO S.A.</v>
      </c>
      <c r="Q752" s="5" t="s">
        <v>85</v>
      </c>
      <c r="R752" s="5" t="s">
        <v>86</v>
      </c>
      <c r="S752" s="6"/>
      <c r="T752" s="5" t="str">
        <f>UPPER(IF(Tabla2[[#This Row],[FECHA DE MUESTREO ]]=0,"",TEXT(Tabla2[[#This Row],[FECHA DE MUESTREO ]],("MMMM"))))</f>
        <v>DICIEMBRE</v>
      </c>
      <c r="U752" s="6">
        <v>46020</v>
      </c>
      <c r="V752" s="5" t="s">
        <v>118</v>
      </c>
      <c r="W7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52" s="7">
        <f t="shared" si="28"/>
        <v>1</v>
      </c>
      <c r="Y752" s="5">
        <v>2.4</v>
      </c>
      <c r="Z752" s="5">
        <v>7.86</v>
      </c>
      <c r="AA752" s="5">
        <v>2</v>
      </c>
      <c r="AB752" s="5">
        <v>23.86</v>
      </c>
      <c r="AC752" s="5">
        <v>110</v>
      </c>
      <c r="AD752" s="5">
        <v>7</v>
      </c>
      <c r="AE752" s="5">
        <v>30</v>
      </c>
      <c r="AF752" s="5">
        <v>0.3</v>
      </c>
      <c r="AG752" s="5">
        <v>23</v>
      </c>
      <c r="AH752" s="5">
        <v>1.24</v>
      </c>
      <c r="AI752" s="5">
        <f t="shared" si="27"/>
        <v>37.200000000000003</v>
      </c>
    </row>
    <row r="753" spans="1:51" x14ac:dyDescent="0.25">
      <c r="A753" s="5" t="s">
        <v>52</v>
      </c>
      <c r="B753" s="5" t="s">
        <v>76</v>
      </c>
      <c r="C753" s="5" t="s">
        <v>77</v>
      </c>
      <c r="E753" s="16" t="s">
        <v>269</v>
      </c>
      <c r="F753" s="10" t="s">
        <v>262</v>
      </c>
      <c r="G753" s="5" t="s">
        <v>61</v>
      </c>
      <c r="H753" s="5" t="s">
        <v>57</v>
      </c>
      <c r="I753" s="5">
        <v>106</v>
      </c>
      <c r="J753" s="5" t="str">
        <f>IFERROR(VLOOKUP(I753,[1]INFO_LOCALES!$B:$C,2,FALSE),"")</f>
        <v>LOS MOLLES</v>
      </c>
      <c r="K753" s="5" t="str">
        <f>IFERROR(VLOOKUP(Tabla2[[#This Row],[TIENDA]],[1]INFO_LOCALES!$B:$D,3,FALSE),"")</f>
        <v>I - Tarapacá</v>
      </c>
      <c r="L753" s="5" t="str">
        <f>IFERROR(VLOOKUP(I753,[1]INFO_LOCALES!$B:$I,8,FALSE),"")</f>
        <v>Iquique</v>
      </c>
      <c r="M753" s="5" t="str">
        <f>IFERROR(VLOOKUP(I753,[1]INFO_LOCALES!$B:$H,7,FALSE),"")</f>
        <v>Santiago Polanco 2251</v>
      </c>
      <c r="N753" s="5">
        <f>IFERROR(VLOOKUP(I753,[1]INFO_LOCALES!$B:$E,4,FALSE),"")</f>
        <v>4050</v>
      </c>
      <c r="O753" s="5" t="str">
        <f>VLOOKUP(Tabla2[[#This Row],[TIENDA]],[1]INFO_LOCALES!$B:$J,9,0)</f>
        <v>CONVENIO</v>
      </c>
      <c r="P753" s="5" t="str">
        <f>IFERROR(VLOOKUP(I753,[1]INFO_LOCALES!$B:$F,5,FALSE),"")</f>
        <v>AGUAS DEL ALTIPLANO S.A.</v>
      </c>
      <c r="Q753" s="5" t="s">
        <v>85</v>
      </c>
      <c r="R753" s="5" t="s">
        <v>86</v>
      </c>
      <c r="S753" s="6"/>
      <c r="T753" s="5" t="str">
        <f>UPPER(IF(Tabla2[[#This Row],[FECHA DE MUESTREO ]]=0,"",TEXT(Tabla2[[#This Row],[FECHA DE MUESTREO ]],("MMMM"))))</f>
        <v>DICIEMBRE</v>
      </c>
      <c r="U753" s="6">
        <v>46009</v>
      </c>
      <c r="V753" s="5" t="s">
        <v>59</v>
      </c>
      <c r="W7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53" s="7">
        <f t="shared" si="28"/>
        <v>1</v>
      </c>
      <c r="Y753" s="5">
        <v>8.1999999999999993</v>
      </c>
      <c r="Z753" s="5">
        <v>6.83</v>
      </c>
      <c r="AA753" s="5">
        <v>2</v>
      </c>
      <c r="AB753" s="5">
        <v>23.34</v>
      </c>
      <c r="AC753" s="5">
        <v>133</v>
      </c>
      <c r="AD753" s="5">
        <v>9</v>
      </c>
      <c r="AE753" s="5">
        <v>28</v>
      </c>
      <c r="AF753" s="5">
        <v>1</v>
      </c>
      <c r="AG753" s="5">
        <v>35</v>
      </c>
      <c r="AH753" s="5">
        <v>0.31</v>
      </c>
      <c r="AI753" s="5">
        <f t="shared" si="27"/>
        <v>9.3000000000000007</v>
      </c>
    </row>
    <row r="754" spans="1:51" x14ac:dyDescent="0.25">
      <c r="A754" s="5" t="s">
        <v>52</v>
      </c>
      <c r="B754" s="5" t="s">
        <v>103</v>
      </c>
      <c r="C754" s="5" t="s">
        <v>77</v>
      </c>
      <c r="E754" s="16" t="s">
        <v>270</v>
      </c>
      <c r="F754" s="10" t="s">
        <v>262</v>
      </c>
      <c r="G754" s="5" t="s">
        <v>61</v>
      </c>
      <c r="H754" s="5" t="s">
        <v>57</v>
      </c>
      <c r="I754" s="5">
        <v>111</v>
      </c>
      <c r="J754" s="5" t="str">
        <f>IFERROR(VLOOKUP(I754,[1]INFO_LOCALES!$B:$C,2,FALSE),"")</f>
        <v>CALAMA II</v>
      </c>
      <c r="K754" s="5" t="str">
        <f>IFERROR(VLOOKUP(Tabla2[[#This Row],[TIENDA]],[1]INFO_LOCALES!$B:$D,3,FALSE),"")</f>
        <v>II - Antofagasta</v>
      </c>
      <c r="L754" s="5" t="str">
        <f>IFERROR(VLOOKUP(I754,[1]INFO_LOCALES!$B:$I,8,FALSE),"")</f>
        <v>Calama</v>
      </c>
      <c r="M754" s="5" t="str">
        <f>IFERROR(VLOOKUP(I754,[1]INFO_LOCALES!$B:$H,7,FALSE),"")</f>
        <v>Aconcagua 2588</v>
      </c>
      <c r="N754" s="5">
        <f>IFERROR(VLOOKUP(I754,[1]INFO_LOCALES!$B:$E,4,FALSE),"")</f>
        <v>2966</v>
      </c>
      <c r="O754" s="5" t="str">
        <f>VLOOKUP(Tabla2[[#This Row],[TIENDA]],[1]INFO_LOCALES!$B:$J,9,0)</f>
        <v>SIN CONVENIO</v>
      </c>
      <c r="P754" s="8" t="str">
        <f>IFERROR(VLOOKUP(I754,[1]INFO_LOCALES!$B:$F,5,FALSE),"")</f>
        <v>AGUAS DE ANTOFAGASTA S A</v>
      </c>
      <c r="Q754" s="5" t="s">
        <v>85</v>
      </c>
      <c r="R754" s="5" t="s">
        <v>86</v>
      </c>
      <c r="S754" s="6"/>
      <c r="T754" s="5" t="str">
        <f>UPPER(IF(Tabla2[[#This Row],[FECHA DE MUESTREO ]]=0,"",TEXT(Tabla2[[#This Row],[FECHA DE MUESTREO ]],("MMMM"))))</f>
        <v>DICIEMBRE</v>
      </c>
      <c r="U754" s="6">
        <v>46010</v>
      </c>
      <c r="V754" s="5" t="s">
        <v>59</v>
      </c>
      <c r="W7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54" s="7">
        <f t="shared" si="28"/>
        <v>1</v>
      </c>
      <c r="Y754" s="5">
        <v>19.5</v>
      </c>
      <c r="Z754" s="5">
        <v>7.96</v>
      </c>
      <c r="AA754" s="5">
        <v>2</v>
      </c>
      <c r="AB754" s="5">
        <v>24.16</v>
      </c>
      <c r="AC754" s="5">
        <v>285</v>
      </c>
      <c r="AD754" s="5">
        <v>6.5</v>
      </c>
      <c r="AE754" s="5">
        <v>18</v>
      </c>
      <c r="AF754" s="5">
        <v>1.2</v>
      </c>
      <c r="AG754" s="5">
        <v>76</v>
      </c>
      <c r="AH754" s="5">
        <v>0.94</v>
      </c>
      <c r="AI754" s="5">
        <f t="shared" si="27"/>
        <v>28.2</v>
      </c>
    </row>
    <row r="755" spans="1:51" x14ac:dyDescent="0.25">
      <c r="A755" s="5" t="s">
        <v>52</v>
      </c>
      <c r="B755" s="5" t="s">
        <v>53</v>
      </c>
      <c r="C755" s="5" t="s">
        <v>54</v>
      </c>
      <c r="E755" s="5" t="s">
        <v>271</v>
      </c>
      <c r="F755" s="10" t="s">
        <v>262</v>
      </c>
      <c r="G755" s="5" t="s">
        <v>61</v>
      </c>
      <c r="H755" s="5" t="s">
        <v>57</v>
      </c>
      <c r="I755" s="5">
        <v>344</v>
      </c>
      <c r="J755" s="5" t="str">
        <f>IFERROR(VLOOKUP(I755,[1]INFO_LOCALES!$B:$C,2,FALSE),"")</f>
        <v>CURICO ALAMEDA</v>
      </c>
      <c r="K755" s="5" t="str">
        <f>IFERROR(VLOOKUP(Tabla2[[#This Row],[TIENDA]],[1]INFO_LOCALES!$B:$D,3,FALSE),"")</f>
        <v>VII - Maule</v>
      </c>
      <c r="L755" s="5" t="str">
        <f>IFERROR(VLOOKUP(I755,[1]INFO_LOCALES!$B:$I,8,FALSE),"")</f>
        <v>Curicó</v>
      </c>
      <c r="M755" s="5" t="str">
        <f>IFERROR(VLOOKUP(I755,[1]INFO_LOCALES!$B:$H,7,FALSE),"")</f>
        <v>Estado 43</v>
      </c>
      <c r="N755" s="5">
        <f>IFERROR(VLOOKUP(I755,[1]INFO_LOCALES!$B:$E,4,FALSE),"")</f>
        <v>4530</v>
      </c>
      <c r="O755" s="5" t="str">
        <f>VLOOKUP(Tabla2[[#This Row],[TIENDA]],[1]INFO_LOCALES!$B:$J,9,0)</f>
        <v>SIN CONVENIO</v>
      </c>
      <c r="P755" s="5" t="str">
        <f>IFERROR(VLOOKUP(I755,[1]INFO_LOCALES!$B:$F,5,FALSE),"")</f>
        <v>NUEVOSUR S.A.</v>
      </c>
      <c r="Q755" s="5" t="s">
        <v>85</v>
      </c>
      <c r="R755" s="5" t="s">
        <v>86</v>
      </c>
      <c r="S755" s="6"/>
      <c r="T755" s="5" t="str">
        <f>UPPER(IF(Tabla2[[#This Row],[FECHA DE MUESTREO ]]=0,"",TEXT(Tabla2[[#This Row],[FECHA DE MUESTREO ]],("MMMM"))))</f>
        <v>DICIEMBRE</v>
      </c>
      <c r="U755" s="6">
        <v>46013</v>
      </c>
      <c r="V755" s="5" t="s">
        <v>59</v>
      </c>
      <c r="W7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55" s="7">
        <f t="shared" si="28"/>
        <v>2</v>
      </c>
      <c r="Y755" s="5">
        <v>14.8</v>
      </c>
      <c r="Z755" s="5">
        <v>7.36</v>
      </c>
      <c r="AA755" s="5">
        <v>2</v>
      </c>
      <c r="AB755" s="5">
        <v>23.29</v>
      </c>
      <c r="AC755" s="5">
        <v>362</v>
      </c>
      <c r="AD755" s="5">
        <v>5.5</v>
      </c>
      <c r="AE755" s="5">
        <v>21</v>
      </c>
      <c r="AF755" s="5">
        <v>2.5</v>
      </c>
      <c r="AG755" s="5">
        <v>148</v>
      </c>
      <c r="AH755" s="5">
        <v>0.94</v>
      </c>
      <c r="AI755" s="5">
        <f t="shared" si="27"/>
        <v>28.2</v>
      </c>
    </row>
    <row r="756" spans="1:51" x14ac:dyDescent="0.25">
      <c r="A756" s="5" t="s">
        <v>52</v>
      </c>
      <c r="B756" s="5" t="s">
        <v>90</v>
      </c>
      <c r="C756" s="5" t="s">
        <v>81</v>
      </c>
      <c r="E756" s="5" t="s">
        <v>272</v>
      </c>
      <c r="F756" s="10" t="s">
        <v>262</v>
      </c>
      <c r="G756" s="5" t="s">
        <v>61</v>
      </c>
      <c r="H756" s="5" t="s">
        <v>57</v>
      </c>
      <c r="I756" s="5">
        <v>375</v>
      </c>
      <c r="J756" s="5" t="str">
        <f>IFERROR(VLOOKUP(I756,[1]INFO_LOCALES!$B:$C,2,FALSE),"")</f>
        <v>ARAUCO</v>
      </c>
      <c r="K756" s="5" t="str">
        <f>IFERROR(VLOOKUP(Tabla2[[#This Row],[TIENDA]],[1]INFO_LOCALES!$B:$D,3,FALSE),"")</f>
        <v>XIV - Los Ríos</v>
      </c>
      <c r="L756" s="5" t="str">
        <f>IFERROR(VLOOKUP(I756,[1]INFO_LOCALES!$B:$I,8,FALSE),"")</f>
        <v>Valdivia</v>
      </c>
      <c r="M756" s="5" t="str">
        <f>IFERROR(VLOOKUP(I756,[1]INFO_LOCALES!$B:$H,7,FALSE),"")</f>
        <v>Arauco 697</v>
      </c>
      <c r="N756" s="5">
        <f>IFERROR(VLOOKUP(I756,[1]INFO_LOCALES!$B:$E,4,FALSE),"")</f>
        <v>3420</v>
      </c>
      <c r="O756" s="5" t="str">
        <f>VLOOKUP(Tabla2[[#This Row],[TIENDA]],[1]INFO_LOCALES!$B:$J,9,0)</f>
        <v>CONVENIO</v>
      </c>
      <c r="P756" s="5" t="str">
        <f>IFERROR(VLOOKUP(I756,[1]INFO_LOCALES!$B:$F,5,FALSE),"")</f>
        <v>AGUAS DECIMA S A</v>
      </c>
      <c r="Q756" s="5" t="s">
        <v>85</v>
      </c>
      <c r="R756" s="5" t="s">
        <v>86</v>
      </c>
      <c r="S756" s="6"/>
      <c r="T756" s="5" t="str">
        <f>UPPER(IF(Tabla2[[#This Row],[FECHA DE MUESTREO ]]=0,"",TEXT(Tabla2[[#This Row],[FECHA DE MUESTREO ]],("MMMM"))))</f>
        <v>DICIEMBRE</v>
      </c>
      <c r="U756" s="6">
        <v>46007</v>
      </c>
      <c r="V756" s="5" t="s">
        <v>118</v>
      </c>
      <c r="W7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56" s="7">
        <f t="shared" si="28"/>
        <v>1</v>
      </c>
      <c r="Y756" s="5">
        <v>14.6</v>
      </c>
      <c r="Z756" s="5">
        <v>6.91</v>
      </c>
      <c r="AA756" s="5">
        <v>2</v>
      </c>
      <c r="AB756" s="5">
        <v>13.64</v>
      </c>
      <c r="AC756" s="5">
        <v>199</v>
      </c>
      <c r="AD756" s="5">
        <v>7.5</v>
      </c>
      <c r="AE756" s="5">
        <v>25</v>
      </c>
      <c r="AF756" s="5">
        <v>0.5</v>
      </c>
      <c r="AG756" s="5">
        <v>60</v>
      </c>
      <c r="AH756" s="5">
        <v>4</v>
      </c>
      <c r="AI756" s="5">
        <f t="shared" si="27"/>
        <v>120</v>
      </c>
      <c r="AJ756" s="5">
        <v>0.21079999999999999</v>
      </c>
      <c r="AK756" s="5">
        <v>3.0000000000000001E-3</v>
      </c>
      <c r="AL756" s="5">
        <v>0.05</v>
      </c>
      <c r="AM756" s="5">
        <v>2E-3</v>
      </c>
      <c r="AN756" s="5">
        <v>2E-3</v>
      </c>
      <c r="AO756" s="5">
        <v>0.12790000000000001</v>
      </c>
      <c r="AP756" s="5">
        <v>8.3000000000000004E-2</v>
      </c>
      <c r="AQ756" s="5">
        <v>0.05</v>
      </c>
      <c r="AR756" s="5">
        <v>0.03</v>
      </c>
      <c r="AS756" s="5">
        <v>0</v>
      </c>
      <c r="AT756" s="5">
        <v>3.78E-2</v>
      </c>
      <c r="AU756" s="5">
        <v>1E-3</v>
      </c>
      <c r="AV756" s="5">
        <v>1.4999999999999999E-2</v>
      </c>
      <c r="AW756" s="5">
        <v>0.04</v>
      </c>
      <c r="AX756" s="5">
        <v>16</v>
      </c>
      <c r="AY756" s="5">
        <v>0.04</v>
      </c>
    </row>
    <row r="757" spans="1:51" x14ac:dyDescent="0.25">
      <c r="A757" s="5" t="s">
        <v>52</v>
      </c>
      <c r="B757" s="5" t="s">
        <v>90</v>
      </c>
      <c r="C757" s="5" t="s">
        <v>81</v>
      </c>
      <c r="F757" s="10" t="s">
        <v>262</v>
      </c>
      <c r="G757" s="5" t="s">
        <v>257</v>
      </c>
      <c r="I757" s="5">
        <v>375</v>
      </c>
      <c r="J757" s="5" t="str">
        <f>IFERROR(VLOOKUP(I757,[1]INFO_LOCALES!$B:$C,2,FALSE),"")</f>
        <v>ARAUCO</v>
      </c>
      <c r="K757" s="5" t="str">
        <f>IFERROR(VLOOKUP(Tabla2[[#This Row],[TIENDA]],[1]INFO_LOCALES!$B:$D,3,FALSE),"")</f>
        <v>XIV - Los Ríos</v>
      </c>
      <c r="L757" s="5" t="str">
        <f>IFERROR(VLOOKUP(I757,[1]INFO_LOCALES!$B:$I,8,FALSE),"")</f>
        <v>Valdivia</v>
      </c>
      <c r="M757" s="5" t="str">
        <f>IFERROR(VLOOKUP(I757,[1]INFO_LOCALES!$B:$H,7,FALSE),"")</f>
        <v>Arauco 697</v>
      </c>
      <c r="N757" s="5">
        <f>IFERROR(VLOOKUP(I757,[1]INFO_LOCALES!$B:$E,4,FALSE),"")</f>
        <v>3420</v>
      </c>
      <c r="O757" s="5" t="str">
        <f>VLOOKUP(Tabla2[[#This Row],[TIENDA]],[1]INFO_LOCALES!$B:$J,9,0)</f>
        <v>CONVENIO</v>
      </c>
      <c r="P757" s="5" t="str">
        <f>IFERROR(VLOOKUP(I757,[1]INFO_LOCALES!$B:$F,5,FALSE),"")</f>
        <v>AGUAS DECIMA S A</v>
      </c>
      <c r="Q757" s="5" t="s">
        <v>85</v>
      </c>
      <c r="R757" s="5" t="s">
        <v>86</v>
      </c>
      <c r="S757" s="6"/>
      <c r="T757" s="5" t="str">
        <f>UPPER(IF(Tabla2[[#This Row],[FECHA DE MUESTREO ]]=0,"",TEXT(Tabla2[[#This Row],[FECHA DE MUESTREO ]],("MMMM"))))</f>
        <v/>
      </c>
      <c r="U757" s="6"/>
      <c r="V757" s="5" t="s">
        <v>118</v>
      </c>
      <c r="W7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57" s="7">
        <f t="shared" si="28"/>
        <v>1</v>
      </c>
      <c r="AI757" s="5">
        <f t="shared" si="27"/>
        <v>0</v>
      </c>
    </row>
    <row r="758" spans="1:51" x14ac:dyDescent="0.25">
      <c r="A758" s="5" t="s">
        <v>52</v>
      </c>
      <c r="B758" s="5" t="s">
        <v>74</v>
      </c>
      <c r="C758" s="5" t="s">
        <v>74</v>
      </c>
      <c r="F758" s="10" t="s">
        <v>262</v>
      </c>
      <c r="G758" s="5" t="s">
        <v>61</v>
      </c>
      <c r="H758" s="5" t="s">
        <v>57</v>
      </c>
      <c r="I758" s="5">
        <v>465</v>
      </c>
      <c r="J758" s="5" t="str">
        <f>IFERROR(VLOOKUP(I758,[1]INFO_LOCALES!$B:$C,2,FALSE),"")</f>
        <v>PUERTO NATALES</v>
      </c>
      <c r="K758" s="5" t="str">
        <f>IFERROR(VLOOKUP(Tabla2[[#This Row],[TIENDA]],[1]INFO_LOCALES!$B:$D,3,FALSE),"")</f>
        <v>XII - Magallanes</v>
      </c>
      <c r="L758" s="5" t="str">
        <f>IFERROR(VLOOKUP(I758,[1]INFO_LOCALES!$B:$I,8,FALSE),"")</f>
        <v>Puerto Natales</v>
      </c>
      <c r="M758" s="5" t="str">
        <f>IFERROR(VLOOKUP(I758,[1]INFO_LOCALES!$B:$H,7,FALSE),"")</f>
        <v>Bulnes 742</v>
      </c>
      <c r="N758" s="5">
        <f>IFERROR(VLOOKUP(I758,[1]INFO_LOCALES!$B:$E,4,FALSE),"")</f>
        <v>1133</v>
      </c>
      <c r="O758" s="5" t="str">
        <f>VLOOKUP(Tabla2[[#This Row],[TIENDA]],[1]INFO_LOCALES!$B:$J,9,0)</f>
        <v>SIN CONVENIO</v>
      </c>
      <c r="P758" s="5" t="str">
        <f>IFERROR(VLOOKUP(I758,[1]INFO_LOCALES!$B:$F,5,FALSE),"")</f>
        <v>AGUAS MAGALLANES S.A.</v>
      </c>
      <c r="Q758" s="5" t="s">
        <v>85</v>
      </c>
      <c r="R758" s="5" t="s">
        <v>86</v>
      </c>
      <c r="S758" s="6"/>
      <c r="T758" s="5" t="str">
        <f>UPPER(IF(Tabla2[[#This Row],[FECHA DE MUESTREO ]]=0,"",TEXT(Tabla2[[#This Row],[FECHA DE MUESTREO ]],("MMMM"))))</f>
        <v>DICIEMBRE</v>
      </c>
      <c r="U758" s="6">
        <v>46010</v>
      </c>
      <c r="V758" s="5" t="s">
        <v>135</v>
      </c>
      <c r="W7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58" s="7">
        <f t="shared" si="28"/>
        <v>1</v>
      </c>
      <c r="AH758" s="5">
        <v>21.7</v>
      </c>
      <c r="AI758" s="5">
        <f t="shared" si="27"/>
        <v>651</v>
      </c>
    </row>
    <row r="759" spans="1:51" x14ac:dyDescent="0.25">
      <c r="A759" s="5" t="s">
        <v>52</v>
      </c>
      <c r="B759" s="5" t="s">
        <v>74</v>
      </c>
      <c r="C759" s="5" t="s">
        <v>74</v>
      </c>
      <c r="F759" s="10" t="s">
        <v>262</v>
      </c>
      <c r="G759" s="5" t="s">
        <v>61</v>
      </c>
      <c r="H759" s="5" t="s">
        <v>57</v>
      </c>
      <c r="I759" s="5">
        <v>458</v>
      </c>
      <c r="J759" s="5" t="str">
        <f>IFERROR(VLOOKUP(I759,[1]INFO_LOCALES!$B:$C,2,FALSE),"")</f>
        <v>ESPAÑA AUSTRAL</v>
      </c>
      <c r="K759" s="5" t="str">
        <f>IFERROR(VLOOKUP(Tabla2[[#This Row],[TIENDA]],[1]INFO_LOCALES!$B:$D,3,FALSE),"")</f>
        <v>XII - Magallanes</v>
      </c>
      <c r="L759" s="5" t="str">
        <f>IFERROR(VLOOKUP(I759,[1]INFO_LOCALES!$B:$I,8,FALSE),"")</f>
        <v>Punta Arenas</v>
      </c>
      <c r="M759" s="5" t="str">
        <f>IFERROR(VLOOKUP(I759,[1]INFO_LOCALES!$B:$H,7,FALSE),"")</f>
        <v>Av. España 01375</v>
      </c>
      <c r="N759" s="5">
        <f>IFERROR(VLOOKUP(I759,[1]INFO_LOCALES!$B:$E,4,FALSE),"")</f>
        <v>1306</v>
      </c>
      <c r="O759" s="5" t="str">
        <f>VLOOKUP(Tabla2[[#This Row],[TIENDA]],[1]INFO_LOCALES!$B:$J,9,0)</f>
        <v>SIN CONVENIO</v>
      </c>
      <c r="P759" s="5" t="str">
        <f>IFERROR(VLOOKUP(I759,[1]INFO_LOCALES!$B:$F,5,FALSE),"")</f>
        <v>AGUAS MAGALLANES S.A.</v>
      </c>
      <c r="Q759" s="5" t="s">
        <v>85</v>
      </c>
      <c r="R759" s="5" t="s">
        <v>86</v>
      </c>
      <c r="S759" s="6"/>
      <c r="T759" s="5" t="str">
        <f>UPPER(IF(Tabla2[[#This Row],[FECHA DE MUESTREO ]]=0,"",TEXT(Tabla2[[#This Row],[FECHA DE MUESTREO ]],("MMMM"))))</f>
        <v>DICIEMBRE</v>
      </c>
      <c r="U759" s="6">
        <v>46017</v>
      </c>
      <c r="V759" s="5" t="s">
        <v>118</v>
      </c>
      <c r="W7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59" s="7">
        <f t="shared" si="28"/>
        <v>1</v>
      </c>
      <c r="Y759" s="5">
        <v>9</v>
      </c>
      <c r="Z759" s="5">
        <v>7.98</v>
      </c>
      <c r="AA759" s="5">
        <v>6</v>
      </c>
      <c r="AB759" s="5">
        <v>12.2</v>
      </c>
      <c r="AC759" s="5">
        <v>281</v>
      </c>
      <c r="AD759" s="5">
        <v>12.8</v>
      </c>
      <c r="AE759" s="5">
        <v>54.6</v>
      </c>
      <c r="AF759" s="5">
        <v>0.5</v>
      </c>
      <c r="AG759" s="5">
        <v>128</v>
      </c>
      <c r="AH759" s="5">
        <v>1.66</v>
      </c>
      <c r="AI759" s="5">
        <f t="shared" si="27"/>
        <v>49.8</v>
      </c>
      <c r="AJ759" s="5">
        <v>0.48</v>
      </c>
      <c r="AK759" s="5">
        <v>2E-3</v>
      </c>
      <c r="AL759" s="5">
        <v>0.05</v>
      </c>
      <c r="AM759" s="5">
        <v>1E-3</v>
      </c>
      <c r="AN759" s="5">
        <v>0.01</v>
      </c>
      <c r="AO759" s="5">
        <v>0.104</v>
      </c>
      <c r="AP759" s="5">
        <v>4.2999999999999997E-2</v>
      </c>
      <c r="AQ759" s="5">
        <v>0.01</v>
      </c>
      <c r="AR759" s="5">
        <v>0.02</v>
      </c>
      <c r="AS759" s="5">
        <v>2</v>
      </c>
      <c r="AT759" s="5">
        <v>0.04</v>
      </c>
      <c r="AU759" s="5">
        <v>5.0000000000000001E-4</v>
      </c>
      <c r="AV759" s="5">
        <v>0.01</v>
      </c>
      <c r="AW759" s="5">
        <v>0.01</v>
      </c>
      <c r="AX759" s="5">
        <v>44.62</v>
      </c>
      <c r="AY759" s="5">
        <v>0.1</v>
      </c>
    </row>
    <row r="760" spans="1:51" x14ac:dyDescent="0.25">
      <c r="A760" s="5" t="s">
        <v>52</v>
      </c>
      <c r="B760" s="5" t="s">
        <v>74</v>
      </c>
      <c r="C760" s="5" t="s">
        <v>74</v>
      </c>
      <c r="E760" s="16" t="s">
        <v>270</v>
      </c>
      <c r="F760" s="10" t="s">
        <v>262</v>
      </c>
      <c r="G760" s="5" t="s">
        <v>56</v>
      </c>
      <c r="H760" s="5" t="s">
        <v>253</v>
      </c>
      <c r="I760" s="5">
        <v>459</v>
      </c>
      <c r="J760" s="5" t="str">
        <f>IFERROR(VLOOKUP(I760,[1]INFO_LOCALES!$B:$C,2,FALSE),"")</f>
        <v>ALLENDE AUSTRAL</v>
      </c>
      <c r="K760" s="5" t="str">
        <f>IFERROR(VLOOKUP(Tabla2[[#This Row],[TIENDA]],[1]INFO_LOCALES!$B:$D,3,FALSE),"")</f>
        <v>XII - Magallanes</v>
      </c>
      <c r="L760" s="5" t="str">
        <f>IFERROR(VLOOKUP(I760,[1]INFO_LOCALES!$B:$I,8,FALSE),"")</f>
        <v>Punta Arenas</v>
      </c>
      <c r="M760" s="5" t="str">
        <f>IFERROR(VLOOKUP(I760,[1]INFO_LOCALES!$B:$H,7,FALSE),"")</f>
        <v>Salvador Allende 0399</v>
      </c>
      <c r="N760" s="5">
        <f>IFERROR(VLOOKUP(I760,[1]INFO_LOCALES!$B:$E,4,FALSE),"")</f>
        <v>3735</v>
      </c>
      <c r="O760" s="5" t="str">
        <f>VLOOKUP(Tabla2[[#This Row],[TIENDA]],[1]INFO_LOCALES!$B:$J,9,0)</f>
        <v>SIN CONVENIO</v>
      </c>
      <c r="P760" s="5" t="str">
        <f>IFERROR(VLOOKUP(I760,[1]INFO_LOCALES!$B:$F,5,FALSE),"")</f>
        <v>AGUAS MAGALLANES S.A.</v>
      </c>
      <c r="Q760" s="5" t="s">
        <v>85</v>
      </c>
      <c r="R760" s="5" t="s">
        <v>86</v>
      </c>
      <c r="S760" s="6"/>
      <c r="T760" s="5" t="str">
        <f>UPPER(IF(Tabla2[[#This Row],[FECHA DE MUESTREO ]]=0,"",TEXT(Tabla2[[#This Row],[FECHA DE MUESTREO ]],("MMMM"))))</f>
        <v>DICIEMBRE</v>
      </c>
      <c r="U760" s="6">
        <v>46006</v>
      </c>
      <c r="V760" s="5" t="s">
        <v>118</v>
      </c>
      <c r="W7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60" s="7">
        <f t="shared" si="28"/>
        <v>3</v>
      </c>
      <c r="Y760" s="5">
        <v>7</v>
      </c>
      <c r="Z760" s="5">
        <v>6.13</v>
      </c>
      <c r="AA760" s="5">
        <v>17</v>
      </c>
      <c r="AB760" s="5">
        <v>14.8</v>
      </c>
      <c r="AC760" s="5">
        <v>192</v>
      </c>
      <c r="AD760" s="5">
        <v>4.3</v>
      </c>
      <c r="AE760" s="5">
        <v>5.15</v>
      </c>
      <c r="AF760" s="5">
        <v>0.5</v>
      </c>
      <c r="AG760" s="5">
        <v>84</v>
      </c>
      <c r="AH760" s="5">
        <v>6</v>
      </c>
      <c r="AI760" s="5">
        <f t="shared" si="27"/>
        <v>180</v>
      </c>
      <c r="AJ760" s="5">
        <v>0.49</v>
      </c>
      <c r="AK760" s="5">
        <v>1E-3</v>
      </c>
      <c r="AL760" s="5">
        <v>0.05</v>
      </c>
      <c r="AM760" s="5">
        <v>1E-3</v>
      </c>
      <c r="AN760" s="5">
        <v>0.01</v>
      </c>
      <c r="AO760" s="5">
        <v>0.104</v>
      </c>
      <c r="AP760" s="5">
        <v>4.2999999999999997E-2</v>
      </c>
      <c r="AQ760" s="5">
        <v>0.01</v>
      </c>
      <c r="AR760" s="5">
        <v>0.02</v>
      </c>
      <c r="AS760" s="5">
        <v>2</v>
      </c>
      <c r="AT760" s="5">
        <v>0.04</v>
      </c>
      <c r="AU760" s="5">
        <v>5.0000000000000001E-4</v>
      </c>
      <c r="AV760" s="5">
        <v>0.01</v>
      </c>
      <c r="AW760" s="5">
        <v>0.01</v>
      </c>
      <c r="AX760" s="5">
        <v>32.9</v>
      </c>
      <c r="AY760" s="5">
        <v>0.2</v>
      </c>
    </row>
    <row r="761" spans="1:51" x14ac:dyDescent="0.25">
      <c r="A761" s="5" t="s">
        <v>52</v>
      </c>
      <c r="B761" s="5" t="s">
        <v>74</v>
      </c>
      <c r="C761" s="5" t="s">
        <v>74</v>
      </c>
      <c r="E761" s="16" t="s">
        <v>270</v>
      </c>
      <c r="F761" s="10" t="s">
        <v>262</v>
      </c>
      <c r="G761" s="5" t="s">
        <v>61</v>
      </c>
      <c r="H761" s="5" t="s">
        <v>249</v>
      </c>
      <c r="I761" s="5">
        <v>461</v>
      </c>
      <c r="J761" s="5" t="str">
        <f>IFERROR(VLOOKUP(I761,[1]INFO_LOCALES!$B:$C,2,FALSE),"")</f>
        <v>ZENTENO AUSTRAL</v>
      </c>
      <c r="K761" s="5" t="str">
        <f>IFERROR(VLOOKUP(Tabla2[[#This Row],[TIENDA]],[1]INFO_LOCALES!$B:$D,3,FALSE),"")</f>
        <v>XII - Magallanes</v>
      </c>
      <c r="L761" s="5" t="str">
        <f>IFERROR(VLOOKUP(I761,[1]INFO_LOCALES!$B:$I,8,FALSE),"")</f>
        <v>Punta Arenas</v>
      </c>
      <c r="M761" s="5" t="str">
        <f>IFERROR(VLOOKUP(I761,[1]INFO_LOCALES!$B:$H,7,FALSE),"")</f>
        <v>Capitan Guillermo 05</v>
      </c>
      <c r="N761" s="5">
        <f>IFERROR(VLOOKUP(I761,[1]INFO_LOCALES!$B:$E,4,FALSE),"")</f>
        <v>3736</v>
      </c>
      <c r="O761" s="5" t="str">
        <f>VLOOKUP(Tabla2[[#This Row],[TIENDA]],[1]INFO_LOCALES!$B:$J,9,0)</f>
        <v>SIN CONVENIO</v>
      </c>
      <c r="P761" s="5" t="str">
        <f>IFERROR(VLOOKUP(I761,[1]INFO_LOCALES!$B:$F,5,FALSE),"")</f>
        <v>AGUAS MAGALLANES S.A.</v>
      </c>
      <c r="Q761" s="5" t="s">
        <v>85</v>
      </c>
      <c r="R761" s="5" t="s">
        <v>86</v>
      </c>
      <c r="S761" s="6"/>
      <c r="T761" s="5" t="str">
        <f>UPPER(IF(Tabla2[[#This Row],[FECHA DE MUESTREO ]]=0,"",TEXT(Tabla2[[#This Row],[FECHA DE MUESTREO ]],("MMMM"))))</f>
        <v>DICIEMBRE</v>
      </c>
      <c r="U761" s="6">
        <v>46008</v>
      </c>
      <c r="V761" s="5" t="s">
        <v>118</v>
      </c>
      <c r="W7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61" s="7">
        <f t="shared" si="28"/>
        <v>3</v>
      </c>
      <c r="Y761" s="5">
        <v>2</v>
      </c>
      <c r="Z761" s="5">
        <v>6.6</v>
      </c>
      <c r="AA761" s="5">
        <v>20</v>
      </c>
      <c r="AB761" s="5">
        <v>13.6</v>
      </c>
      <c r="AC761" s="5">
        <v>90</v>
      </c>
      <c r="AD761" s="5">
        <v>3.1</v>
      </c>
      <c r="AE761" s="5">
        <v>3.97</v>
      </c>
      <c r="AF761" s="5">
        <v>0.5</v>
      </c>
      <c r="AG761" s="5">
        <v>12</v>
      </c>
      <c r="AH761" s="5">
        <v>6</v>
      </c>
      <c r="AI761" s="5">
        <f t="shared" si="27"/>
        <v>180</v>
      </c>
      <c r="AJ761" s="5">
        <v>0.27</v>
      </c>
      <c r="AK761" s="5">
        <v>2E-3</v>
      </c>
      <c r="AL761" s="5">
        <v>0.05</v>
      </c>
      <c r="AM761" s="5">
        <v>1E-3</v>
      </c>
      <c r="AN761" s="5">
        <v>0.01</v>
      </c>
      <c r="AO761" s="5">
        <v>6.2E-2</v>
      </c>
      <c r="AP761" s="5">
        <v>2.1000000000000001E-2</v>
      </c>
      <c r="AQ761" s="5">
        <v>0.01</v>
      </c>
      <c r="AR761" s="5">
        <v>0.02</v>
      </c>
      <c r="AS761" s="5">
        <v>2</v>
      </c>
      <c r="AT761" s="5">
        <v>7.0000000000000007E-2</v>
      </c>
      <c r="AU761" s="5">
        <v>5.0000000000000001E-3</v>
      </c>
      <c r="AV761" s="5">
        <v>0.01</v>
      </c>
      <c r="AW761" s="5">
        <v>0.01</v>
      </c>
      <c r="AX761" s="5">
        <v>39.18</v>
      </c>
      <c r="AY761" s="5">
        <v>0.1</v>
      </c>
    </row>
    <row r="762" spans="1:51" x14ac:dyDescent="0.25">
      <c r="A762" s="5" t="s">
        <v>52</v>
      </c>
      <c r="B762" s="5" t="s">
        <v>74</v>
      </c>
      <c r="C762" s="5" t="s">
        <v>74</v>
      </c>
      <c r="F762" s="10" t="s">
        <v>262</v>
      </c>
      <c r="G762" s="5" t="s">
        <v>61</v>
      </c>
      <c r="H762" s="5" t="s">
        <v>57</v>
      </c>
      <c r="I762" s="5">
        <v>463</v>
      </c>
      <c r="J762" s="5" t="str">
        <f>IFERROR(VLOOKUP(I762,[1]INFO_LOCALES!$B:$C,2,FALSE),"")</f>
        <v>BORIES AUSTRAL</v>
      </c>
      <c r="K762" s="5" t="str">
        <f>IFERROR(VLOOKUP(Tabla2[[#This Row],[TIENDA]],[1]INFO_LOCALES!$B:$D,3,FALSE),"")</f>
        <v>XII - Magallanes</v>
      </c>
      <c r="L762" s="5" t="str">
        <f>IFERROR(VLOOKUP(I762,[1]INFO_LOCALES!$B:$I,8,FALSE),"")</f>
        <v>Punta Arenas</v>
      </c>
      <c r="M762" s="5" t="str">
        <f>IFERROR(VLOOKUP(I762,[1]INFO_LOCALES!$B:$H,7,FALSE),"")</f>
        <v>Gobernador Bories 647</v>
      </c>
      <c r="N762" s="5">
        <f>IFERROR(VLOOKUP(I762,[1]INFO_LOCALES!$B:$E,4,FALSE),"")</f>
        <v>3739</v>
      </c>
      <c r="O762" s="5" t="str">
        <f>VLOOKUP(Tabla2[[#This Row],[TIENDA]],[1]INFO_LOCALES!$B:$J,9,0)</f>
        <v>SIN CONVENIO</v>
      </c>
      <c r="P762" s="5" t="str">
        <f>IFERROR(VLOOKUP(I762,[1]INFO_LOCALES!$B:$F,5,FALSE),"")</f>
        <v>AGUAS MAGALLANES S.A.</v>
      </c>
      <c r="Q762" s="5" t="s">
        <v>85</v>
      </c>
      <c r="R762" s="5" t="s">
        <v>86</v>
      </c>
      <c r="S762" s="6"/>
      <c r="T762" s="5" t="str">
        <f>UPPER(IF(Tabla2[[#This Row],[FECHA DE MUESTREO ]]=0,"",TEXT(Tabla2[[#This Row],[FECHA DE MUESTREO ]],("MMMM"))))</f>
        <v>DICIEMBRE</v>
      </c>
      <c r="U762" s="6">
        <v>46008</v>
      </c>
      <c r="V762" s="5" t="s">
        <v>118</v>
      </c>
      <c r="W7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62" s="7">
        <f t="shared" si="28"/>
        <v>1</v>
      </c>
      <c r="Y762" s="5">
        <v>7</v>
      </c>
      <c r="Z762" s="5">
        <v>7.01</v>
      </c>
      <c r="AA762" s="5">
        <v>2</v>
      </c>
      <c r="AB762" s="5">
        <v>11.9</v>
      </c>
      <c r="AC762" s="5">
        <v>181</v>
      </c>
      <c r="AD762" s="5">
        <v>10.7</v>
      </c>
      <c r="AE762" s="5">
        <v>10.92</v>
      </c>
      <c r="AF762" s="5">
        <v>0.5</v>
      </c>
      <c r="AG762" s="5">
        <v>82</v>
      </c>
      <c r="AH762" s="5">
        <v>16.45</v>
      </c>
      <c r="AI762" s="5">
        <f t="shared" si="27"/>
        <v>493.5</v>
      </c>
      <c r="AJ762" s="5">
        <v>0.38</v>
      </c>
      <c r="AK762" s="5">
        <v>3.0000000000000001E-3</v>
      </c>
      <c r="AL762" s="5">
        <v>0.05</v>
      </c>
      <c r="AM762" s="5">
        <v>1E-3</v>
      </c>
      <c r="AN762" s="5">
        <v>0.01</v>
      </c>
      <c r="AO762" s="5">
        <v>0.104</v>
      </c>
      <c r="AP762" s="5">
        <v>8.3000000000000004E-2</v>
      </c>
      <c r="AQ762" s="5">
        <v>0.01</v>
      </c>
      <c r="AR762" s="5">
        <v>0.02</v>
      </c>
      <c r="AS762" s="5">
        <v>2</v>
      </c>
      <c r="AT762" s="5">
        <v>0.06</v>
      </c>
      <c r="AU762" s="5">
        <v>5.0000000000000001E-4</v>
      </c>
      <c r="AV762" s="5">
        <v>0.01</v>
      </c>
      <c r="AW762" s="5">
        <v>0.01</v>
      </c>
      <c r="AX762" s="5">
        <v>3.91</v>
      </c>
      <c r="AY762" s="5">
        <v>0.1</v>
      </c>
    </row>
    <row r="763" spans="1:51" x14ac:dyDescent="0.25">
      <c r="A763" s="5" t="s">
        <v>52</v>
      </c>
      <c r="B763" s="5" t="s">
        <v>82</v>
      </c>
      <c r="C763" s="5" t="s">
        <v>77</v>
      </c>
      <c r="F763" s="10" t="s">
        <v>262</v>
      </c>
      <c r="G763" s="5" t="s">
        <v>229</v>
      </c>
      <c r="H763" s="5" t="s">
        <v>57</v>
      </c>
      <c r="I763" s="5">
        <v>472</v>
      </c>
      <c r="J763" s="5" t="str">
        <f>IFERROR(VLOOKUP(I763,[1]INFO_LOCALES!$B:$C,2,FALSE),"")</f>
        <v>CALDERA I</v>
      </c>
      <c r="K763" s="5" t="str">
        <f>IFERROR(VLOOKUP(Tabla2[[#This Row],[TIENDA]],[1]INFO_LOCALES!$B:$D,3,FALSE),"")</f>
        <v>III - Atacama</v>
      </c>
      <c r="L763" s="5" t="str">
        <f>IFERROR(VLOOKUP(I763,[1]INFO_LOCALES!$B:$I,8,FALSE),"")</f>
        <v>Caldera</v>
      </c>
      <c r="M763" s="5" t="str">
        <f>IFERROR(VLOOKUP(I763,[1]INFO_LOCALES!$B:$H,7,FALSE),"")</f>
        <v>Batallon Atacama 319</v>
      </c>
      <c r="N763" s="5">
        <f>IFERROR(VLOOKUP(I763,[1]INFO_LOCALES!$B:$E,4,FALSE),"")</f>
        <v>0</v>
      </c>
      <c r="O763" s="5" t="str">
        <f>VLOOKUP(Tabla2[[#This Row],[TIENDA]],[1]INFO_LOCALES!$B:$J,9,0)</f>
        <v>CONVENIO</v>
      </c>
      <c r="P763" s="5" t="str">
        <f>IFERROR(VLOOKUP(I763,[1]INFO_LOCALES!$B:$F,5,FALSE),"")</f>
        <v>NUEVA ATACAMA</v>
      </c>
      <c r="Q763" s="5" t="s">
        <v>85</v>
      </c>
      <c r="R763" s="5" t="s">
        <v>86</v>
      </c>
      <c r="S763" s="6"/>
      <c r="T763" s="5" t="str">
        <f>UPPER(IF(Tabla2[[#This Row],[FECHA DE MUESTREO ]]=0,"",TEXT(Tabla2[[#This Row],[FECHA DE MUESTREO ]],("MMMM"))))</f>
        <v>DICIEMBRE</v>
      </c>
      <c r="U763" s="6">
        <v>46010</v>
      </c>
      <c r="V763" s="5" t="s">
        <v>59</v>
      </c>
      <c r="W7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63" s="7">
        <f t="shared" si="28"/>
        <v>1</v>
      </c>
      <c r="Y763" s="5">
        <v>18.8</v>
      </c>
      <c r="Z763" s="5">
        <v>6.63</v>
      </c>
      <c r="AA763" s="5">
        <v>2</v>
      </c>
      <c r="AB763" s="5">
        <v>22.2</v>
      </c>
      <c r="AC763" s="5">
        <v>185</v>
      </c>
      <c r="AD763" s="5">
        <v>4.5</v>
      </c>
      <c r="AE763" s="5">
        <v>15</v>
      </c>
      <c r="AF763" s="5">
        <v>0.5</v>
      </c>
      <c r="AG763" s="5">
        <v>56</v>
      </c>
      <c r="AI763" s="5">
        <v>394</v>
      </c>
    </row>
    <row r="764" spans="1:51" x14ac:dyDescent="0.25">
      <c r="A764" s="5" t="s">
        <v>52</v>
      </c>
      <c r="B764" s="5" t="s">
        <v>93</v>
      </c>
      <c r="C764" s="5" t="s">
        <v>81</v>
      </c>
      <c r="F764" s="10" t="s">
        <v>262</v>
      </c>
      <c r="G764" s="5" t="s">
        <v>61</v>
      </c>
      <c r="H764" s="5" t="s">
        <v>57</v>
      </c>
      <c r="I764" s="5">
        <v>576</v>
      </c>
      <c r="J764" s="5" t="str">
        <f>IFERROR(VLOOKUP(I764,[1]INFO_LOCALES!$B:$C,2,FALSE),"")</f>
        <v>CASTRO I</v>
      </c>
      <c r="K764" s="5" t="str">
        <f>IFERROR(VLOOKUP(Tabla2[[#This Row],[TIENDA]],[1]INFO_LOCALES!$B:$D,3,FALSE),"")</f>
        <v>X - Los Lagos</v>
      </c>
      <c r="L764" s="5" t="str">
        <f>IFERROR(VLOOKUP(I764,[1]INFO_LOCALES!$B:$I,8,FALSE),"")</f>
        <v>Castro</v>
      </c>
      <c r="M764" s="5" t="str">
        <f>IFERROR(VLOOKUP(I764,[1]INFO_LOCALES!$B:$H,7,FALSE),"")</f>
        <v>O'Higgins 711</v>
      </c>
      <c r="N764" s="5">
        <f>IFERROR(VLOOKUP(I764,[1]INFO_LOCALES!$B:$E,4,FALSE),"")</f>
        <v>3875</v>
      </c>
      <c r="O764" s="5" t="str">
        <f>VLOOKUP(Tabla2[[#This Row],[TIENDA]],[1]INFO_LOCALES!$B:$J,9,0)</f>
        <v>SIN CONVENIO</v>
      </c>
      <c r="P764" s="5" t="str">
        <f>IFERROR(VLOOKUP(I764,[1]INFO_LOCALES!$B:$F,5,FALSE),"")</f>
        <v>SURALIS</v>
      </c>
      <c r="Q764" s="5" t="s">
        <v>85</v>
      </c>
      <c r="R764" s="5" t="s">
        <v>86</v>
      </c>
      <c r="S764" s="6"/>
      <c r="T764" s="5" t="str">
        <f>UPPER(IF(Tabla2[[#This Row],[FECHA DE MUESTREO ]]=0,"",TEXT(Tabla2[[#This Row],[FECHA DE MUESTREO ]],("MMMM"))))</f>
        <v>DICIEMBRE</v>
      </c>
      <c r="U764" s="6">
        <v>46020</v>
      </c>
      <c r="V764" s="5" t="s">
        <v>118</v>
      </c>
      <c r="W7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64" s="7">
        <f t="shared" si="28"/>
        <v>2</v>
      </c>
      <c r="Y764" s="5">
        <v>10.1</v>
      </c>
      <c r="Z764" s="5">
        <v>6.58</v>
      </c>
      <c r="AA764" s="5">
        <v>2</v>
      </c>
      <c r="AB764" s="5">
        <v>9.9</v>
      </c>
      <c r="AC764" s="5">
        <v>306</v>
      </c>
      <c r="AD764" s="5">
        <v>6.5</v>
      </c>
      <c r="AE764" s="5">
        <v>15</v>
      </c>
      <c r="AF764" s="5">
        <v>5.0999999999999996</v>
      </c>
      <c r="AG764" s="5">
        <v>80</v>
      </c>
      <c r="AH764" s="5">
        <v>2.6</v>
      </c>
      <c r="AI764" s="5">
        <f t="shared" si="27"/>
        <v>78</v>
      </c>
      <c r="AJ764" s="5">
        <v>0.77459999999999996</v>
      </c>
      <c r="AK764" s="5">
        <v>3.0000000000000001E-3</v>
      </c>
      <c r="AL764" s="5">
        <v>0.05</v>
      </c>
      <c r="AM764" s="5">
        <v>2E-3</v>
      </c>
      <c r="AN764" s="5">
        <v>2E-3</v>
      </c>
      <c r="AO764" s="5">
        <v>0.23710000000000001</v>
      </c>
      <c r="AP764" s="5">
        <v>5.7200000000000001E-2</v>
      </c>
      <c r="AQ764" s="5">
        <v>0.05</v>
      </c>
      <c r="AR764" s="5">
        <v>0.03</v>
      </c>
      <c r="AS764" s="5">
        <v>0.17</v>
      </c>
      <c r="AT764" s="5">
        <v>9.11E-2</v>
      </c>
      <c r="AU764" s="5">
        <v>1E-3</v>
      </c>
      <c r="AV764" s="5">
        <v>1.4999999999999999E-2</v>
      </c>
      <c r="AW764" s="5">
        <v>0.04</v>
      </c>
      <c r="AX764" s="5">
        <v>10</v>
      </c>
      <c r="AY764" s="5">
        <v>0.04</v>
      </c>
    </row>
    <row r="765" spans="1:51" x14ac:dyDescent="0.25">
      <c r="A765" s="5" t="s">
        <v>52</v>
      </c>
      <c r="B765" s="5" t="s">
        <v>104</v>
      </c>
      <c r="C765" s="5" t="s">
        <v>54</v>
      </c>
      <c r="E765" s="5" t="s">
        <v>273</v>
      </c>
      <c r="F765" s="10" t="s">
        <v>262</v>
      </c>
      <c r="G765" s="5" t="s">
        <v>241</v>
      </c>
      <c r="H765" s="5" t="s">
        <v>235</v>
      </c>
      <c r="I765" s="5">
        <v>645</v>
      </c>
      <c r="J765" s="5" t="str">
        <f>IFERROR(VLOOKUP(I765,[1]INFO_LOCALES!$B:$C,2,FALSE),"")</f>
        <v>MEMBRILLAR</v>
      </c>
      <c r="K765" s="5" t="str">
        <f>IFERROR(VLOOKUP(Tabla2[[#This Row],[TIENDA]],[1]INFO_LOCALES!$B:$D,3,FALSE),"")</f>
        <v>VI - O'Higgins</v>
      </c>
      <c r="L765" s="5" t="str">
        <f>IFERROR(VLOOKUP(I765,[1]INFO_LOCALES!$B:$I,8,FALSE),"")</f>
        <v>Rancagua</v>
      </c>
      <c r="M765" s="5" t="str">
        <f>IFERROR(VLOOKUP(I765,[1]INFO_LOCALES!$B:$H,7,FALSE),"")</f>
        <v>Av. Membrillar 10</v>
      </c>
      <c r="N765" s="5">
        <f>IFERROR(VLOOKUP(I765,[1]INFO_LOCALES!$B:$E,4,FALSE),"")</f>
        <v>84</v>
      </c>
      <c r="O765" s="5" t="str">
        <f>VLOOKUP(Tabla2[[#This Row],[TIENDA]],[1]INFO_LOCALES!$B:$J,9,0)</f>
        <v>SIN CONVENIO</v>
      </c>
      <c r="P765" s="5" t="str">
        <f>IFERROR(VLOOKUP(I765,[1]INFO_LOCALES!$B:$F,5,FALSE),"")</f>
        <v>ESSBIO S.A.</v>
      </c>
      <c r="Q765" s="5" t="s">
        <v>85</v>
      </c>
      <c r="R765" s="5" t="s">
        <v>86</v>
      </c>
      <c r="S765" s="6"/>
      <c r="T765" s="5" t="str">
        <f>UPPER(IF(Tabla2[[#This Row],[FECHA DE MUESTREO ]]=0,"",TEXT(Tabla2[[#This Row],[FECHA DE MUESTREO ]],("MMMM"))))</f>
        <v/>
      </c>
      <c r="U765" s="6"/>
      <c r="V765" s="5" t="s">
        <v>59</v>
      </c>
      <c r="W7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65" s="7">
        <f t="shared" si="28"/>
        <v>1</v>
      </c>
      <c r="AI765" s="5">
        <f t="shared" si="27"/>
        <v>0</v>
      </c>
    </row>
    <row r="766" spans="1:51" x14ac:dyDescent="0.25">
      <c r="A766" s="5" t="s">
        <v>52</v>
      </c>
      <c r="B766" s="5" t="s">
        <v>149</v>
      </c>
      <c r="C766" s="5" t="s">
        <v>81</v>
      </c>
      <c r="E766" s="16" t="s">
        <v>274</v>
      </c>
      <c r="F766" s="10" t="s">
        <v>262</v>
      </c>
      <c r="G766" s="5" t="s">
        <v>229</v>
      </c>
      <c r="H766" s="5" t="s">
        <v>57</v>
      </c>
      <c r="I766" s="5">
        <v>771</v>
      </c>
      <c r="J766" s="5" t="str">
        <f>IFERROR(VLOOKUP(I766,[1]INFO_LOCALES!$B:$C,2,FALSE),"")</f>
        <v>MIRASOL</v>
      </c>
      <c r="K766" s="5" t="str">
        <f>IFERROR(VLOOKUP(Tabla2[[#This Row],[TIENDA]],[1]INFO_LOCALES!$B:$D,3,FALSE),"")</f>
        <v>X - Los Lagos</v>
      </c>
      <c r="L766" s="5" t="str">
        <f>IFERROR(VLOOKUP(I766,[1]INFO_LOCALES!$B:$I,8,FALSE),"")</f>
        <v>Puerto Montt</v>
      </c>
      <c r="M766" s="5" t="str">
        <f>IFERROR(VLOOKUP(I766,[1]INFO_LOCALES!$B:$H,7,FALSE),"")</f>
        <v>Av. La Cruz 2006</v>
      </c>
      <c r="N766" s="5">
        <f>IFERROR(VLOOKUP(I766,[1]INFO_LOCALES!$B:$E,4,FALSE),"")</f>
        <v>3723</v>
      </c>
      <c r="O766" s="5" t="str">
        <f>VLOOKUP(Tabla2[[#This Row],[TIENDA]],[1]INFO_LOCALES!$B:$J,9,0)</f>
        <v>SIN CONVENIO</v>
      </c>
      <c r="P766" s="5" t="str">
        <f>IFERROR(VLOOKUP(I766,[1]INFO_LOCALES!$B:$F,5,FALSE),"")</f>
        <v>SURALIS</v>
      </c>
      <c r="Q766" s="5" t="s">
        <v>85</v>
      </c>
      <c r="R766" s="5" t="s">
        <v>86</v>
      </c>
      <c r="S766" s="6"/>
      <c r="T766" s="5" t="str">
        <f>UPPER(IF(Tabla2[[#This Row],[FECHA DE MUESTREO ]]=0,"",TEXT(Tabla2[[#This Row],[FECHA DE MUESTREO ]],("MMMM"))))</f>
        <v>DICIEMBRE</v>
      </c>
      <c r="U766" s="6">
        <v>46002</v>
      </c>
      <c r="V766" s="5" t="s">
        <v>118</v>
      </c>
      <c r="W7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66" s="7">
        <f t="shared" si="28"/>
        <v>2</v>
      </c>
      <c r="Y766" s="5">
        <v>91.9</v>
      </c>
      <c r="Z766" s="5">
        <v>6.88</v>
      </c>
      <c r="AA766" s="5">
        <v>2</v>
      </c>
      <c r="AB766" s="5">
        <v>20.079999999999998</v>
      </c>
      <c r="AC766" s="5">
        <v>518</v>
      </c>
      <c r="AD766" s="5">
        <v>8.8000000000000007</v>
      </c>
      <c r="AE766" s="5">
        <v>16.5</v>
      </c>
      <c r="AF766" s="5">
        <v>14</v>
      </c>
      <c r="AG766" s="5">
        <v>504</v>
      </c>
      <c r="AH766" s="5">
        <v>2</v>
      </c>
      <c r="AI766" s="5">
        <f t="shared" si="27"/>
        <v>60</v>
      </c>
      <c r="AJ766" s="5">
        <v>3.9428000000000001</v>
      </c>
      <c r="AK766" s="5">
        <v>3.0000000000000001E-3</v>
      </c>
      <c r="AL766" s="5">
        <v>6.4899999999999999E-2</v>
      </c>
      <c r="AM766" s="5">
        <v>2E-3</v>
      </c>
      <c r="AN766" s="5">
        <v>2E-3</v>
      </c>
      <c r="AO766" s="5">
        <v>1.2279</v>
      </c>
      <c r="AP766" s="5">
        <v>0.88219999999999998</v>
      </c>
      <c r="AQ766" s="5">
        <v>0.05</v>
      </c>
      <c r="AR766" s="5">
        <v>0.03</v>
      </c>
      <c r="AS766" s="5">
        <v>11.45</v>
      </c>
      <c r="AT766" s="5">
        <v>0.12659999999999999</v>
      </c>
      <c r="AU766" s="5">
        <v>1E-3</v>
      </c>
      <c r="AV766" s="5">
        <v>1.4999999999999999E-2</v>
      </c>
      <c r="AW766" s="5">
        <v>0.04</v>
      </c>
      <c r="AX766" s="5">
        <v>10</v>
      </c>
      <c r="AY766" s="5">
        <v>0.03</v>
      </c>
    </row>
    <row r="767" spans="1:51" x14ac:dyDescent="0.25">
      <c r="A767" s="5" t="s">
        <v>52</v>
      </c>
      <c r="B767" s="5" t="s">
        <v>90</v>
      </c>
      <c r="C767" s="5" t="s">
        <v>81</v>
      </c>
      <c r="F767" s="10" t="s">
        <v>262</v>
      </c>
      <c r="G767" s="5" t="s">
        <v>61</v>
      </c>
      <c r="H767" s="5" t="s">
        <v>249</v>
      </c>
      <c r="I767" s="5">
        <v>777</v>
      </c>
      <c r="J767" s="5" t="str">
        <f>IFERROR(VLOOKUP(I767,[1]INFO_LOCALES!$B:$C,2,FALSE),"")</f>
        <v>CENTRAL</v>
      </c>
      <c r="K767" s="5" t="str">
        <f>IFERROR(VLOOKUP(Tabla2[[#This Row],[TIENDA]],[1]INFO_LOCALES!$B:$D,3,FALSE),"")</f>
        <v>X - Los Lagos</v>
      </c>
      <c r="L767" s="5" t="str">
        <f>IFERROR(VLOOKUP(I767,[1]INFO_LOCALES!$B:$I,8,FALSE),"")</f>
        <v>Osorno</v>
      </c>
      <c r="M767" s="5" t="str">
        <f>IFERROR(VLOOKUP(I767,[1]INFO_LOCALES!$B:$H,7,FALSE),"")</f>
        <v>Patricio Lynch 1278</v>
      </c>
      <c r="N767" s="5">
        <f>IFERROR(VLOOKUP(I767,[1]INFO_LOCALES!$B:$E,4,FALSE),"")</f>
        <v>3684</v>
      </c>
      <c r="O767" s="5" t="str">
        <f>VLOOKUP(Tabla2[[#This Row],[TIENDA]],[1]INFO_LOCALES!$B:$J,9,0)</f>
        <v>CONVENIO</v>
      </c>
      <c r="P767" s="5" t="str">
        <f>IFERROR(VLOOKUP(I767,[1]INFO_LOCALES!$B:$F,5,FALSE),"")</f>
        <v>SURALIS</v>
      </c>
      <c r="Q767" s="5" t="s">
        <v>85</v>
      </c>
      <c r="R767" s="5" t="s">
        <v>86</v>
      </c>
      <c r="S767" s="6"/>
      <c r="T767" s="5" t="str">
        <f>UPPER(IF(Tabla2[[#This Row],[FECHA DE MUESTREO ]]=0,"",TEXT(Tabla2[[#This Row],[FECHA DE MUESTREO ]],("MMMM"))))</f>
        <v>DICIEMBRE</v>
      </c>
      <c r="U767" s="6">
        <v>46021</v>
      </c>
      <c r="V767" s="5" t="s">
        <v>118</v>
      </c>
      <c r="W7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67" s="7">
        <f t="shared" si="28"/>
        <v>2</v>
      </c>
      <c r="Y767" s="5">
        <v>7.8</v>
      </c>
      <c r="Z767" s="5">
        <v>6.34</v>
      </c>
      <c r="AA767" s="5">
        <v>8</v>
      </c>
      <c r="AB767" s="5">
        <v>19.71</v>
      </c>
      <c r="AC767" s="5">
        <v>223</v>
      </c>
      <c r="AD767" s="5">
        <v>1.5</v>
      </c>
      <c r="AE767" s="5">
        <v>3.5</v>
      </c>
      <c r="AF767" s="5">
        <v>0.1</v>
      </c>
      <c r="AG767" s="5">
        <v>77</v>
      </c>
      <c r="AH767" s="5">
        <v>0.8</v>
      </c>
      <c r="AI767" s="5">
        <f t="shared" si="27"/>
        <v>24</v>
      </c>
      <c r="AJ767" s="5">
        <v>0.28889999999999999</v>
      </c>
      <c r="AK767" s="5">
        <v>3.0000000000000001E-3</v>
      </c>
      <c r="AL767" s="5">
        <v>0.37569999999999998</v>
      </c>
      <c r="AM767" s="5">
        <v>2E-3</v>
      </c>
      <c r="AN767" s="5">
        <v>3.0000000000000001E-3</v>
      </c>
      <c r="AO767" s="5">
        <v>0.1169</v>
      </c>
      <c r="AP767" s="5">
        <v>0.13270000000000001</v>
      </c>
      <c r="AQ767" s="5">
        <v>0.05</v>
      </c>
      <c r="AR767" s="5">
        <v>0.03</v>
      </c>
      <c r="AS767" s="5">
        <v>0</v>
      </c>
      <c r="AT767" s="5">
        <v>5.3600000000000002E-2</v>
      </c>
      <c r="AU767" s="5">
        <v>1E-3</v>
      </c>
      <c r="AV767" s="5">
        <v>1.4999999999999999E-2</v>
      </c>
      <c r="AW767" s="5">
        <v>0.04</v>
      </c>
      <c r="AX767" s="5">
        <v>19</v>
      </c>
      <c r="AY767" s="5">
        <v>0.03</v>
      </c>
    </row>
    <row r="768" spans="1:51" x14ac:dyDescent="0.25">
      <c r="A768" s="5" t="s">
        <v>52</v>
      </c>
      <c r="B768" s="5" t="s">
        <v>90</v>
      </c>
      <c r="C768" s="5" t="s">
        <v>81</v>
      </c>
      <c r="F768" s="10" t="s">
        <v>262</v>
      </c>
      <c r="G768" s="5" t="s">
        <v>61</v>
      </c>
      <c r="H768" s="5" t="s">
        <v>57</v>
      </c>
      <c r="I768" s="5">
        <v>778</v>
      </c>
      <c r="J768" s="5" t="str">
        <f>IFERROR(VLOOKUP(I768,[1]INFO_LOCALES!$B:$C,2,FALSE),"")</f>
        <v>ORIENTE</v>
      </c>
      <c r="K768" s="5" t="str">
        <f>IFERROR(VLOOKUP(Tabla2[[#This Row],[TIENDA]],[1]INFO_LOCALES!$B:$D,3,FALSE),"")</f>
        <v>X - Los Lagos</v>
      </c>
      <c r="L768" s="5" t="str">
        <f>IFERROR(VLOOKUP(I768,[1]INFO_LOCALES!$B:$I,8,FALSE),"")</f>
        <v>Osorno</v>
      </c>
      <c r="M768" s="5" t="str">
        <f>IFERROR(VLOOKUP(I768,[1]INFO_LOCALES!$B:$H,7,FALSE),"")</f>
        <v>Julio Buschman 2223</v>
      </c>
      <c r="N768" s="5">
        <f>IFERROR(VLOOKUP(I768,[1]INFO_LOCALES!$B:$E,4,FALSE),"")</f>
        <v>2867</v>
      </c>
      <c r="O768" s="5" t="str">
        <f>VLOOKUP(Tabla2[[#This Row],[TIENDA]],[1]INFO_LOCALES!$B:$J,9,0)</f>
        <v>CONVENIO</v>
      </c>
      <c r="P768" s="5" t="str">
        <f>IFERROR(VLOOKUP(I768,[1]INFO_LOCALES!$B:$F,5,FALSE),"")</f>
        <v>SURALIS</v>
      </c>
      <c r="Q768" s="5" t="s">
        <v>85</v>
      </c>
      <c r="R768" s="5" t="s">
        <v>86</v>
      </c>
      <c r="S768" s="6"/>
      <c r="T768" s="5" t="str">
        <f>UPPER(IF(Tabla2[[#This Row],[FECHA DE MUESTREO ]]=0,"",TEXT(Tabla2[[#This Row],[FECHA DE MUESTREO ]],("MMMM"))))</f>
        <v>DICIEMBRE</v>
      </c>
      <c r="U768" s="6">
        <v>46379</v>
      </c>
      <c r="V768" s="5" t="s">
        <v>118</v>
      </c>
      <c r="W7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68" s="7">
        <f t="shared" si="28"/>
        <v>1</v>
      </c>
      <c r="Y768" s="5">
        <v>29.3</v>
      </c>
      <c r="Z768" s="5">
        <v>6.09</v>
      </c>
      <c r="AA768" s="5">
        <v>2</v>
      </c>
      <c r="AB768" s="5">
        <v>13.77</v>
      </c>
      <c r="AC768" s="5">
        <v>238</v>
      </c>
      <c r="AD768" s="5">
        <v>5.8</v>
      </c>
      <c r="AE768" s="5">
        <v>25</v>
      </c>
      <c r="AF768" s="5">
        <v>4</v>
      </c>
      <c r="AG768" s="5">
        <v>98</v>
      </c>
      <c r="AH768" s="5">
        <v>8</v>
      </c>
      <c r="AI768" s="5">
        <f t="shared" si="27"/>
        <v>240</v>
      </c>
      <c r="AJ768" s="5">
        <v>2.4901</v>
      </c>
      <c r="AK768" s="5">
        <v>3.0000000000000001E-3</v>
      </c>
      <c r="AL768" s="5">
        <v>5.8900000000000001E-2</v>
      </c>
      <c r="AM768" s="5">
        <v>2E-3</v>
      </c>
      <c r="AN768" s="5">
        <v>2E-3</v>
      </c>
      <c r="AO768" s="5">
        <v>1.2371000000000001</v>
      </c>
      <c r="AP768" s="5">
        <v>0.29959999999999998</v>
      </c>
      <c r="AQ768" s="5">
        <v>0.05</v>
      </c>
      <c r="AR768" s="5">
        <v>0.03</v>
      </c>
      <c r="AS768" s="5">
        <v>0.2</v>
      </c>
      <c r="AT768" s="5">
        <v>0.23230000000000001</v>
      </c>
      <c r="AU768" s="5">
        <v>1E-3</v>
      </c>
      <c r="AV768" s="5">
        <v>1.4999999999999999E-2</v>
      </c>
      <c r="AW768" s="5">
        <v>0.04</v>
      </c>
      <c r="AX768" s="5">
        <v>10</v>
      </c>
      <c r="AY768" s="5">
        <v>0.03</v>
      </c>
    </row>
    <row r="769" spans="1:51" x14ac:dyDescent="0.25">
      <c r="A769" s="5" t="s">
        <v>52</v>
      </c>
      <c r="B769" s="5" t="s">
        <v>90</v>
      </c>
      <c r="C769" s="5" t="s">
        <v>81</v>
      </c>
      <c r="F769" s="10" t="s">
        <v>262</v>
      </c>
      <c r="G769" s="5" t="s">
        <v>61</v>
      </c>
      <c r="H769" s="5" t="s">
        <v>57</v>
      </c>
      <c r="I769" s="5">
        <v>780</v>
      </c>
      <c r="J769" s="5" t="str">
        <f>IFERROR(VLOOKUP(I769,[1]INFO_LOCALES!$B:$C,2,FALSE),"")</f>
        <v>VICTORIA</v>
      </c>
      <c r="K769" s="5" t="str">
        <f>IFERROR(VLOOKUP(Tabla2[[#This Row],[TIENDA]],[1]INFO_LOCALES!$B:$D,3,FALSE),"")</f>
        <v>X - Los Lagos</v>
      </c>
      <c r="L769" s="5" t="str">
        <f>IFERROR(VLOOKUP(I769,[1]INFO_LOCALES!$B:$I,8,FALSE),"")</f>
        <v>Osorno</v>
      </c>
      <c r="M769" s="5" t="str">
        <f>IFERROR(VLOOKUP(I769,[1]INFO_LOCALES!$B:$H,7,FALSE),"")</f>
        <v>Victoria 367 Rahue Bajo</v>
      </c>
      <c r="N769" s="5">
        <f>IFERROR(VLOOKUP(I769,[1]INFO_LOCALES!$B:$E,4,FALSE),"")</f>
        <v>1362</v>
      </c>
      <c r="O769" s="5" t="str">
        <f>VLOOKUP(Tabla2[[#This Row],[TIENDA]],[1]INFO_LOCALES!$B:$J,9,0)</f>
        <v>SIN CONVENIO</v>
      </c>
      <c r="P769" s="5" t="str">
        <f>IFERROR(VLOOKUP(I769,[1]INFO_LOCALES!$B:$F,5,FALSE),"")</f>
        <v>SURALIS</v>
      </c>
      <c r="Q769" s="5" t="s">
        <v>85</v>
      </c>
      <c r="R769" s="5" t="s">
        <v>86</v>
      </c>
      <c r="S769" s="6"/>
      <c r="T769" s="5" t="str">
        <f>UPPER(IF(Tabla2[[#This Row],[FECHA DE MUESTREO ]]=0,"",TEXT(Tabla2[[#This Row],[FECHA DE MUESTREO ]],("MMMM"))))</f>
        <v>DICIEMBRE</v>
      </c>
      <c r="U769" s="6">
        <v>46021</v>
      </c>
      <c r="V769" s="5" t="s">
        <v>118</v>
      </c>
      <c r="W7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69" s="7">
        <f t="shared" si="28"/>
        <v>1</v>
      </c>
      <c r="Y769" s="5">
        <v>11.9</v>
      </c>
      <c r="Z769" s="5">
        <v>7.2</v>
      </c>
      <c r="AA769" s="5">
        <v>3</v>
      </c>
      <c r="AB769" s="5">
        <v>18.91</v>
      </c>
      <c r="AC769" s="5">
        <v>90</v>
      </c>
      <c r="AD769" s="5">
        <v>5.0999999999999996</v>
      </c>
      <c r="AE769" s="5">
        <v>4.8</v>
      </c>
      <c r="AF769" s="5">
        <v>2.5</v>
      </c>
      <c r="AG769" s="5">
        <v>41</v>
      </c>
      <c r="AH769" s="5">
        <v>0.7</v>
      </c>
      <c r="AI769" s="5">
        <f t="shared" si="27"/>
        <v>21</v>
      </c>
      <c r="AJ769" s="5">
        <v>0.31730000000000003</v>
      </c>
      <c r="AK769" s="5">
        <v>3.0000000000000001E-3</v>
      </c>
      <c r="AL769" s="5">
        <v>0.16619999999999999</v>
      </c>
      <c r="AM769" s="5">
        <v>2E-3</v>
      </c>
      <c r="AN769" s="5">
        <v>4.0000000000000001E-3</v>
      </c>
      <c r="AO769" s="5">
        <v>0.1221</v>
      </c>
      <c r="AP769" s="5">
        <v>0.1178</v>
      </c>
      <c r="AQ769" s="5">
        <v>0.05</v>
      </c>
      <c r="AR769" s="5">
        <v>0.03</v>
      </c>
      <c r="AS769" s="5">
        <v>0</v>
      </c>
      <c r="AT769" s="5">
        <v>5.2699999999999997E-2</v>
      </c>
      <c r="AU769" s="5">
        <v>1E-3</v>
      </c>
      <c r="AV769" s="5">
        <v>1.4999999999999999E-2</v>
      </c>
      <c r="AW769" s="5">
        <v>0.04</v>
      </c>
      <c r="AX769" s="5">
        <v>46</v>
      </c>
      <c r="AY769" s="5">
        <v>0.03</v>
      </c>
    </row>
    <row r="770" spans="1:51" x14ac:dyDescent="0.25">
      <c r="A770" s="5" t="s">
        <v>60</v>
      </c>
      <c r="B770" s="5" t="e">
        <v>#N/A</v>
      </c>
      <c r="C770" s="5" t="e">
        <v>#N/A</v>
      </c>
      <c r="E770" s="5" t="s">
        <v>275</v>
      </c>
      <c r="F770" s="10" t="s">
        <v>262</v>
      </c>
      <c r="G770" s="5" t="s">
        <v>61</v>
      </c>
      <c r="H770" s="5" t="s">
        <v>249</v>
      </c>
      <c r="I770" s="5">
        <v>3014</v>
      </c>
      <c r="J770" s="5" t="str">
        <f>IFERROR(VLOOKUP(I770,[1]INFO_LOCALES!$B:$C,2,FALSE),"")</f>
        <v>M10 SAN FERNANDO</v>
      </c>
      <c r="K770" s="5" t="str">
        <f>IFERROR(VLOOKUP(Tabla2[[#This Row],[TIENDA]],[1]INFO_LOCALES!$B:$D,3,FALSE),"")</f>
        <v>VI - O'Higgins</v>
      </c>
      <c r="L770" s="5" t="str">
        <f>IFERROR(VLOOKUP(I770,[1]INFO_LOCALES!$B:$I,8,FALSE),"")</f>
        <v>San Fernando</v>
      </c>
      <c r="M770" s="5" t="str">
        <f>IFERROR(VLOOKUP(I770,[1]INFO_LOCALES!$B:$H,7,FALSE),"")</f>
        <v>Chillan 745</v>
      </c>
      <c r="N770" s="5">
        <f>IFERROR(VLOOKUP(I770,[1]INFO_LOCALES!$B:$E,4,FALSE),"")</f>
        <v>1298</v>
      </c>
      <c r="O770" s="5" t="str">
        <f>VLOOKUP(Tabla2[[#This Row],[TIENDA]],[1]INFO_LOCALES!$B:$J,9,0)</f>
        <v>TERMINADO</v>
      </c>
      <c r="P770" s="5" t="str">
        <f>IFERROR(VLOOKUP(I770,[1]INFO_LOCALES!$B:$F,5,FALSE),"")</f>
        <v>ESSBIO S.A.</v>
      </c>
      <c r="Q770" s="5" t="s">
        <v>85</v>
      </c>
      <c r="R770" s="5" t="s">
        <v>86</v>
      </c>
      <c r="S770" s="6"/>
      <c r="T770" s="5" t="str">
        <f>UPPER(IF(Tabla2[[#This Row],[FECHA DE MUESTREO ]]=0,"",TEXT(Tabla2[[#This Row],[FECHA DE MUESTREO ]],("MMMM"))))</f>
        <v>DICIEMBRE</v>
      </c>
      <c r="U770" s="6">
        <v>46017</v>
      </c>
      <c r="V770" s="17" t="s">
        <v>118</v>
      </c>
      <c r="W7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70" s="7">
        <f t="shared" si="28"/>
        <v>2</v>
      </c>
      <c r="Y770" s="5">
        <v>12.9</v>
      </c>
      <c r="Z770" s="5">
        <v>7.46</v>
      </c>
      <c r="AA770" s="5">
        <v>10</v>
      </c>
      <c r="AB770" s="5">
        <v>23.21</v>
      </c>
      <c r="AC770" s="5">
        <v>161</v>
      </c>
      <c r="AD770" s="5">
        <v>11</v>
      </c>
      <c r="AE770" s="5">
        <v>29</v>
      </c>
      <c r="AF770" s="5">
        <v>1.5</v>
      </c>
      <c r="AG770" s="5">
        <v>78</v>
      </c>
      <c r="AH770" s="5">
        <v>2.61</v>
      </c>
      <c r="AI770" s="5">
        <f t="shared" si="27"/>
        <v>78.3</v>
      </c>
      <c r="AJ770" s="5">
        <v>0.17849999999999999</v>
      </c>
      <c r="AK770" s="5">
        <v>3.0000000000000001E-3</v>
      </c>
      <c r="AL770" s="5">
        <v>0.16750000000000001</v>
      </c>
      <c r="AM770" s="5">
        <v>2E-3</v>
      </c>
      <c r="AN770" s="5">
        <v>2E-3</v>
      </c>
      <c r="AO770" s="5">
        <v>0.1724</v>
      </c>
      <c r="AP770" s="5">
        <v>0.1139</v>
      </c>
      <c r="AQ770" s="5">
        <v>0.05</v>
      </c>
      <c r="AR770" s="5">
        <v>0.03</v>
      </c>
      <c r="AS770" s="5">
        <v>0</v>
      </c>
      <c r="AT770" s="5">
        <v>4.5600000000000002E-2</v>
      </c>
      <c r="AU770" s="5">
        <v>1E-3</v>
      </c>
      <c r="AV770" s="5">
        <v>1.4999999999999999E-2</v>
      </c>
      <c r="AW770" s="5">
        <v>0.04</v>
      </c>
      <c r="AX770" s="5">
        <v>217</v>
      </c>
      <c r="AY770" s="5">
        <v>0.03</v>
      </c>
    </row>
    <row r="771" spans="1:51" x14ac:dyDescent="0.25">
      <c r="A771" s="5" t="s">
        <v>60</v>
      </c>
      <c r="B771" s="5" t="e">
        <v>#N/A</v>
      </c>
      <c r="C771" s="5" t="e">
        <v>#N/A</v>
      </c>
      <c r="F771" s="10" t="s">
        <v>262</v>
      </c>
      <c r="G771" s="5" t="s">
        <v>241</v>
      </c>
      <c r="H771" s="5" t="s">
        <v>235</v>
      </c>
      <c r="I771" s="5">
        <v>3022</v>
      </c>
      <c r="J771" s="5" t="str">
        <f>IFERROR(VLOOKUP(I771,[1]INFO_LOCALES!$B:$C,2,FALSE),"")</f>
        <v>M10 TEMUCO II</v>
      </c>
      <c r="K771" s="5" t="str">
        <f>IFERROR(VLOOKUP(Tabla2[[#This Row],[TIENDA]],[1]INFO_LOCALES!$B:$D,3,FALSE),"")</f>
        <v>IX - Araucanía</v>
      </c>
      <c r="L771" s="5" t="str">
        <f>IFERROR(VLOOKUP(I771,[1]INFO_LOCALES!$B:$I,8,FALSE),"")</f>
        <v>Temuco</v>
      </c>
      <c r="M771" s="5" t="str">
        <f>IFERROR(VLOOKUP(I771,[1]INFO_LOCALES!$B:$H,7,FALSE),"")</f>
        <v>Pedro De Valdivia 2285</v>
      </c>
      <c r="N771" s="5">
        <f>IFERROR(VLOOKUP(I771,[1]INFO_LOCALES!$B:$E,4,FALSE),"")</f>
        <v>3721</v>
      </c>
      <c r="O771" s="5" t="str">
        <f>VLOOKUP(Tabla2[[#This Row],[TIENDA]],[1]INFO_LOCALES!$B:$J,9,0)</f>
        <v>CONVENIO</v>
      </c>
      <c r="P771" s="5" t="str">
        <f>IFERROR(VLOOKUP(I771,[1]INFO_LOCALES!$B:$F,5,FALSE),"")</f>
        <v>AGUAS ARAUCANIA S A</v>
      </c>
      <c r="Q771" s="5" t="s">
        <v>85</v>
      </c>
      <c r="R771" s="5" t="s">
        <v>86</v>
      </c>
      <c r="S771" s="6"/>
      <c r="T771" s="5" t="str">
        <f>UPPER(IF(Tabla2[[#This Row],[FECHA DE MUESTREO ]]=0,"",TEXT(Tabla2[[#This Row],[FECHA DE MUESTREO ]],("MMMM"))))</f>
        <v/>
      </c>
      <c r="U771" s="6"/>
      <c r="V771" s="5" t="s">
        <v>118</v>
      </c>
      <c r="W7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71" s="7">
        <f t="shared" si="28"/>
        <v>1</v>
      </c>
      <c r="AI771" s="5">
        <f t="shared" si="27"/>
        <v>0</v>
      </c>
    </row>
    <row r="772" spans="1:51" x14ac:dyDescent="0.25">
      <c r="A772" s="5" t="s">
        <v>60</v>
      </c>
      <c r="B772" s="5" t="e">
        <v>#N/A</v>
      </c>
      <c r="C772" s="5" t="e">
        <v>#N/A</v>
      </c>
      <c r="F772" s="10" t="s">
        <v>262</v>
      </c>
      <c r="G772" s="5" t="s">
        <v>61</v>
      </c>
      <c r="H772" s="5" t="s">
        <v>57</v>
      </c>
      <c r="I772" s="5">
        <v>3197</v>
      </c>
      <c r="J772" s="5" t="str">
        <f>IFERROR(VLOOKUP(I772,[1]INFO_LOCALES!$B:$C,2,FALSE),"")</f>
        <v>ALVI PICARTE VALDIVIA</v>
      </c>
      <c r="K772" s="5" t="str">
        <f>IFERROR(VLOOKUP(Tabla2[[#This Row],[TIENDA]],[1]INFO_LOCALES!$B:$D,3,FALSE),"")</f>
        <v>XIV - Los Ríos</v>
      </c>
      <c r="L772" s="5" t="str">
        <f>IFERROR(VLOOKUP(I772,[1]INFO_LOCALES!$B:$I,8,FALSE),"")</f>
        <v>Valdivia</v>
      </c>
      <c r="M772" s="5" t="str">
        <f>IFERROR(VLOOKUP(I772,[1]INFO_LOCALES!$B:$H,7,FALSE),"")</f>
        <v>Av. Ramon Picarte 2593</v>
      </c>
      <c r="N772" s="5">
        <f>IFERROR(VLOOKUP(I772,[1]INFO_LOCALES!$B:$E,4,FALSE),"")</f>
        <v>1961</v>
      </c>
      <c r="O772" s="5" t="str">
        <f>VLOOKUP(Tabla2[[#This Row],[TIENDA]],[1]INFO_LOCALES!$B:$J,9,0)</f>
        <v>CONVENIO</v>
      </c>
      <c r="P772" s="5" t="str">
        <f>IFERROR(VLOOKUP(I772,[1]INFO_LOCALES!$B:$F,5,FALSE),"")</f>
        <v>AGUAS DECIMA S A</v>
      </c>
      <c r="Q772" s="5" t="s">
        <v>85</v>
      </c>
      <c r="R772" s="5" t="s">
        <v>86</v>
      </c>
      <c r="T772" s="5" t="str">
        <f>UPPER(IF(Tabla2[[#This Row],[FECHA DE MUESTREO ]]=0,"",TEXT(Tabla2[[#This Row],[FECHA DE MUESTREO ]],("MMMM"))))</f>
        <v>DICIEMBRE</v>
      </c>
      <c r="U772" s="6">
        <v>46020</v>
      </c>
      <c r="V772" s="5" t="s">
        <v>118</v>
      </c>
      <c r="W7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72" s="7">
        <f t="shared" si="28"/>
        <v>1</v>
      </c>
      <c r="Y772" s="5">
        <v>2.6</v>
      </c>
      <c r="Z772" s="5">
        <v>6.98</v>
      </c>
      <c r="AA772" s="5">
        <v>6</v>
      </c>
      <c r="AB772" s="5">
        <v>16.559999999999999</v>
      </c>
      <c r="AC772" s="5">
        <v>25</v>
      </c>
      <c r="AD772" s="5">
        <v>11</v>
      </c>
      <c r="AE772" s="5">
        <v>27</v>
      </c>
      <c r="AF772" s="5">
        <v>0.4</v>
      </c>
      <c r="AG772" s="5">
        <v>23</v>
      </c>
      <c r="AH772" s="5">
        <v>4</v>
      </c>
      <c r="AJ772" s="5">
        <v>1.1669</v>
      </c>
      <c r="AK772" s="5">
        <v>3.0000000000000001E-3</v>
      </c>
      <c r="AL772" s="5">
        <v>0.05</v>
      </c>
      <c r="AM772" s="5">
        <v>2E-3</v>
      </c>
      <c r="AN772" s="5">
        <v>2E-3</v>
      </c>
      <c r="AO772" s="5">
        <v>0.12709999999999999</v>
      </c>
      <c r="AP772" s="5">
        <v>9.3600000000000003E-2</v>
      </c>
      <c r="AQ772" s="5">
        <v>0.05</v>
      </c>
      <c r="AR772" s="5">
        <v>0.03</v>
      </c>
      <c r="AS772" s="5">
        <v>0.05</v>
      </c>
      <c r="AT772" s="5">
        <v>2.1100000000000001E-2</v>
      </c>
      <c r="AU772" s="5">
        <v>1E-3</v>
      </c>
      <c r="AV772" s="5">
        <v>1.4999999999999999E-2</v>
      </c>
      <c r="AW772" s="5">
        <v>0.04</v>
      </c>
      <c r="AX772" s="5">
        <v>12</v>
      </c>
      <c r="AY772" s="5">
        <v>0.03</v>
      </c>
    </row>
    <row r="773" spans="1:51" x14ac:dyDescent="0.25">
      <c r="A773" s="5" t="s">
        <v>60</v>
      </c>
      <c r="B773" s="5" t="e">
        <v>#N/A</v>
      </c>
      <c r="C773" s="5" t="e">
        <v>#N/A</v>
      </c>
      <c r="E773" s="16" t="s">
        <v>276</v>
      </c>
      <c r="F773" s="10" t="s">
        <v>262</v>
      </c>
      <c r="G773" s="5" t="s">
        <v>61</v>
      </c>
      <c r="H773" s="5" t="s">
        <v>57</v>
      </c>
      <c r="I773" s="5">
        <v>3143</v>
      </c>
      <c r="J773" s="5" t="str">
        <f>IFERROR(VLOOKUP(I773,[1]INFO_LOCALES!$B:$C,2,FALSE),"")</f>
        <v>M10 TEMUCO IV</v>
      </c>
      <c r="K773" s="5" t="str">
        <f>IFERROR(VLOOKUP(Tabla2[[#This Row],[TIENDA]],[1]INFO_LOCALES!$B:$D,3,FALSE),"")</f>
        <v>IX - Araucanía</v>
      </c>
      <c r="L773" s="5" t="str">
        <f>IFERROR(VLOOKUP(I773,[1]INFO_LOCALES!$B:$I,8,FALSE),"")</f>
        <v>Temuco</v>
      </c>
      <c r="M773" s="5" t="str">
        <f>IFERROR(VLOOKUP(I773,[1]INFO_LOCALES!$B:$H,7,FALSE),"")</f>
        <v>Francisco Salazar 01650</v>
      </c>
      <c r="N773" s="5">
        <f>IFERROR(VLOOKUP(I773,[1]INFO_LOCALES!$B:$E,4,FALSE),"")</f>
        <v>4422</v>
      </c>
      <c r="O773" s="5" t="str">
        <f>VLOOKUP(Tabla2[[#This Row],[TIENDA]],[1]INFO_LOCALES!$B:$J,9,0)</f>
        <v>CONVENIO</v>
      </c>
      <c r="P773" s="5" t="str">
        <f>IFERROR(VLOOKUP(I773,[1]INFO_LOCALES!$B:$F,5,FALSE),"")</f>
        <v>AGUAS ARAUCANIA S A</v>
      </c>
      <c r="Q773" s="5" t="s">
        <v>85</v>
      </c>
      <c r="R773" s="5" t="s">
        <v>86</v>
      </c>
      <c r="T773" s="5" t="str">
        <f>UPPER(IF(Tabla2[[#This Row],[FECHA DE MUESTREO ]]=0,"",TEXT(Tabla2[[#This Row],[FECHA DE MUESTREO ]],("MMMM"))))</f>
        <v>DICIEMBRE</v>
      </c>
      <c r="U773" s="6">
        <v>46008</v>
      </c>
      <c r="V773" s="5" t="s">
        <v>118</v>
      </c>
      <c r="W7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73" s="7">
        <f t="shared" si="28"/>
        <v>1</v>
      </c>
      <c r="Y773" s="5">
        <v>11.6</v>
      </c>
      <c r="Z773" s="5">
        <v>7.23</v>
      </c>
      <c r="AA773" s="5">
        <v>5</v>
      </c>
      <c r="AB773" s="5">
        <v>17.34</v>
      </c>
      <c r="AC773" s="5">
        <v>45</v>
      </c>
      <c r="AD773" s="5">
        <v>2</v>
      </c>
      <c r="AE773" s="5">
        <v>8</v>
      </c>
      <c r="AF773" s="5">
        <v>1.5</v>
      </c>
      <c r="AG773" s="5">
        <v>17</v>
      </c>
      <c r="AI773" s="5">
        <v>424</v>
      </c>
    </row>
    <row r="774" spans="1:51" x14ac:dyDescent="0.25">
      <c r="A774" s="5" t="s">
        <v>210</v>
      </c>
      <c r="B774" s="5" t="e">
        <v>#N/A</v>
      </c>
      <c r="C774" s="5" t="e">
        <v>#N/A</v>
      </c>
      <c r="F774" s="10" t="s">
        <v>262</v>
      </c>
      <c r="G774" s="5" t="s">
        <v>65</v>
      </c>
      <c r="H774" s="5" t="s">
        <v>57</v>
      </c>
      <c r="I774" s="5">
        <v>9051</v>
      </c>
      <c r="J774" s="5" t="str">
        <f>IFERROR(VLOOKUP(I774,[1]INFO_LOCALES!$B:$C,2,FALSE),"")</f>
        <v>CD NUEVO COQUIMBO</v>
      </c>
      <c r="K774" s="5" t="str">
        <f>IFERROR(VLOOKUP(Tabla2[[#This Row],[TIENDA]],[1]INFO_LOCALES!$B:$D,3,FALSE),"")</f>
        <v>IV - Coquimbo</v>
      </c>
      <c r="L774" s="5" t="str">
        <f>IFERROR(VLOOKUP(I774,[1]INFO_LOCALES!$B:$I,8,FALSE),"")</f>
        <v>Coquimbo</v>
      </c>
      <c r="M774" s="5" t="str">
        <f>IFERROR(VLOOKUP(I774,[1]INFO_LOCALES!$B:$H,7,FALSE),"")</f>
        <v>PAN DE AZUCAR S/N</v>
      </c>
      <c r="N774" s="5">
        <f>IFERROR(VLOOKUP(I774,[1]INFO_LOCALES!$B:$E,4,FALSE),"")</f>
        <v>0</v>
      </c>
      <c r="O774" s="5" t="str">
        <f>VLOOKUP(Tabla2[[#This Row],[TIENDA]],[1]INFO_LOCALES!$B:$J,9,0)</f>
        <v>SIN CONVENIO</v>
      </c>
      <c r="P774" s="8" t="str">
        <f>IFERROR(VLOOKUP(I774,[1]INFO_LOCALES!$B:$F,5,FALSE),"")</f>
        <v>RENTAS COQUIMBO SPA</v>
      </c>
      <c r="Q774" s="5" t="s">
        <v>85</v>
      </c>
      <c r="R774" s="5" t="s">
        <v>86</v>
      </c>
      <c r="T774" s="5" t="str">
        <f>UPPER(IF(Tabla2[[#This Row],[FECHA DE MUESTREO ]]=0,"",TEXT(Tabla2[[#This Row],[FECHA DE MUESTREO ]],("MMMM"))))</f>
        <v>DICIEMBRE</v>
      </c>
      <c r="U774" s="6">
        <v>46007</v>
      </c>
      <c r="V774" s="5" t="s">
        <v>118</v>
      </c>
      <c r="W7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74" s="7">
        <f t="shared" si="28"/>
        <v>1</v>
      </c>
      <c r="Y774" s="5">
        <v>9.6</v>
      </c>
      <c r="Z774" s="5">
        <v>7.5</v>
      </c>
      <c r="AA774" s="5">
        <v>2</v>
      </c>
      <c r="AB774" s="5">
        <v>23.1</v>
      </c>
      <c r="AC774" s="5">
        <v>12</v>
      </c>
      <c r="AD774" s="5">
        <v>3.3</v>
      </c>
      <c r="AE774" s="5">
        <v>14</v>
      </c>
      <c r="AG774" s="5">
        <v>52</v>
      </c>
      <c r="AJ774" s="5">
        <v>0.10390000000000001</v>
      </c>
      <c r="AK774" s="5">
        <v>3.0000000000000001E-3</v>
      </c>
      <c r="AL774" s="5">
        <v>0.3387</v>
      </c>
      <c r="AM774" s="5">
        <v>2E-3</v>
      </c>
      <c r="AN774" s="5">
        <v>2E-3</v>
      </c>
      <c r="AO774" s="5">
        <v>7.0999999999999994E-2</v>
      </c>
      <c r="AP774" s="5">
        <v>6.0000000000000001E-3</v>
      </c>
      <c r="AR774" s="5">
        <v>0.03</v>
      </c>
      <c r="AS774" s="5">
        <v>2</v>
      </c>
      <c r="AT774" s="5">
        <v>2.8799999999999999E-2</v>
      </c>
      <c r="AU774" s="5">
        <v>1E-3</v>
      </c>
      <c r="AV774" s="5">
        <v>1.4999999999999999E-2</v>
      </c>
      <c r="AW774" s="5">
        <v>0.04</v>
      </c>
      <c r="AX774" s="5">
        <v>197</v>
      </c>
      <c r="AY774" s="5">
        <v>0.03</v>
      </c>
    </row>
    <row r="775" spans="1:51" x14ac:dyDescent="0.25">
      <c r="A775" s="5" t="s">
        <v>210</v>
      </c>
      <c r="B775" s="5" t="e">
        <v>#N/A</v>
      </c>
      <c r="C775" s="5" t="e">
        <v>#N/A</v>
      </c>
      <c r="F775" s="10" t="s">
        <v>262</v>
      </c>
      <c r="G775" s="5" t="s">
        <v>61</v>
      </c>
      <c r="H775" s="5" t="s">
        <v>57</v>
      </c>
      <c r="I775" s="5">
        <v>9139</v>
      </c>
      <c r="J775" s="5" t="str">
        <f>IFERROR(VLOOKUP(I775,[1]INFO_LOCALES!$B:$C,2,FALSE),"")</f>
        <v>CD LO AGUIRRE</v>
      </c>
      <c r="K775" s="5" t="str">
        <f>IFERROR(VLOOKUP(Tabla2[[#This Row],[TIENDA]],[1]INFO_LOCALES!$B:$D,3,FALSE),"")</f>
        <v>RM - Santiago</v>
      </c>
      <c r="L775" s="5" t="str">
        <f>IFERROR(VLOOKUP(I775,[1]INFO_LOCALES!$B:$I,8,FALSE),"")</f>
        <v>Pudahuel</v>
      </c>
      <c r="M775" s="5" t="str">
        <f>IFERROR(VLOOKUP(I775,[1]INFO_LOCALES!$B:$H,7,FALSE),"")</f>
        <v>CAMINO LO AGUIRRE SUR 537</v>
      </c>
      <c r="N775" s="5">
        <f>IFERROR(VLOOKUP(I775,[1]INFO_LOCALES!$B:$E,4,FALSE),"")</f>
        <v>3552</v>
      </c>
      <c r="O775" s="5" t="str">
        <f>VLOOKUP(Tabla2[[#This Row],[TIENDA]],[1]INFO_LOCALES!$B:$J,9,0)</f>
        <v>SIN CONVENIO</v>
      </c>
      <c r="P775" s="5" t="str">
        <f>IFERROR(VLOOKUP(I775,[1]INFO_LOCALES!$B:$F,5,FALSE),"")</f>
        <v>AGUAS IZARRA</v>
      </c>
      <c r="Q775" s="5" t="s">
        <v>85</v>
      </c>
      <c r="R775" s="5" t="s">
        <v>86</v>
      </c>
      <c r="S775" s="6"/>
      <c r="T775" s="5" t="str">
        <f>UPPER(IF(Tabla2[[#This Row],[FECHA DE MUESTREO ]]=0,"",TEXT(Tabla2[[#This Row],[FECHA DE MUESTREO ]],("MMMM"))))</f>
        <v>DICIEMBRE</v>
      </c>
      <c r="U775" s="6">
        <v>46020</v>
      </c>
      <c r="V775" s="5" t="s">
        <v>59</v>
      </c>
      <c r="W7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75" s="7">
        <f t="shared" si="28"/>
        <v>1</v>
      </c>
      <c r="Y775" s="5">
        <v>4.4000000000000004</v>
      </c>
      <c r="Z775" s="5">
        <v>6.89</v>
      </c>
      <c r="AA775" s="5">
        <v>4</v>
      </c>
      <c r="AB775" s="5">
        <v>18.95</v>
      </c>
      <c r="AC775" s="5">
        <v>47</v>
      </c>
      <c r="AD775" s="5">
        <v>3</v>
      </c>
      <c r="AE775" s="5">
        <v>25</v>
      </c>
      <c r="AF775" s="5">
        <v>0.4</v>
      </c>
      <c r="AG775" s="5">
        <v>6</v>
      </c>
      <c r="AH775" s="5">
        <v>59.04</v>
      </c>
      <c r="AI775" s="5">
        <f t="shared" ref="AI775:AI838" si="29">AH775*30</f>
        <v>1771.2</v>
      </c>
      <c r="AS775" s="5">
        <v>0</v>
      </c>
    </row>
    <row r="776" spans="1:51" x14ac:dyDescent="0.25">
      <c r="A776" s="5" t="s">
        <v>52</v>
      </c>
      <c r="B776" s="5" t="s">
        <v>128</v>
      </c>
      <c r="C776" s="5" t="s">
        <v>77</v>
      </c>
      <c r="D776" s="5">
        <v>2025</v>
      </c>
      <c r="F776" s="10" t="s">
        <v>262</v>
      </c>
      <c r="G776" s="5" t="s">
        <v>61</v>
      </c>
      <c r="H776" s="5" t="s">
        <v>57</v>
      </c>
      <c r="I776" s="5">
        <v>6</v>
      </c>
      <c r="J776" s="5" t="str">
        <f>IFERROR(VLOOKUP(I776,[1]INFO_LOCALES!$B:$C,2,FALSE),"")</f>
        <v>SINDEMPART</v>
      </c>
      <c r="K776" s="5" t="str">
        <f>IFERROR(VLOOKUP(Tabla2[[#This Row],[TIENDA]],[1]INFO_LOCALES!$B:$D,3,FALSE),"")</f>
        <v>IV - Coquimbo</v>
      </c>
      <c r="L776" s="5" t="str">
        <f>IFERROR(VLOOKUP(I776,[1]INFO_LOCALES!$B:$I,8,FALSE),"")</f>
        <v>Coquimbo</v>
      </c>
      <c r="M776" s="5" t="str">
        <f>IFERROR(VLOOKUP(I776,[1]INFO_LOCALES!$B:$H,7,FALSE),"")</f>
        <v>El Sauce 981</v>
      </c>
      <c r="N776" s="5">
        <f>IFERROR(VLOOKUP(I776,[1]INFO_LOCALES!$B:$E,4,FALSE),"")</f>
        <v>0</v>
      </c>
      <c r="O776" s="5" t="str">
        <f>VLOOKUP(Tabla2[[#This Row],[TIENDA]],[1]INFO_LOCALES!$B:$J,9,0)</f>
        <v>SIN CONVENIO</v>
      </c>
      <c r="P776" s="8" t="str">
        <f>IFERROR(VLOOKUP(I776,[1]INFO_LOCALES!$B:$F,5,FALSE),"")</f>
        <v>AGUAS DEL VALLE S A</v>
      </c>
      <c r="Q776" s="5" t="s">
        <v>85</v>
      </c>
      <c r="R776" s="5" t="s">
        <v>86</v>
      </c>
      <c r="S776" s="6"/>
      <c r="T776" s="5" t="str">
        <f>UPPER(IF(Tabla2[[#This Row],[FECHA DE MUESTREO ]]=0,"",TEXT(Tabla2[[#This Row],[FECHA DE MUESTREO ]],("MMMM"))))</f>
        <v>DICIEMBRE</v>
      </c>
      <c r="U776" s="6">
        <v>46014</v>
      </c>
      <c r="V776" s="5" t="s">
        <v>59</v>
      </c>
      <c r="W7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76" s="7">
        <f t="shared" si="28"/>
        <v>1</v>
      </c>
      <c r="Y776" s="5">
        <v>13.9</v>
      </c>
      <c r="Z776" s="5">
        <v>7.86</v>
      </c>
      <c r="AA776" s="5">
        <v>2</v>
      </c>
      <c r="AB776" s="5">
        <v>22.86</v>
      </c>
      <c r="AC776" s="5">
        <v>214</v>
      </c>
      <c r="AD776" s="5">
        <v>5.5</v>
      </c>
      <c r="AE776" s="5">
        <v>14</v>
      </c>
      <c r="AF776" s="5">
        <v>0.5</v>
      </c>
      <c r="AG776" s="5">
        <v>33</v>
      </c>
      <c r="AH776" s="5">
        <v>0.71</v>
      </c>
      <c r="AI776" s="5">
        <f t="shared" si="29"/>
        <v>21.299999999999997</v>
      </c>
    </row>
    <row r="777" spans="1:51" x14ac:dyDescent="0.25">
      <c r="A777" s="5" t="s">
        <v>52</v>
      </c>
      <c r="B777" s="5" t="s">
        <v>73</v>
      </c>
      <c r="C777" s="5" t="s">
        <v>74</v>
      </c>
      <c r="F777" s="10" t="s">
        <v>262</v>
      </c>
      <c r="G777" s="5" t="s">
        <v>61</v>
      </c>
      <c r="H777" s="5" t="s">
        <v>57</v>
      </c>
      <c r="I777" s="5">
        <v>442</v>
      </c>
      <c r="J777" s="5" t="str">
        <f>IFERROR(VLOOKUP(I777,[1]INFO_LOCALES!$B:$C,2,FALSE),"")</f>
        <v>COYHAIQUE</v>
      </c>
      <c r="K777" s="5" t="str">
        <f>IFERROR(VLOOKUP(Tabla2[[#This Row],[TIENDA]],[1]INFO_LOCALES!$B:$D,3,FALSE),"")</f>
        <v>XI - Aysén</v>
      </c>
      <c r="L777" s="5" t="str">
        <f>IFERROR(VLOOKUP(I777,[1]INFO_LOCALES!$B:$I,8,FALSE),"")</f>
        <v>Coyhaique</v>
      </c>
      <c r="M777" s="5" t="str">
        <f>IFERROR(VLOOKUP(I777,[1]INFO_LOCALES!$B:$H,7,FALSE),"")</f>
        <v>Lautaro 331</v>
      </c>
      <c r="N777" s="5">
        <f>IFERROR(VLOOKUP(I777,[1]INFO_LOCALES!$B:$E,4,FALSE),"")</f>
        <v>1320</v>
      </c>
      <c r="O777" s="5" t="str">
        <f>VLOOKUP(Tabla2[[#This Row],[TIENDA]],[1]INFO_LOCALES!$B:$J,9,0)</f>
        <v>SIN CONVENIO</v>
      </c>
      <c r="P777" s="5" t="str">
        <f>IFERROR(VLOOKUP(I777,[1]INFO_LOCALES!$B:$F,5,FALSE),"")</f>
        <v>AGUAS PATAGONIA</v>
      </c>
      <c r="Q777" s="5" t="s">
        <v>144</v>
      </c>
      <c r="R777" s="5" t="s">
        <v>86</v>
      </c>
      <c r="S777" s="6"/>
      <c r="T777" s="5" t="str">
        <f>UPPER(IF(Tabla2[[#This Row],[FECHA DE MUESTREO ]]=0,"",TEXT(Tabla2[[#This Row],[FECHA DE MUESTREO ]],("MMMM"))))</f>
        <v>DICIEMBRE</v>
      </c>
      <c r="U777" s="6">
        <v>46007</v>
      </c>
      <c r="V777" s="5" t="s">
        <v>118</v>
      </c>
      <c r="W7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77" s="7">
        <f t="shared" si="28"/>
        <v>1</v>
      </c>
      <c r="Y777" s="5">
        <v>0.5</v>
      </c>
      <c r="Z777" s="5">
        <v>7.27</v>
      </c>
      <c r="AA777" s="5">
        <v>2</v>
      </c>
      <c r="AB777" s="5">
        <v>10.8</v>
      </c>
      <c r="AC777" s="5">
        <v>55.1</v>
      </c>
      <c r="AD777" s="5">
        <v>4.1500000000000004</v>
      </c>
      <c r="AE777" s="5">
        <v>17</v>
      </c>
      <c r="AF777" s="5">
        <v>0.1</v>
      </c>
      <c r="AG777" s="5">
        <v>12</v>
      </c>
      <c r="AH777" s="5">
        <v>41.6</v>
      </c>
      <c r="AI777" s="5">
        <f t="shared" si="29"/>
        <v>1248</v>
      </c>
      <c r="AJ777" s="5">
        <v>4.2000000000000003E-2</v>
      </c>
      <c r="AK777" s="5">
        <v>1E-3</v>
      </c>
      <c r="AL777" s="5">
        <v>0.02</v>
      </c>
      <c r="AM777" s="5">
        <v>2E-3</v>
      </c>
      <c r="AN777" s="5">
        <v>0.02</v>
      </c>
      <c r="AO777" s="5">
        <v>4.7E-2</v>
      </c>
      <c r="AP777" s="5">
        <v>5.0000000000000001E-3</v>
      </c>
      <c r="AQ777" s="5">
        <v>5.0000000000000001E-3</v>
      </c>
      <c r="AR777" s="5">
        <v>0.02</v>
      </c>
      <c r="AS777" s="5">
        <v>0.5</v>
      </c>
      <c r="AT777" s="5">
        <v>0.01</v>
      </c>
      <c r="AU777" s="5">
        <v>5.0000000000000001E-4</v>
      </c>
      <c r="AV777" s="5">
        <v>0.01</v>
      </c>
      <c r="AW777" s="5">
        <v>0.02</v>
      </c>
      <c r="AX777" s="5">
        <v>15.6</v>
      </c>
      <c r="AY777" s="5">
        <v>0.1</v>
      </c>
    </row>
    <row r="778" spans="1:51" x14ac:dyDescent="0.25">
      <c r="A778" s="5" t="s">
        <v>52</v>
      </c>
      <c r="B778" s="5" t="s">
        <v>146</v>
      </c>
      <c r="C778" s="5" t="s">
        <v>70</v>
      </c>
      <c r="F778" s="5" t="s">
        <v>58</v>
      </c>
      <c r="G778" s="5" t="s">
        <v>229</v>
      </c>
      <c r="H778" s="5" t="s">
        <v>277</v>
      </c>
      <c r="I778" s="5">
        <v>905</v>
      </c>
      <c r="J778" s="5" t="str">
        <f>IFERROR(VLOOKUP(I778,[1]INFO_LOCALES!$B:$C,2,FALSE),"")</f>
        <v>VICENTE VALDES</v>
      </c>
      <c r="K778" s="5" t="str">
        <f>IFERROR(VLOOKUP(Tabla2[[#This Row],[TIENDA]],[1]INFO_LOCALES!$B:$D,3,FALSE),"")</f>
        <v>RM - Santiago</v>
      </c>
      <c r="L778" s="5" t="str">
        <f>IFERROR(VLOOKUP(I778,[1]INFO_LOCALES!$B:$I,8,FALSE),"")</f>
        <v>La Florida</v>
      </c>
      <c r="M778" s="5" t="str">
        <f>IFERROR(VLOOKUP(I778,[1]INFO_LOCALES!$B:$H,7,FALSE),"")</f>
        <v>Vicuña Mackenna 7802</v>
      </c>
      <c r="N778" s="5">
        <f>IFERROR(VLOOKUP(I778,[1]INFO_LOCALES!$B:$E,4,FALSE),"")</f>
        <v>0</v>
      </c>
      <c r="O778" s="5" t="str">
        <f>VLOOKUP(Tabla2[[#This Row],[TIENDA]],[1]INFO_LOCALES!$B:$J,9,0)</f>
        <v>SIN CONVENIO</v>
      </c>
      <c r="P778" s="5" t="str">
        <f>IFERROR(VLOOKUP(I778,[1]INFO_LOCALES!$B:$F,5,FALSE),"")</f>
        <v>AGUAS ANDINAS S.A.</v>
      </c>
      <c r="Q778" s="5" t="s">
        <v>113</v>
      </c>
      <c r="R778" s="5" t="s">
        <v>58</v>
      </c>
      <c r="S778" s="6"/>
      <c r="T778" s="5" t="str">
        <f>UPPER(IF(Tabla2[[#This Row],[FECHA DE MUESTREO ]]=0,"",TEXT(Tabla2[[#This Row],[FECHA DE MUESTREO ]],("MMMM"))))</f>
        <v>OCTUBRE</v>
      </c>
      <c r="U778" s="6">
        <v>45939</v>
      </c>
      <c r="V778" s="5" t="s">
        <v>59</v>
      </c>
      <c r="W7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78" s="7">
        <f t="shared" si="28"/>
        <v>2</v>
      </c>
      <c r="Y778" s="5">
        <v>83</v>
      </c>
      <c r="Z778" s="5">
        <v>8.7200000000000006</v>
      </c>
      <c r="AA778" s="5">
        <v>4.7</v>
      </c>
      <c r="AB778" s="5">
        <v>27.1</v>
      </c>
      <c r="AC778" s="5">
        <v>584</v>
      </c>
      <c r="AD778" s="5">
        <v>8.1300000000000008</v>
      </c>
      <c r="AE778" s="5">
        <v>53.02</v>
      </c>
      <c r="AF778" s="5">
        <v>10</v>
      </c>
      <c r="AG778" s="5">
        <v>333</v>
      </c>
      <c r="AH778" s="5">
        <f ca="1">Tabla2[[#This Row],[VOLUMEN DE DESCARGA MENSUAL (M3/M)]]*30</f>
        <v>0</v>
      </c>
      <c r="AI778" s="5">
        <f t="shared" ca="1" si="29"/>
        <v>0</v>
      </c>
    </row>
    <row r="779" spans="1:51" x14ac:dyDescent="0.25">
      <c r="A779" s="5" t="s">
        <v>52</v>
      </c>
      <c r="B779" s="5" t="s">
        <v>90</v>
      </c>
      <c r="C779" s="5" t="s">
        <v>81</v>
      </c>
      <c r="F779" s="5" t="s">
        <v>58</v>
      </c>
      <c r="G779" s="5" t="s">
        <v>229</v>
      </c>
      <c r="H779" s="5" t="s">
        <v>57</v>
      </c>
      <c r="I779" s="5">
        <v>778</v>
      </c>
      <c r="J779" s="5" t="str">
        <f>IFERROR(VLOOKUP(I779,[1]INFO_LOCALES!$B:$C,2,FALSE),"")</f>
        <v>ORIENTE</v>
      </c>
      <c r="K779" s="5" t="str">
        <f>IFERROR(VLOOKUP(Tabla2[[#This Row],[TIENDA]],[1]INFO_LOCALES!$B:$D,3,FALSE),"")</f>
        <v>X - Los Lagos</v>
      </c>
      <c r="L779" s="5" t="str">
        <f>IFERROR(VLOOKUP(I779,[1]INFO_LOCALES!$B:$I,8,FALSE),"")</f>
        <v>Osorno</v>
      </c>
      <c r="M779" s="5" t="str">
        <f>IFERROR(VLOOKUP(I779,[1]INFO_LOCALES!$B:$H,7,FALSE),"")</f>
        <v>Julio Buschman 2223</v>
      </c>
      <c r="N779" s="5">
        <f>IFERROR(VLOOKUP(I779,[1]INFO_LOCALES!$B:$E,4,FALSE),"")</f>
        <v>2867</v>
      </c>
      <c r="O779" s="5" t="str">
        <f>VLOOKUP(Tabla2[[#This Row],[TIENDA]],[1]INFO_LOCALES!$B:$J,9,0)</f>
        <v>CONVENIO</v>
      </c>
      <c r="P779" s="5" t="str">
        <f>IFERROR(VLOOKUP(I779,[1]INFO_LOCALES!$B:$F,5,FALSE),"")</f>
        <v>SURALIS</v>
      </c>
      <c r="Q779" s="5" t="s">
        <v>215</v>
      </c>
      <c r="R779" s="5" t="s">
        <v>58</v>
      </c>
      <c r="S779" s="6"/>
      <c r="T779" s="5" t="str">
        <f>UPPER(IF(Tabla2[[#This Row],[FECHA DE MUESTREO ]]=0,"",TEXT(Tabla2[[#This Row],[FECHA DE MUESTREO ]],("MMMM"))))</f>
        <v>NOVIEMBRE</v>
      </c>
      <c r="U779" s="6">
        <v>45975</v>
      </c>
      <c r="V779" s="5" t="s">
        <v>59</v>
      </c>
      <c r="W7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79" s="7">
        <f t="shared" si="28"/>
        <v>1</v>
      </c>
      <c r="Y779" s="5">
        <v>14</v>
      </c>
      <c r="Z779" s="5">
        <v>7.3</v>
      </c>
      <c r="AA779" s="5">
        <v>2</v>
      </c>
      <c r="AB779" s="5">
        <v>13.2</v>
      </c>
      <c r="AC779" s="5">
        <v>183</v>
      </c>
      <c r="AD779" s="5">
        <v>7.9</v>
      </c>
      <c r="AE779" s="5">
        <v>74.900000000000006</v>
      </c>
      <c r="AF779" s="5">
        <v>0.5</v>
      </c>
      <c r="AG779" s="5">
        <v>75</v>
      </c>
      <c r="AH779" s="5">
        <v>11.9</v>
      </c>
      <c r="AI779" s="5">
        <f t="shared" si="29"/>
        <v>357</v>
      </c>
    </row>
    <row r="780" spans="1:51" x14ac:dyDescent="0.25">
      <c r="A780" s="5" t="s">
        <v>52</v>
      </c>
      <c r="B780" s="5" t="s">
        <v>90</v>
      </c>
      <c r="C780" s="5" t="s">
        <v>81</v>
      </c>
      <c r="E780" s="5" t="s">
        <v>278</v>
      </c>
      <c r="F780" s="5" t="s">
        <v>58</v>
      </c>
      <c r="G780" s="5" t="s">
        <v>61</v>
      </c>
      <c r="H780" s="5" t="s">
        <v>57</v>
      </c>
      <c r="I780" s="5">
        <v>777</v>
      </c>
      <c r="J780" s="5" t="str">
        <f>IFERROR(VLOOKUP(I780,[1]INFO_LOCALES!$B:$C,2,FALSE),"")</f>
        <v>CENTRAL</v>
      </c>
      <c r="K780" s="5" t="str">
        <f>IFERROR(VLOOKUP(Tabla2[[#This Row],[TIENDA]],[1]INFO_LOCALES!$B:$D,3,FALSE),"")</f>
        <v>X - Los Lagos</v>
      </c>
      <c r="L780" s="5" t="str">
        <f>IFERROR(VLOOKUP(I780,[1]INFO_LOCALES!$B:$I,8,FALSE),"")</f>
        <v>Osorno</v>
      </c>
      <c r="M780" s="5" t="str">
        <f>IFERROR(VLOOKUP(I780,[1]INFO_LOCALES!$B:$H,7,FALSE),"")</f>
        <v>Patricio Lynch 1278</v>
      </c>
      <c r="N780" s="5">
        <f>IFERROR(VLOOKUP(I780,[1]INFO_LOCALES!$B:$E,4,FALSE),"")</f>
        <v>3684</v>
      </c>
      <c r="O780" s="5" t="str">
        <f>VLOOKUP(Tabla2[[#This Row],[TIENDA]],[1]INFO_LOCALES!$B:$J,9,0)</f>
        <v>CONVENIO</v>
      </c>
      <c r="P780" s="5" t="str">
        <f>IFERROR(VLOOKUP(I780,[1]INFO_LOCALES!$B:$F,5,FALSE),"")</f>
        <v>SURALIS</v>
      </c>
      <c r="Q780" s="5" t="s">
        <v>105</v>
      </c>
      <c r="R780" s="5" t="s">
        <v>58</v>
      </c>
      <c r="S780" s="6"/>
      <c r="T780" s="5" t="str">
        <f>UPPER(IF(Tabla2[[#This Row],[FECHA DE MUESTREO ]]=0,"",TEXT(Tabla2[[#This Row],[FECHA DE MUESTREO ]],("MMMM"))))</f>
        <v>NOVIEMBRE</v>
      </c>
      <c r="U780" s="6">
        <v>45967</v>
      </c>
      <c r="V780" s="5" t="s">
        <v>59</v>
      </c>
      <c r="W7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780" s="7">
        <f t="shared" si="28"/>
        <v>3</v>
      </c>
      <c r="Y780" s="5">
        <v>35</v>
      </c>
      <c r="Z780" s="5">
        <v>6.9</v>
      </c>
      <c r="AA780" s="5">
        <v>39</v>
      </c>
      <c r="AB780" s="5">
        <v>14.2</v>
      </c>
      <c r="AC780" s="5">
        <v>890</v>
      </c>
      <c r="AD780" s="5">
        <v>8.6</v>
      </c>
      <c r="AE780" s="5">
        <v>12.85</v>
      </c>
      <c r="AF780" s="5">
        <v>0.5</v>
      </c>
      <c r="AG780" s="5">
        <v>553</v>
      </c>
      <c r="AH780" s="5">
        <v>2.5</v>
      </c>
      <c r="AI780" s="5">
        <f t="shared" si="29"/>
        <v>75</v>
      </c>
    </row>
    <row r="781" spans="1:51" x14ac:dyDescent="0.25">
      <c r="A781" s="5" t="s">
        <v>52</v>
      </c>
      <c r="B781" s="5" t="s">
        <v>93</v>
      </c>
      <c r="C781" s="5" t="s">
        <v>81</v>
      </c>
      <c r="F781" s="5" t="s">
        <v>58</v>
      </c>
      <c r="G781" s="5" t="s">
        <v>229</v>
      </c>
      <c r="H781" s="5" t="s">
        <v>249</v>
      </c>
      <c r="I781" s="5">
        <v>576</v>
      </c>
      <c r="J781" s="5" t="str">
        <f>IFERROR(VLOOKUP(I781,[1]INFO_LOCALES!$B:$C,2,FALSE),"")</f>
        <v>CASTRO I</v>
      </c>
      <c r="K781" s="5" t="str">
        <f>IFERROR(VLOOKUP(Tabla2[[#This Row],[TIENDA]],[1]INFO_LOCALES!$B:$D,3,FALSE),"")</f>
        <v>X - Los Lagos</v>
      </c>
      <c r="L781" s="5" t="str">
        <f>IFERROR(VLOOKUP(I781,[1]INFO_LOCALES!$B:$I,8,FALSE),"")</f>
        <v>Castro</v>
      </c>
      <c r="M781" s="5" t="str">
        <f>IFERROR(VLOOKUP(I781,[1]INFO_LOCALES!$B:$H,7,FALSE),"")</f>
        <v>O'Higgins 711</v>
      </c>
      <c r="N781" s="5">
        <f>IFERROR(VLOOKUP(I781,[1]INFO_LOCALES!$B:$E,4,FALSE),"")</f>
        <v>3875</v>
      </c>
      <c r="O781" s="5" t="str">
        <f>VLOOKUP(Tabla2[[#This Row],[TIENDA]],[1]INFO_LOCALES!$B:$J,9,0)</f>
        <v>SIN CONVENIO</v>
      </c>
      <c r="P781" s="5" t="str">
        <f>IFERROR(VLOOKUP(I781,[1]INFO_LOCALES!$B:$F,5,FALSE),"")</f>
        <v>SURALIS</v>
      </c>
      <c r="Q781" s="5" t="s">
        <v>215</v>
      </c>
      <c r="R781" s="5" t="s">
        <v>58</v>
      </c>
      <c r="S781" s="6"/>
      <c r="T781" s="5" t="str">
        <f>UPPER(IF(Tabla2[[#This Row],[FECHA DE MUESTREO ]]=0,"",TEXT(Tabla2[[#This Row],[FECHA DE MUESTREO ]],("MMMM"))))</f>
        <v>NOVIEMBRE</v>
      </c>
      <c r="U781" s="6">
        <v>45982</v>
      </c>
      <c r="V781" s="5" t="s">
        <v>59</v>
      </c>
      <c r="W7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81" s="7">
        <f t="shared" si="28"/>
        <v>2</v>
      </c>
      <c r="Y781" s="5">
        <v>21</v>
      </c>
      <c r="Z781" s="5">
        <v>7.8</v>
      </c>
      <c r="AA781" s="5">
        <v>8</v>
      </c>
      <c r="AB781" s="5">
        <v>15.4</v>
      </c>
      <c r="AC781" s="5">
        <v>409</v>
      </c>
      <c r="AD781" s="5">
        <v>12.8</v>
      </c>
      <c r="AE781" s="5">
        <v>49.67</v>
      </c>
      <c r="AF781" s="5">
        <v>0.5</v>
      </c>
      <c r="AG781" s="5">
        <v>165</v>
      </c>
      <c r="AH781" s="5">
        <v>5.5</v>
      </c>
      <c r="AI781" s="5">
        <f t="shared" si="29"/>
        <v>165</v>
      </c>
    </row>
    <row r="782" spans="1:51" x14ac:dyDescent="0.25">
      <c r="A782" s="5" t="s">
        <v>52</v>
      </c>
      <c r="B782" s="5" t="s">
        <v>90</v>
      </c>
      <c r="C782" s="5" t="s">
        <v>81</v>
      </c>
      <c r="F782" s="5" t="s">
        <v>58</v>
      </c>
      <c r="G782" s="5" t="s">
        <v>229</v>
      </c>
      <c r="H782" s="5" t="s">
        <v>57</v>
      </c>
      <c r="I782" s="5">
        <v>544</v>
      </c>
      <c r="J782" s="5" t="str">
        <f>IFERROR(VLOOKUP(I782,[1]INFO_LOCALES!$B:$C,2,FALSE),"")</f>
        <v>PURRANQUE</v>
      </c>
      <c r="K782" s="5" t="str">
        <f>IFERROR(VLOOKUP(Tabla2[[#This Row],[TIENDA]],[1]INFO_LOCALES!$B:$D,3,FALSE),"")</f>
        <v>X - Los Lagos</v>
      </c>
      <c r="L782" s="5" t="str">
        <f>IFERROR(VLOOKUP(I782,[1]INFO_LOCALES!$B:$I,8,FALSE),"")</f>
        <v>Purranque</v>
      </c>
      <c r="M782" s="5" t="str">
        <f>IFERROR(VLOOKUP(I782,[1]INFO_LOCALES!$B:$H,7,FALSE),"")</f>
        <v>Eleuterio Ramirez 549</v>
      </c>
      <c r="N782" s="5">
        <f>IFERROR(VLOOKUP(I782,[1]INFO_LOCALES!$B:$E,4,FALSE),"")</f>
        <v>0</v>
      </c>
      <c r="O782" s="5" t="str">
        <f>VLOOKUP(Tabla2[[#This Row],[TIENDA]],[1]INFO_LOCALES!$B:$J,9,0)</f>
        <v>SIN CONVENIO</v>
      </c>
      <c r="P782" s="5" t="str">
        <f>IFERROR(VLOOKUP(I782,[1]INFO_LOCALES!$B:$F,5,FALSE),"")</f>
        <v>SURALIS</v>
      </c>
      <c r="Q782" s="5" t="s">
        <v>215</v>
      </c>
      <c r="R782" s="5" t="s">
        <v>58</v>
      </c>
      <c r="S782" s="6"/>
      <c r="T782" s="5" t="str">
        <f>UPPER(IF(Tabla2[[#This Row],[FECHA DE MUESTREO ]]=0,"",TEXT(Tabla2[[#This Row],[FECHA DE MUESTREO ]],("MMMM"))))</f>
        <v>NOVIEMBRE</v>
      </c>
      <c r="U782" s="6">
        <v>45991</v>
      </c>
      <c r="V782" s="5" t="s">
        <v>59</v>
      </c>
      <c r="W7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82" s="7">
        <f t="shared" si="28"/>
        <v>1</v>
      </c>
      <c r="Y782" s="5">
        <v>26</v>
      </c>
      <c r="Z782" s="5">
        <v>7.6</v>
      </c>
      <c r="AA782" s="5">
        <v>2</v>
      </c>
      <c r="AB782" s="5">
        <v>19.399999999999999</v>
      </c>
      <c r="AC782" s="5">
        <v>273</v>
      </c>
      <c r="AD782" s="5">
        <v>7.6</v>
      </c>
      <c r="AE782" s="5">
        <v>38.700000000000003</v>
      </c>
      <c r="AF782" s="5">
        <v>1.5</v>
      </c>
      <c r="AG782" s="5">
        <v>133</v>
      </c>
      <c r="AH782" s="5">
        <v>4.9000000000000004</v>
      </c>
      <c r="AI782" s="5">
        <f t="shared" si="29"/>
        <v>147</v>
      </c>
    </row>
    <row r="783" spans="1:51" x14ac:dyDescent="0.25">
      <c r="A783" s="5" t="s">
        <v>52</v>
      </c>
      <c r="B783" s="5" t="s">
        <v>149</v>
      </c>
      <c r="C783" s="5" t="s">
        <v>81</v>
      </c>
      <c r="F783" s="5" t="s">
        <v>58</v>
      </c>
      <c r="G783" s="5" t="s">
        <v>229</v>
      </c>
      <c r="H783" s="5" t="s">
        <v>57</v>
      </c>
      <c r="I783" s="5">
        <v>773</v>
      </c>
      <c r="J783" s="5" t="str">
        <f>IFERROR(VLOOKUP(I783,[1]INFO_LOCALES!$B:$C,2,FALSE),"")</f>
        <v>LLANQUIHUE</v>
      </c>
      <c r="K783" s="5" t="str">
        <f>IFERROR(VLOOKUP(Tabla2[[#This Row],[TIENDA]],[1]INFO_LOCALES!$B:$D,3,FALSE),"")</f>
        <v>X - Los Lagos</v>
      </c>
      <c r="L783" s="5" t="str">
        <f>IFERROR(VLOOKUP(I783,[1]INFO_LOCALES!$B:$I,8,FALSE),"")</f>
        <v>Llanquihue</v>
      </c>
      <c r="M783" s="5" t="str">
        <f>IFERROR(VLOOKUP(I783,[1]INFO_LOCALES!$B:$H,7,FALSE),"")</f>
        <v>Baquedano 612</v>
      </c>
      <c r="N783" s="5">
        <f>IFERROR(VLOOKUP(I783,[1]INFO_LOCALES!$B:$E,4,FALSE),"")</f>
        <v>0</v>
      </c>
      <c r="O783" s="5" t="str">
        <f>VLOOKUP(Tabla2[[#This Row],[TIENDA]],[1]INFO_LOCALES!$B:$J,9,0)</f>
        <v>SIN CONVENIO</v>
      </c>
      <c r="P783" s="5" t="str">
        <f>IFERROR(VLOOKUP(I783,[1]INFO_LOCALES!$B:$F,5,FALSE),"")</f>
        <v>SURALIS</v>
      </c>
      <c r="Q783" s="5" t="s">
        <v>215</v>
      </c>
      <c r="R783" s="5" t="s">
        <v>58</v>
      </c>
      <c r="S783" s="6"/>
      <c r="T783" s="5" t="str">
        <f>UPPER(IF(Tabla2[[#This Row],[FECHA DE MUESTREO ]]=0,"",TEXT(Tabla2[[#This Row],[FECHA DE MUESTREO ]],("MMMM"))))</f>
        <v>NOVIEMBRE</v>
      </c>
      <c r="U783" s="6">
        <v>45982</v>
      </c>
      <c r="V783" s="5" t="s">
        <v>59</v>
      </c>
      <c r="W7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83" s="7">
        <f t="shared" si="28"/>
        <v>1</v>
      </c>
      <c r="Y783" s="5">
        <v>16</v>
      </c>
      <c r="Z783" s="5">
        <v>7.8</v>
      </c>
      <c r="AA783" s="5">
        <v>2</v>
      </c>
      <c r="AB783" s="5">
        <v>14.4</v>
      </c>
      <c r="AC783" s="5">
        <v>95</v>
      </c>
      <c r="AD783" s="5">
        <v>4.3</v>
      </c>
      <c r="AE783" s="5">
        <v>12.9</v>
      </c>
      <c r="AF783" s="5">
        <v>3</v>
      </c>
      <c r="AG783" s="5">
        <v>64</v>
      </c>
      <c r="AH783" s="5">
        <v>5.3</v>
      </c>
      <c r="AI783" s="5">
        <f t="shared" si="29"/>
        <v>159</v>
      </c>
    </row>
    <row r="784" spans="1:51" x14ac:dyDescent="0.25">
      <c r="A784" s="5" t="s">
        <v>52</v>
      </c>
      <c r="B784" s="5" t="s">
        <v>93</v>
      </c>
      <c r="C784" s="5" t="s">
        <v>81</v>
      </c>
      <c r="E784" s="5" t="s">
        <v>271</v>
      </c>
      <c r="F784" s="5" t="s">
        <v>58</v>
      </c>
      <c r="G784" s="5" t="s">
        <v>229</v>
      </c>
      <c r="H784" s="5" t="s">
        <v>57</v>
      </c>
      <c r="I784" s="5">
        <v>769</v>
      </c>
      <c r="J784" s="5" t="str">
        <f>IFERROR(VLOOKUP(I784,[1]INFO_LOCALES!$B:$C,2,FALSE),"")</f>
        <v>CALBUCO</v>
      </c>
      <c r="K784" s="5" t="str">
        <f>IFERROR(VLOOKUP(Tabla2[[#This Row],[TIENDA]],[1]INFO_LOCALES!$B:$D,3,FALSE),"")</f>
        <v>X - Los Lagos</v>
      </c>
      <c r="L784" s="5" t="str">
        <f>IFERROR(VLOOKUP(I784,[1]INFO_LOCALES!$B:$I,8,FALSE),"")</f>
        <v>Calbuco</v>
      </c>
      <c r="M784" s="5" t="str">
        <f>IFERROR(VLOOKUP(I784,[1]INFO_LOCALES!$B:$H,7,FALSE),"")</f>
        <v>Federico Errazuriz 211</v>
      </c>
      <c r="N784" s="5">
        <f>IFERROR(VLOOKUP(I784,[1]INFO_LOCALES!$B:$E,4,FALSE),"")</f>
        <v>0</v>
      </c>
      <c r="O784" s="5" t="str">
        <f>VLOOKUP(Tabla2[[#This Row],[TIENDA]],[1]INFO_LOCALES!$B:$J,9,0)</f>
        <v>SIN CONVENIO</v>
      </c>
      <c r="P784" s="5" t="str">
        <f>IFERROR(VLOOKUP(I784,[1]INFO_LOCALES!$B:$F,5,FALSE),"")</f>
        <v>SURALIS</v>
      </c>
      <c r="Q784" s="5" t="s">
        <v>215</v>
      </c>
      <c r="R784" s="5" t="s">
        <v>58</v>
      </c>
      <c r="S784" s="6"/>
      <c r="T784" s="5" t="str">
        <f>UPPER(IF(Tabla2[[#This Row],[FECHA DE MUESTREO ]]=0,"",TEXT(Tabla2[[#This Row],[FECHA DE MUESTREO ]],("MMMM"))))</f>
        <v>NOVIEMBRE</v>
      </c>
      <c r="U784" s="6">
        <v>45988</v>
      </c>
      <c r="V784" s="5" t="s">
        <v>59</v>
      </c>
      <c r="W7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84" s="7">
        <f t="shared" si="28"/>
        <v>2</v>
      </c>
      <c r="Y784" s="5">
        <v>29</v>
      </c>
      <c r="Z784" s="5">
        <v>7.1</v>
      </c>
      <c r="AA784" s="5">
        <v>2</v>
      </c>
      <c r="AB784" s="5">
        <v>14.8</v>
      </c>
      <c r="AC784" s="5">
        <v>546</v>
      </c>
      <c r="AD784" s="5">
        <v>13.1</v>
      </c>
      <c r="AE784" s="5">
        <v>68.63</v>
      </c>
      <c r="AF784" s="5">
        <v>1.5</v>
      </c>
      <c r="AG784" s="5">
        <v>252</v>
      </c>
      <c r="AH784" s="5">
        <v>3.6</v>
      </c>
      <c r="AI784" s="5">
        <f t="shared" si="29"/>
        <v>108</v>
      </c>
    </row>
    <row r="785" spans="1:51" x14ac:dyDescent="0.25">
      <c r="A785" s="5" t="s">
        <v>52</v>
      </c>
      <c r="B785" s="5" t="s">
        <v>149</v>
      </c>
      <c r="C785" s="5" t="s">
        <v>81</v>
      </c>
      <c r="F785" s="5" t="s">
        <v>58</v>
      </c>
      <c r="G785" s="5" t="s">
        <v>229</v>
      </c>
      <c r="H785" s="5" t="s">
        <v>57</v>
      </c>
      <c r="I785" s="5">
        <v>763</v>
      </c>
      <c r="J785" s="5" t="str">
        <f>IFERROR(VLOOKUP(I785,[1]INFO_LOCALES!$B:$C,2,FALSE),"")</f>
        <v>JUAN SOLER</v>
      </c>
      <c r="K785" s="5" t="str">
        <f>IFERROR(VLOOKUP(Tabla2[[#This Row],[TIENDA]],[1]INFO_LOCALES!$B:$D,3,FALSE),"")</f>
        <v>X - Los Lagos</v>
      </c>
      <c r="L785" s="5" t="str">
        <f>IFERROR(VLOOKUP(I785,[1]INFO_LOCALES!$B:$I,8,FALSE),"")</f>
        <v>Puerto Montt</v>
      </c>
      <c r="M785" s="5" t="str">
        <f>IFERROR(VLOOKUP(I785,[1]INFO_LOCALES!$B:$H,7,FALSE),"")</f>
        <v>Juan Soler Manfredini 51</v>
      </c>
      <c r="N785" s="5">
        <f>IFERROR(VLOOKUP(I785,[1]INFO_LOCALES!$B:$E,4,FALSE),"")</f>
        <v>0</v>
      </c>
      <c r="O785" s="5" t="str">
        <f>VLOOKUP(Tabla2[[#This Row],[TIENDA]],[1]INFO_LOCALES!$B:$J,9,0)</f>
        <v>SIN CONVENIO</v>
      </c>
      <c r="P785" s="5" t="str">
        <f>IFERROR(VLOOKUP(I785,[1]INFO_LOCALES!$B:$F,5,FALSE),"")</f>
        <v>SURALIS</v>
      </c>
      <c r="Q785" s="5" t="s">
        <v>215</v>
      </c>
      <c r="R785" s="5" t="s">
        <v>58</v>
      </c>
      <c r="S785" s="6"/>
      <c r="T785" s="5" t="str">
        <f>UPPER(IF(Tabla2[[#This Row],[FECHA DE MUESTREO ]]=0,"",TEXT(Tabla2[[#This Row],[FECHA DE MUESTREO ]],("MMMM"))))</f>
        <v>NOVIEMBRE</v>
      </c>
      <c r="U785" s="6">
        <v>45988</v>
      </c>
      <c r="V785" s="5" t="s">
        <v>59</v>
      </c>
      <c r="W7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85" s="7">
        <f t="shared" si="28"/>
        <v>1</v>
      </c>
      <c r="Y785" s="5">
        <v>35</v>
      </c>
      <c r="Z785" s="5">
        <v>6.9</v>
      </c>
      <c r="AA785" s="5">
        <v>2</v>
      </c>
      <c r="AB785" s="5">
        <v>15</v>
      </c>
      <c r="AC785" s="5">
        <v>232</v>
      </c>
      <c r="AD785" s="5">
        <v>6.3</v>
      </c>
      <c r="AE785" s="5">
        <v>36.380000000000003</v>
      </c>
      <c r="AF785" s="5">
        <v>0.5</v>
      </c>
      <c r="AG785" s="5">
        <v>110</v>
      </c>
      <c r="AH785" s="5">
        <v>6.85</v>
      </c>
      <c r="AI785" s="5">
        <f t="shared" si="29"/>
        <v>205.5</v>
      </c>
    </row>
    <row r="786" spans="1:51" x14ac:dyDescent="0.25">
      <c r="A786" s="5" t="s">
        <v>52</v>
      </c>
      <c r="B786" s="5" t="s">
        <v>128</v>
      </c>
      <c r="C786" s="5" t="s">
        <v>77</v>
      </c>
      <c r="D786" s="5">
        <v>2025</v>
      </c>
      <c r="F786" s="5" t="s">
        <v>58</v>
      </c>
      <c r="G786" s="5" t="s">
        <v>229</v>
      </c>
      <c r="H786" s="5" t="s">
        <v>57</v>
      </c>
      <c r="I786" s="5">
        <v>17</v>
      </c>
      <c r="J786" s="5" t="str">
        <f>IFERROR(VLOOKUP(I786,[1]INFO_LOCALES!$B:$C,2,FALSE),"")</f>
        <v>LOS ALAMOS</v>
      </c>
      <c r="K786" s="5" t="str">
        <f>IFERROR(VLOOKUP(Tabla2[[#This Row],[TIENDA]],[1]INFO_LOCALES!$B:$D,3,FALSE),"")</f>
        <v>IV - Coquimbo</v>
      </c>
      <c r="L786" s="5" t="str">
        <f>IFERROR(VLOOKUP(I786,[1]INFO_LOCALES!$B:$I,8,FALSE),"")</f>
        <v>Coquimbo</v>
      </c>
      <c r="M786" s="5" t="str">
        <f>IFERROR(VLOOKUP(I786,[1]INFO_LOCALES!$B:$H,7,FALSE),"")</f>
        <v>Los Alamos 580</v>
      </c>
      <c r="N786" s="5">
        <f>IFERROR(VLOOKUP(I786,[1]INFO_LOCALES!$B:$E,4,FALSE),"")</f>
        <v>2643</v>
      </c>
      <c r="O786" s="5" t="str">
        <f>VLOOKUP(Tabla2[[#This Row],[TIENDA]],[1]INFO_LOCALES!$B:$J,9,0)</f>
        <v>TERMINADO</v>
      </c>
      <c r="P786" s="5" t="str">
        <f>IFERROR(VLOOKUP(I786,[1]INFO_LOCALES!$B:$F,5,FALSE),"")</f>
        <v>AGUAS DEL VALLE S A</v>
      </c>
      <c r="Q786" s="5" t="s">
        <v>66</v>
      </c>
      <c r="R786" s="5" t="s">
        <v>58</v>
      </c>
      <c r="S786" s="6"/>
      <c r="T786" s="5" t="str">
        <f>UPPER(IF(Tabla2[[#This Row],[FECHA DE MUESTREO ]]=0,"",TEXT(Tabla2[[#This Row],[FECHA DE MUESTREO ]],("MMMM"))))</f>
        <v>NOVIEMBRE</v>
      </c>
      <c r="U786" s="6">
        <v>45972</v>
      </c>
      <c r="V786" s="5" t="s">
        <v>59</v>
      </c>
      <c r="W7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86" s="7">
        <f t="shared" si="28"/>
        <v>1</v>
      </c>
      <c r="Y786" s="5">
        <v>19.420000000000002</v>
      </c>
      <c r="Z786" s="5">
        <v>8.6999999999999993</v>
      </c>
      <c r="AA786" s="5">
        <v>2</v>
      </c>
      <c r="AB786" s="5">
        <v>18.100000000000001</v>
      </c>
      <c r="AC786" s="5">
        <v>242</v>
      </c>
      <c r="AD786" s="5">
        <v>6.92</v>
      </c>
      <c r="AE786" s="5">
        <v>55.8</v>
      </c>
      <c r="AF786" s="5">
        <v>1</v>
      </c>
      <c r="AG786" s="5">
        <v>153.5</v>
      </c>
      <c r="AH786" s="5">
        <v>0.623</v>
      </c>
      <c r="AI786" s="5">
        <f t="shared" si="29"/>
        <v>18.690000000000001</v>
      </c>
    </row>
    <row r="787" spans="1:51" x14ac:dyDescent="0.25">
      <c r="A787" s="5" t="s">
        <v>52</v>
      </c>
      <c r="B787" s="5" t="s">
        <v>82</v>
      </c>
      <c r="C787" s="5" t="s">
        <v>77</v>
      </c>
      <c r="D787" s="5">
        <v>2026</v>
      </c>
      <c r="F787" s="17" t="s">
        <v>279</v>
      </c>
      <c r="G787" s="5" t="s">
        <v>258</v>
      </c>
      <c r="H787" s="5" t="s">
        <v>57</v>
      </c>
      <c r="I787" s="5">
        <v>7</v>
      </c>
      <c r="J787" s="5" t="str">
        <f>IFERROR(VLOOKUP(I787,[1]INFO_LOCALES!$B:$C,2,FALSE),"")</f>
        <v>VALLENAR I</v>
      </c>
      <c r="K787" s="5" t="str">
        <f>IFERROR(VLOOKUP(Tabla2[[#This Row],[TIENDA]],[1]INFO_LOCALES!$B:$D,3,FALSE),"")</f>
        <v>III - Atacama</v>
      </c>
      <c r="L787" s="5" t="str">
        <f>IFERROR(VLOOKUP(I787,[1]INFO_LOCALES!$B:$I,8,FALSE),"")</f>
        <v>Vallenar</v>
      </c>
      <c r="M787" s="5" t="str">
        <f>IFERROR(VLOOKUP(I787,[1]INFO_LOCALES!$B:$H,7,FALSE),"")</f>
        <v>Brasil 663</v>
      </c>
      <c r="N787" s="5">
        <f>IFERROR(VLOOKUP(I787,[1]INFO_LOCALES!$B:$E,4,FALSE),"")</f>
        <v>0</v>
      </c>
      <c r="O787" s="5" t="str">
        <f>VLOOKUP(Tabla2[[#This Row],[TIENDA]],[1]INFO_LOCALES!$B:$J,9,0)</f>
        <v>CONVENIO</v>
      </c>
      <c r="P787" s="5" t="str">
        <f>IFERROR(VLOOKUP(I787,[1]INFO_LOCALES!$B:$F,5,FALSE),"")</f>
        <v>NUEVA ATACAMA</v>
      </c>
      <c r="Q787" s="5" t="s">
        <v>85</v>
      </c>
      <c r="R787" s="5" t="s">
        <v>86</v>
      </c>
      <c r="S787" s="6"/>
      <c r="T787" s="5" t="str">
        <f>UPPER(IF(Tabla2[[#This Row],[FECHA DE MUESTREO ]]=0,"",TEXT(Tabla2[[#This Row],[FECHA DE MUESTREO ]],("MMMM"))))</f>
        <v>ENERO</v>
      </c>
      <c r="U787" s="6">
        <v>46038</v>
      </c>
      <c r="V787" s="5" t="s">
        <v>59</v>
      </c>
      <c r="W7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87" s="7">
        <f t="shared" si="28"/>
        <v>2</v>
      </c>
      <c r="Y787" s="5">
        <v>35.700000000000003</v>
      </c>
      <c r="Z787" s="5">
        <v>6.63</v>
      </c>
      <c r="AA787" s="5">
        <v>2</v>
      </c>
      <c r="AB787" s="5">
        <v>20.399999999999999</v>
      </c>
      <c r="AC787" s="5">
        <v>520</v>
      </c>
      <c r="AD787" s="5">
        <v>3.2</v>
      </c>
      <c r="AE787" s="5">
        <v>6.3</v>
      </c>
      <c r="AF787" s="5">
        <v>0.3</v>
      </c>
      <c r="AG787" s="5">
        <v>66</v>
      </c>
      <c r="AH787" s="5">
        <f ca="1">Tabla2[[#This Row],[VOLUMEN DE DESCARGA MENSUAL (M3/M)]]*30</f>
        <v>0</v>
      </c>
      <c r="AI787" s="5">
        <f t="shared" ca="1" si="29"/>
        <v>0</v>
      </c>
    </row>
    <row r="788" spans="1:51" x14ac:dyDescent="0.25">
      <c r="A788" s="5" t="s">
        <v>52</v>
      </c>
      <c r="B788" s="5" t="s">
        <v>82</v>
      </c>
      <c r="C788" s="5" t="s">
        <v>77</v>
      </c>
      <c r="D788" s="5">
        <v>2026</v>
      </c>
      <c r="F788" s="17" t="s">
        <v>279</v>
      </c>
      <c r="G788" s="5" t="s">
        <v>258</v>
      </c>
      <c r="H788" s="5" t="s">
        <v>57</v>
      </c>
      <c r="I788" s="5">
        <v>14</v>
      </c>
      <c r="J788" s="5" t="str">
        <f>IFERROR(VLOOKUP(I788,[1]INFO_LOCALES!$B:$C,2,FALSE),"")</f>
        <v>COPIAPO</v>
      </c>
      <c r="K788" s="5" t="str">
        <f>IFERROR(VLOOKUP(Tabla2[[#This Row],[TIENDA]],[1]INFO_LOCALES!$B:$D,3,FALSE),"")</f>
        <v>III - Atacama</v>
      </c>
      <c r="L788" s="5" t="str">
        <f>IFERROR(VLOOKUP(I788,[1]INFO_LOCALES!$B:$I,8,FALSE),"")</f>
        <v>Copiapó</v>
      </c>
      <c r="M788" s="5" t="str">
        <f>IFERROR(VLOOKUP(I788,[1]INFO_LOCALES!$B:$H,7,FALSE),"")</f>
        <v>Av. Henrriquez N° 523</v>
      </c>
      <c r="N788" s="5">
        <f>IFERROR(VLOOKUP(I788,[1]INFO_LOCALES!$B:$E,4,FALSE),"")</f>
        <v>0</v>
      </c>
      <c r="O788" s="5" t="str">
        <f>VLOOKUP(Tabla2[[#This Row],[TIENDA]],[1]INFO_LOCALES!$B:$J,9,0)</f>
        <v>CONVENIO</v>
      </c>
      <c r="P788" s="5" t="str">
        <f>IFERROR(VLOOKUP(I788,[1]INFO_LOCALES!$B:$F,5,FALSE),"")</f>
        <v>NUEVA ATACAMA</v>
      </c>
      <c r="R788" s="5" t="s">
        <v>86</v>
      </c>
      <c r="S788" s="6"/>
      <c r="T788" s="5" t="str">
        <f>UPPER(IF(Tabla2[[#This Row],[FECHA DE MUESTREO ]]=0,"",TEXT(Tabla2[[#This Row],[FECHA DE MUESTREO ]],("MMMM"))))</f>
        <v>ENERO</v>
      </c>
      <c r="U788" s="6">
        <v>46027</v>
      </c>
      <c r="V788" s="5" t="s">
        <v>59</v>
      </c>
      <c r="W7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88" s="7">
        <f t="shared" si="28"/>
        <v>1</v>
      </c>
      <c r="Y788" s="5">
        <v>13.5</v>
      </c>
      <c r="Z788" s="5">
        <v>7.45</v>
      </c>
      <c r="AA788" s="5">
        <v>2</v>
      </c>
      <c r="AB788" s="5">
        <v>21.43</v>
      </c>
      <c r="AC788" s="5">
        <v>296</v>
      </c>
      <c r="AD788" s="5">
        <v>9.5</v>
      </c>
      <c r="AE788" s="5">
        <v>45</v>
      </c>
      <c r="AF788" s="5">
        <v>0.2</v>
      </c>
      <c r="AG788" s="5">
        <v>38</v>
      </c>
      <c r="AH788" s="5">
        <f ca="1">Tabla2[[#This Row],[VOLUMEN DE DESCARGA MENSUAL (M3/M)]]*30</f>
        <v>0</v>
      </c>
      <c r="AI788" s="5">
        <f t="shared" ca="1" si="29"/>
        <v>0</v>
      </c>
    </row>
    <row r="789" spans="1:51" x14ac:dyDescent="0.25">
      <c r="A789" s="5" t="s">
        <v>52</v>
      </c>
      <c r="B789" s="5" t="s">
        <v>82</v>
      </c>
      <c r="C789" s="5" t="s">
        <v>77</v>
      </c>
      <c r="D789" s="5">
        <v>2026</v>
      </c>
      <c r="F789" s="17" t="s">
        <v>279</v>
      </c>
      <c r="G789" s="5" t="s">
        <v>258</v>
      </c>
      <c r="H789" s="5" t="s">
        <v>57</v>
      </c>
      <c r="I789" s="5">
        <v>16</v>
      </c>
      <c r="J789" s="5" t="str">
        <f>IFERROR(VLOOKUP(I789,[1]INFO_LOCALES!$B:$C,2,FALSE),"")</f>
        <v>VALLENAR II</v>
      </c>
      <c r="K789" s="5" t="str">
        <f>IFERROR(VLOOKUP(Tabla2[[#This Row],[TIENDA]],[1]INFO_LOCALES!$B:$D,3,FALSE),"")</f>
        <v>III - Atacama</v>
      </c>
      <c r="L789" s="5" t="str">
        <f>IFERROR(VLOOKUP(I789,[1]INFO_LOCALES!$B:$I,8,FALSE),"")</f>
        <v>Vallenar</v>
      </c>
      <c r="M789" s="5" t="str">
        <f>IFERROR(VLOOKUP(I789,[1]INFO_LOCALES!$B:$H,7,FALSE),"")</f>
        <v>Arturo Prat 2350</v>
      </c>
      <c r="N789" s="5">
        <f>IFERROR(VLOOKUP(I789,[1]INFO_LOCALES!$B:$E,4,FALSE),"")</f>
        <v>0</v>
      </c>
      <c r="O789" s="5" t="str">
        <f>VLOOKUP(Tabla2[[#This Row],[TIENDA]],[1]INFO_LOCALES!$B:$J,9,0)</f>
        <v>TERMINADO</v>
      </c>
      <c r="P789" s="5" t="str">
        <f>IFERROR(VLOOKUP(I789,[1]INFO_LOCALES!$B:$F,5,FALSE),"")</f>
        <v>NUEVA ATACAMA</v>
      </c>
      <c r="Q789" s="5" t="s">
        <v>85</v>
      </c>
      <c r="R789" s="5" t="s">
        <v>86</v>
      </c>
      <c r="S789" s="6"/>
      <c r="T789" s="5" t="str">
        <f>UPPER(IF(Tabla2[[#This Row],[FECHA DE MUESTREO ]]=0,"",TEXT(Tabla2[[#This Row],[FECHA DE MUESTREO ]],("MMMM"))))</f>
        <v>ENERO</v>
      </c>
      <c r="U789" s="6">
        <v>46038</v>
      </c>
      <c r="V789" s="5" t="s">
        <v>59</v>
      </c>
      <c r="W7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89" s="7">
        <f t="shared" si="28"/>
        <v>1</v>
      </c>
      <c r="Y789" s="5">
        <v>9.8000000000000007</v>
      </c>
      <c r="Z789" s="5">
        <v>7.4</v>
      </c>
      <c r="AA789" s="5">
        <v>2</v>
      </c>
      <c r="AB789" s="5">
        <v>22.59</v>
      </c>
      <c r="AC789" s="5">
        <v>16</v>
      </c>
      <c r="AD789" s="5">
        <v>0.4</v>
      </c>
      <c r="AE789" s="5">
        <v>8.1</v>
      </c>
      <c r="AF789" s="5">
        <v>0.1</v>
      </c>
      <c r="AG789" s="5">
        <v>5</v>
      </c>
      <c r="AH789" s="5">
        <f ca="1">Tabla2[[#This Row],[VOLUMEN DE DESCARGA MENSUAL (M3/M)]]*30</f>
        <v>0</v>
      </c>
      <c r="AI789" s="5">
        <f t="shared" ca="1" si="29"/>
        <v>0</v>
      </c>
    </row>
    <row r="790" spans="1:51" x14ac:dyDescent="0.25">
      <c r="A790" s="5" t="s">
        <v>52</v>
      </c>
      <c r="B790" s="5" t="s">
        <v>82</v>
      </c>
      <c r="C790" s="5" t="s">
        <v>77</v>
      </c>
      <c r="D790" s="5">
        <v>2026</v>
      </c>
      <c r="E790" s="5" t="s">
        <v>271</v>
      </c>
      <c r="F790" s="17" t="s">
        <v>279</v>
      </c>
      <c r="G790" s="5" t="s">
        <v>258</v>
      </c>
      <c r="H790" s="5" t="s">
        <v>57</v>
      </c>
      <c r="I790" s="5">
        <v>23</v>
      </c>
      <c r="J790" s="5" t="str">
        <f>IFERROR(VLOOKUP(I790,[1]INFO_LOCALES!$B:$C,2,FALSE),"")</f>
        <v>LOS CARRERAS</v>
      </c>
      <c r="K790" s="5" t="str">
        <f>IFERROR(VLOOKUP(Tabla2[[#This Row],[TIENDA]],[1]INFO_LOCALES!$B:$D,3,FALSE),"")</f>
        <v>III - Atacama</v>
      </c>
      <c r="L790" s="5" t="str">
        <f>IFERROR(VLOOKUP(I790,[1]INFO_LOCALES!$B:$I,8,FALSE),"")</f>
        <v>Copiapó</v>
      </c>
      <c r="M790" s="5" t="str">
        <f>IFERROR(VLOOKUP(I790,[1]INFO_LOCALES!$B:$H,7,FALSE),"")</f>
        <v>Los Carrera 479</v>
      </c>
      <c r="N790" s="5">
        <f>IFERROR(VLOOKUP(I790,[1]INFO_LOCALES!$B:$E,4,FALSE),"")</f>
        <v>0</v>
      </c>
      <c r="O790" s="5" t="str">
        <f>VLOOKUP(Tabla2[[#This Row],[TIENDA]],[1]INFO_LOCALES!$B:$J,9,0)</f>
        <v>SIN CONVENIO</v>
      </c>
      <c r="P790" s="5" t="str">
        <f>IFERROR(VLOOKUP(I790,[1]INFO_LOCALES!$B:$F,5,FALSE),"")</f>
        <v>NUEVA ATACAMA</v>
      </c>
      <c r="Q790" s="5" t="s">
        <v>85</v>
      </c>
      <c r="R790" s="5" t="s">
        <v>86</v>
      </c>
      <c r="S790" s="6"/>
      <c r="T790" s="5" t="str">
        <f>UPPER(IF(Tabla2[[#This Row],[FECHA DE MUESTREO ]]=0,"",TEXT(Tabla2[[#This Row],[FECHA DE MUESTREO ]],("MMMM"))))</f>
        <v>ENERO</v>
      </c>
      <c r="U790" s="6">
        <v>46030</v>
      </c>
      <c r="V790" s="5" t="s">
        <v>59</v>
      </c>
      <c r="W7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90" s="7">
        <f t="shared" si="28"/>
        <v>2</v>
      </c>
      <c r="Y790" s="5">
        <v>18.899999999999999</v>
      </c>
      <c r="Z790" s="5">
        <v>7.41</v>
      </c>
      <c r="AA790" s="5">
        <v>8</v>
      </c>
      <c r="AB790" s="5">
        <v>22.44</v>
      </c>
      <c r="AC790" s="5">
        <v>344</v>
      </c>
      <c r="AD790" s="5">
        <v>7.3</v>
      </c>
      <c r="AE790" s="5">
        <v>15</v>
      </c>
      <c r="AF790" s="5">
        <v>0.1</v>
      </c>
      <c r="AG790" s="5">
        <v>50</v>
      </c>
      <c r="AH790" s="5">
        <f ca="1">Tabla2[[#This Row],[VOLUMEN DE DESCARGA MENSUAL (M3/M)]]*30</f>
        <v>0</v>
      </c>
      <c r="AI790" s="5">
        <f t="shared" ca="1" si="29"/>
        <v>0</v>
      </c>
    </row>
    <row r="791" spans="1:51" x14ac:dyDescent="0.25">
      <c r="A791" s="5" t="s">
        <v>52</v>
      </c>
      <c r="B791" s="5" t="s">
        <v>82</v>
      </c>
      <c r="C791" s="5" t="s">
        <v>77</v>
      </c>
      <c r="D791" s="5">
        <v>2026</v>
      </c>
      <c r="F791" s="17" t="s">
        <v>279</v>
      </c>
      <c r="G791" s="5" t="s">
        <v>258</v>
      </c>
      <c r="H791" s="5" t="s">
        <v>57</v>
      </c>
      <c r="I791" s="5">
        <v>24</v>
      </c>
      <c r="J791" s="5" t="str">
        <f>IFERROR(VLOOKUP(I791,[1]INFO_LOCALES!$B:$C,2,FALSE),"")</f>
        <v>CHACABUCO</v>
      </c>
      <c r="K791" s="5" t="str">
        <f>IFERROR(VLOOKUP(Tabla2[[#This Row],[TIENDA]],[1]INFO_LOCALES!$B:$D,3,FALSE),"")</f>
        <v>III - Atacama</v>
      </c>
      <c r="L791" s="5" t="str">
        <f>IFERROR(VLOOKUP(I791,[1]INFO_LOCALES!$B:$I,8,FALSE),"")</f>
        <v>Copiapó</v>
      </c>
      <c r="M791" s="5" t="str">
        <f>IFERROR(VLOOKUP(I791,[1]INFO_LOCALES!$B:$H,7,FALSE),"")</f>
        <v>Los Carreras  586</v>
      </c>
      <c r="N791" s="5">
        <f>IFERROR(VLOOKUP(I791,[1]INFO_LOCALES!$B:$E,4,FALSE),"")</f>
        <v>0</v>
      </c>
      <c r="O791" s="5" t="str">
        <f>VLOOKUP(Tabla2[[#This Row],[TIENDA]],[1]INFO_LOCALES!$B:$J,9,0)</f>
        <v>SIN CONVENIO</v>
      </c>
      <c r="P791" s="5" t="str">
        <f>IFERROR(VLOOKUP(I791,[1]INFO_LOCALES!$B:$F,5,FALSE),"")</f>
        <v>NUEVA ATACAMA</v>
      </c>
      <c r="Q791" s="5" t="s">
        <v>85</v>
      </c>
      <c r="R791" s="5" t="s">
        <v>86</v>
      </c>
      <c r="S791" s="6"/>
      <c r="T791" s="5" t="str">
        <f>UPPER(IF(Tabla2[[#This Row],[FECHA DE MUESTREO ]]=0,"",TEXT(Tabla2[[#This Row],[FECHA DE MUESTREO ]],("MMMM"))))</f>
        <v>ENERO</v>
      </c>
      <c r="U791" s="6">
        <v>46030</v>
      </c>
      <c r="V791" s="5" t="s">
        <v>59</v>
      </c>
      <c r="W7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91" s="7">
        <f t="shared" si="28"/>
        <v>1</v>
      </c>
      <c r="Y791" s="5">
        <v>12.1</v>
      </c>
      <c r="Z791" s="5">
        <v>7.36</v>
      </c>
      <c r="AA791" s="5">
        <v>3</v>
      </c>
      <c r="AB791" s="5">
        <v>21.56</v>
      </c>
      <c r="AC791" s="5">
        <v>43</v>
      </c>
      <c r="AD791" s="5">
        <v>2.2999999999999998</v>
      </c>
      <c r="AE791" s="5">
        <v>16</v>
      </c>
      <c r="AF791" s="5">
        <v>0.1</v>
      </c>
      <c r="AG791" s="5">
        <v>30</v>
      </c>
      <c r="AH791" s="5">
        <f ca="1">Tabla2[[#This Row],[VOLUMEN DE DESCARGA MENSUAL (M3/M)]]*30</f>
        <v>0</v>
      </c>
      <c r="AI791" s="5">
        <f t="shared" ca="1" si="29"/>
        <v>0</v>
      </c>
    </row>
    <row r="792" spans="1:51" x14ac:dyDescent="0.25">
      <c r="A792" s="5" t="s">
        <v>52</v>
      </c>
      <c r="B792" s="5" t="s">
        <v>82</v>
      </c>
      <c r="C792" s="5" t="s">
        <v>77</v>
      </c>
      <c r="D792" s="5">
        <v>2026</v>
      </c>
      <c r="F792" s="17" t="s">
        <v>279</v>
      </c>
      <c r="G792" s="5" t="s">
        <v>258</v>
      </c>
      <c r="H792" s="5" t="s">
        <v>57</v>
      </c>
      <c r="I792" s="5">
        <v>32</v>
      </c>
      <c r="J792" s="5" t="str">
        <f>IFERROR(VLOOKUP(I792,[1]INFO_LOCALES!$B:$C,2,FALSE),"")</f>
        <v>CHAÑARCILLO</v>
      </c>
      <c r="K792" s="5" t="str">
        <f>IFERROR(VLOOKUP(Tabla2[[#This Row],[TIENDA]],[1]INFO_LOCALES!$B:$D,3,FALSE),"")</f>
        <v>III - Atacama</v>
      </c>
      <c r="L792" s="5" t="str">
        <f>IFERROR(VLOOKUP(I792,[1]INFO_LOCALES!$B:$I,8,FALSE),"")</f>
        <v>Copiapó</v>
      </c>
      <c r="M792" s="5" t="str">
        <f>IFERROR(VLOOKUP(I792,[1]INFO_LOCALES!$B:$H,7,FALSE),"")</f>
        <v>Chacabuco Nº 231</v>
      </c>
      <c r="N792" s="5">
        <f>IFERROR(VLOOKUP(I792,[1]INFO_LOCALES!$B:$E,4,FALSE),"")</f>
        <v>0</v>
      </c>
      <c r="O792" s="5" t="str">
        <f>VLOOKUP(Tabla2[[#This Row],[TIENDA]],[1]INFO_LOCALES!$B:$J,9,0)</f>
        <v>CONVENIO</v>
      </c>
      <c r="P792" s="5" t="str">
        <f>IFERROR(VLOOKUP(I792,[1]INFO_LOCALES!$B:$F,5,FALSE),"")</f>
        <v>NUEVA ATACAMA</v>
      </c>
      <c r="Q792" s="5" t="s">
        <v>85</v>
      </c>
      <c r="R792" s="5" t="s">
        <v>86</v>
      </c>
      <c r="S792" s="6"/>
      <c r="T792" s="5" t="str">
        <f>UPPER(IF(Tabla2[[#This Row],[FECHA DE MUESTREO ]]=0,"",TEXT(Tabla2[[#This Row],[FECHA DE MUESTREO ]],("MMMM"))))</f>
        <v>ENERO</v>
      </c>
      <c r="U792" s="6">
        <v>46030</v>
      </c>
      <c r="V792" s="5" t="s">
        <v>59</v>
      </c>
      <c r="W7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92" s="7">
        <f t="shared" si="28"/>
        <v>1</v>
      </c>
      <c r="Y792" s="5">
        <v>21.6</v>
      </c>
      <c r="Z792" s="5">
        <v>7.45</v>
      </c>
      <c r="AA792" s="5">
        <v>6</v>
      </c>
      <c r="AB792" s="5">
        <v>21.43</v>
      </c>
      <c r="AC792" s="5">
        <v>196</v>
      </c>
      <c r="AD792" s="5">
        <v>7.2</v>
      </c>
      <c r="AE792" s="5">
        <v>12</v>
      </c>
      <c r="AF792" s="5">
        <v>0.5</v>
      </c>
      <c r="AG792" s="5">
        <v>60</v>
      </c>
      <c r="AH792" s="5">
        <f ca="1">Tabla2[[#This Row],[VOLUMEN DE DESCARGA MENSUAL (M3/M)]]*30</f>
        <v>0</v>
      </c>
      <c r="AI792" s="5">
        <f t="shared" ca="1" si="29"/>
        <v>0</v>
      </c>
    </row>
    <row r="793" spans="1:51" x14ac:dyDescent="0.25">
      <c r="A793" s="5" t="s">
        <v>52</v>
      </c>
      <c r="B793" s="5" t="s">
        <v>53</v>
      </c>
      <c r="C793" s="5" t="s">
        <v>54</v>
      </c>
      <c r="D793" s="5">
        <v>2026</v>
      </c>
      <c r="F793" s="17" t="s">
        <v>279</v>
      </c>
      <c r="G793" s="5" t="s">
        <v>61</v>
      </c>
      <c r="H793" s="5" t="s">
        <v>57</v>
      </c>
      <c r="I793" s="5">
        <v>344</v>
      </c>
      <c r="J793" s="5" t="str">
        <f>IFERROR(VLOOKUP(I793,[1]INFO_LOCALES!$B:$C,2,FALSE),"")</f>
        <v>CURICO ALAMEDA</v>
      </c>
      <c r="K793" s="5" t="str">
        <f>IFERROR(VLOOKUP(Tabla2[[#This Row],[TIENDA]],[1]INFO_LOCALES!$B:$D,3,FALSE),"")</f>
        <v>VII - Maule</v>
      </c>
      <c r="L793" s="5" t="str">
        <f>IFERROR(VLOOKUP(I793,[1]INFO_LOCALES!$B:$I,8,FALSE),"")</f>
        <v>Curicó</v>
      </c>
      <c r="M793" s="5" t="str">
        <f>IFERROR(VLOOKUP(I793,[1]INFO_LOCALES!$B:$H,7,FALSE),"")</f>
        <v>Estado 43</v>
      </c>
      <c r="N793" s="5">
        <f>IFERROR(VLOOKUP(I793,[1]INFO_LOCALES!$B:$E,4,FALSE),"")</f>
        <v>4530</v>
      </c>
      <c r="O793" s="5" t="str">
        <f>VLOOKUP(Tabla2[[#This Row],[TIENDA]],[1]INFO_LOCALES!$B:$J,9,0)</f>
        <v>SIN CONVENIO</v>
      </c>
      <c r="P793" s="5" t="str">
        <f>IFERROR(VLOOKUP(I793,[1]INFO_LOCALES!$B:$F,5,FALSE),"")</f>
        <v>NUEVOSUR S.A.</v>
      </c>
      <c r="Q793" s="5" t="s">
        <v>85</v>
      </c>
      <c r="R793" s="5" t="s">
        <v>86</v>
      </c>
      <c r="S793" s="6"/>
      <c r="T793" s="5" t="str">
        <f>UPPER(IF(Tabla2[[#This Row],[FECHA DE MUESTREO ]]=0,"",TEXT(Tabla2[[#This Row],[FECHA DE MUESTREO ]],("MMMM"))))</f>
        <v>ENERO</v>
      </c>
      <c r="U793" s="6">
        <v>46044</v>
      </c>
      <c r="V793" s="5" t="s">
        <v>59</v>
      </c>
      <c r="W7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93" s="7">
        <f t="shared" si="28"/>
        <v>1</v>
      </c>
      <c r="Y793" s="5">
        <v>17.3</v>
      </c>
      <c r="Z793" s="5">
        <v>7.41</v>
      </c>
      <c r="AA793" s="5">
        <v>2</v>
      </c>
      <c r="AB793" s="5">
        <v>24.65</v>
      </c>
      <c r="AC793" s="5">
        <v>217</v>
      </c>
      <c r="AD793" s="5">
        <v>5</v>
      </c>
      <c r="AE793" s="5">
        <v>41.3</v>
      </c>
      <c r="AF793" s="5">
        <v>1.5</v>
      </c>
      <c r="AG793" s="5">
        <v>83</v>
      </c>
      <c r="AH793" s="5">
        <v>1.85</v>
      </c>
      <c r="AI793" s="5">
        <f t="shared" si="29"/>
        <v>55.5</v>
      </c>
    </row>
    <row r="794" spans="1:51" x14ac:dyDescent="0.25">
      <c r="A794" s="5" t="s">
        <v>52</v>
      </c>
      <c r="B794" s="5" t="s">
        <v>74</v>
      </c>
      <c r="C794" s="5" t="s">
        <v>74</v>
      </c>
      <c r="D794" s="5">
        <v>2026</v>
      </c>
      <c r="E794" s="5" t="s">
        <v>280</v>
      </c>
      <c r="F794" s="17" t="s">
        <v>279</v>
      </c>
      <c r="G794" s="5" t="s">
        <v>241</v>
      </c>
      <c r="I794" s="5">
        <v>465</v>
      </c>
      <c r="J794" s="5" t="str">
        <f>IFERROR(VLOOKUP(I794,[1]INFO_LOCALES!$B:$C,2,FALSE),"")</f>
        <v>PUERTO NATALES</v>
      </c>
      <c r="K794" s="5" t="str">
        <f>IFERROR(VLOOKUP(Tabla2[[#This Row],[TIENDA]],[1]INFO_LOCALES!$B:$D,3,FALSE),"")</f>
        <v>XII - Magallanes</v>
      </c>
      <c r="L794" s="5" t="str">
        <f>IFERROR(VLOOKUP(I794,[1]INFO_LOCALES!$B:$I,8,FALSE),"")</f>
        <v>Puerto Natales</v>
      </c>
      <c r="M794" s="5" t="str">
        <f>IFERROR(VLOOKUP(I794,[1]INFO_LOCALES!$B:$H,7,FALSE),"")</f>
        <v>Bulnes 742</v>
      </c>
      <c r="N794" s="5">
        <f>IFERROR(VLOOKUP(I794,[1]INFO_LOCALES!$B:$E,4,FALSE),"")</f>
        <v>1133</v>
      </c>
      <c r="O794" s="5" t="str">
        <f>VLOOKUP(Tabla2[[#This Row],[TIENDA]],[1]INFO_LOCALES!$B:$J,9,0)</f>
        <v>SIN CONVENIO</v>
      </c>
      <c r="P794" s="5" t="str">
        <f>IFERROR(VLOOKUP(I794,[1]INFO_LOCALES!$B:$F,5,FALSE),"")</f>
        <v>AGUAS MAGALLANES S.A.</v>
      </c>
      <c r="R794" s="5" t="s">
        <v>86</v>
      </c>
      <c r="S794" s="6"/>
      <c r="T794" s="5" t="str">
        <f>UPPER(IF(Tabla2[[#This Row],[FECHA DE MUESTREO ]]=0,"",TEXT(Tabla2[[#This Row],[FECHA DE MUESTREO ]],("MMMM"))))</f>
        <v/>
      </c>
      <c r="U794" s="6"/>
      <c r="V794" s="5" t="s">
        <v>135</v>
      </c>
      <c r="W7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94" s="7">
        <f t="shared" si="28"/>
        <v>1</v>
      </c>
      <c r="AH794" s="5">
        <f ca="1">Tabla2[[#This Row],[VOLUMEN DE DESCARGA MENSUAL (M3/M)]]*30</f>
        <v>0</v>
      </c>
      <c r="AI794" s="5">
        <f t="shared" ca="1" si="29"/>
        <v>0</v>
      </c>
    </row>
    <row r="795" spans="1:51" x14ac:dyDescent="0.25">
      <c r="A795" s="5" t="s">
        <v>52</v>
      </c>
      <c r="B795" s="5" t="s">
        <v>82</v>
      </c>
      <c r="C795" s="5" t="s">
        <v>77</v>
      </c>
      <c r="D795" s="5">
        <v>2026</v>
      </c>
      <c r="F795" s="17" t="s">
        <v>279</v>
      </c>
      <c r="G795" s="5" t="s">
        <v>258</v>
      </c>
      <c r="H795" s="5" t="s">
        <v>57</v>
      </c>
      <c r="I795" s="5">
        <v>472</v>
      </c>
      <c r="J795" s="5" t="str">
        <f>IFERROR(VLOOKUP(I795,[1]INFO_LOCALES!$B:$C,2,FALSE),"")</f>
        <v>CALDERA I</v>
      </c>
      <c r="K795" s="5" t="str">
        <f>IFERROR(VLOOKUP(Tabla2[[#This Row],[TIENDA]],[1]INFO_LOCALES!$B:$D,3,FALSE),"")</f>
        <v>III - Atacama</v>
      </c>
      <c r="L795" s="5" t="str">
        <f>IFERROR(VLOOKUP(I795,[1]INFO_LOCALES!$B:$I,8,FALSE),"")</f>
        <v>Caldera</v>
      </c>
      <c r="M795" s="5" t="str">
        <f>IFERROR(VLOOKUP(I795,[1]INFO_LOCALES!$B:$H,7,FALSE),"")</f>
        <v>Batallon Atacama 319</v>
      </c>
      <c r="N795" s="5">
        <f>IFERROR(VLOOKUP(I795,[1]INFO_LOCALES!$B:$E,4,FALSE),"")</f>
        <v>0</v>
      </c>
      <c r="O795" s="5" t="str">
        <f>VLOOKUP(Tabla2[[#This Row],[TIENDA]],[1]INFO_LOCALES!$B:$J,9,0)</f>
        <v>CONVENIO</v>
      </c>
      <c r="P795" s="5" t="str">
        <f>IFERROR(VLOOKUP(I795,[1]INFO_LOCALES!$B:$F,5,FALSE),"")</f>
        <v>NUEVA ATACAMA</v>
      </c>
      <c r="Q795" s="5" t="s">
        <v>85</v>
      </c>
      <c r="R795" s="5" t="s">
        <v>86</v>
      </c>
      <c r="S795" s="6"/>
      <c r="T795" s="5" t="str">
        <f>UPPER(IF(Tabla2[[#This Row],[FECHA DE MUESTREO ]]=0,"",TEXT(Tabla2[[#This Row],[FECHA DE MUESTREO ]],("MMMM"))))</f>
        <v>ENERO</v>
      </c>
      <c r="U795" s="6">
        <v>46041</v>
      </c>
      <c r="V795" s="5" t="s">
        <v>59</v>
      </c>
      <c r="W7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95" s="7">
        <f t="shared" si="28"/>
        <v>2</v>
      </c>
      <c r="Y795" s="5">
        <v>14</v>
      </c>
      <c r="Z795" s="5">
        <v>6.59</v>
      </c>
      <c r="AA795" s="5">
        <v>2</v>
      </c>
      <c r="AB795" s="5">
        <v>23.19</v>
      </c>
      <c r="AC795" s="5">
        <v>375</v>
      </c>
      <c r="AD795" s="5">
        <v>15</v>
      </c>
      <c r="AE795" s="5">
        <v>16.899999999999999</v>
      </c>
      <c r="AF795" s="5">
        <v>0.3</v>
      </c>
      <c r="AG795" s="5">
        <v>55</v>
      </c>
      <c r="AH795" s="5">
        <f ca="1">Tabla2[[#This Row],[VOLUMEN DE DESCARGA MENSUAL (M3/M)]]*30</f>
        <v>0</v>
      </c>
      <c r="AI795" s="5">
        <f t="shared" ca="1" si="29"/>
        <v>0</v>
      </c>
    </row>
    <row r="796" spans="1:51" x14ac:dyDescent="0.25">
      <c r="A796" s="5" t="s">
        <v>52</v>
      </c>
      <c r="B796" s="5" t="s">
        <v>116</v>
      </c>
      <c r="C796" s="5" t="s">
        <v>70</v>
      </c>
      <c r="D796" s="5">
        <v>2026</v>
      </c>
      <c r="F796" s="17" t="s">
        <v>279</v>
      </c>
      <c r="G796" s="5" t="s">
        <v>61</v>
      </c>
      <c r="H796" s="5" t="s">
        <v>57</v>
      </c>
      <c r="I796" s="5">
        <v>477</v>
      </c>
      <c r="J796" s="5" t="str">
        <f>IFERROR(VLOOKUP(I796,[1]INFO_LOCALES!$B:$C,2,FALSE),"")</f>
        <v>CURAUMA</v>
      </c>
      <c r="K796" s="5" t="str">
        <f>IFERROR(VLOOKUP(Tabla2[[#This Row],[TIENDA]],[1]INFO_LOCALES!$B:$D,3,FALSE),"")</f>
        <v>V - Valparaiso</v>
      </c>
      <c r="L796" s="5" t="str">
        <f>IFERROR(VLOOKUP(I796,[1]INFO_LOCALES!$B:$I,8,FALSE),"")</f>
        <v>Valparaíso</v>
      </c>
      <c r="M796" s="5" t="str">
        <f>IFERROR(VLOOKUP(I796,[1]INFO_LOCALES!$B:$H,7,FALSE),"")</f>
        <v>Obispo Valdes 1170</v>
      </c>
      <c r="N796" s="5">
        <f>IFERROR(VLOOKUP(I796,[1]INFO_LOCALES!$B:$E,4,FALSE),"")</f>
        <v>2721</v>
      </c>
      <c r="O796" s="5" t="str">
        <f>VLOOKUP(Tabla2[[#This Row],[TIENDA]],[1]INFO_LOCALES!$B:$J,9,0)</f>
        <v>SIN CONVENIO</v>
      </c>
      <c r="P796" s="5" t="str">
        <f>IFERROR(VLOOKUP(I796,[1]INFO_LOCALES!$B:$F,5,FALSE),"")</f>
        <v>ESVAL S.A.</v>
      </c>
      <c r="Q796" s="5" t="s">
        <v>85</v>
      </c>
      <c r="R796" s="5" t="s">
        <v>86</v>
      </c>
      <c r="S796" s="6"/>
      <c r="T796" s="5" t="str">
        <f>UPPER(IF(Tabla2[[#This Row],[FECHA DE MUESTREO ]]=0,"",TEXT(Tabla2[[#This Row],[FECHA DE MUESTREO ]],("MMMM"))))</f>
        <v>ENERO</v>
      </c>
      <c r="U796" s="6">
        <v>46044</v>
      </c>
      <c r="V796" s="5" t="s">
        <v>59</v>
      </c>
      <c r="W7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96" s="7">
        <f t="shared" si="28"/>
        <v>1</v>
      </c>
      <c r="Y796" s="5">
        <v>14.2</v>
      </c>
      <c r="Z796" s="5">
        <v>7.21</v>
      </c>
      <c r="AA796" s="5">
        <v>2</v>
      </c>
      <c r="AB796" s="5">
        <v>22.7</v>
      </c>
      <c r="AC796" s="5">
        <v>212</v>
      </c>
      <c r="AD796" s="5">
        <v>5.0999999999999996</v>
      </c>
      <c r="AE796" s="5">
        <v>11.8</v>
      </c>
      <c r="AF796" s="5">
        <v>0.6</v>
      </c>
      <c r="AG796" s="5">
        <v>60</v>
      </c>
      <c r="AH796" s="5">
        <v>0.59</v>
      </c>
      <c r="AI796" s="5">
        <f t="shared" si="29"/>
        <v>17.7</v>
      </c>
    </row>
    <row r="797" spans="1:51" x14ac:dyDescent="0.25">
      <c r="A797" s="5" t="s">
        <v>52</v>
      </c>
      <c r="B797" s="5" t="s">
        <v>104</v>
      </c>
      <c r="C797" s="5" t="s">
        <v>54</v>
      </c>
      <c r="D797" s="5">
        <v>2026</v>
      </c>
      <c r="F797" s="17" t="s">
        <v>279</v>
      </c>
      <c r="G797" s="5" t="s">
        <v>61</v>
      </c>
      <c r="H797" s="5" t="s">
        <v>247</v>
      </c>
      <c r="I797" s="5">
        <v>555</v>
      </c>
      <c r="J797" s="5" t="str">
        <f>IFERROR(VLOOKUP(I797,[1]INFO_LOCALES!$B:$C,2,FALSE),"")</f>
        <v>GRANEROS</v>
      </c>
      <c r="K797" s="5" t="str">
        <f>IFERROR(VLOOKUP(Tabla2[[#This Row],[TIENDA]],[1]INFO_LOCALES!$B:$D,3,FALSE),"")</f>
        <v>VI - O'Higgins</v>
      </c>
      <c r="L797" s="5" t="str">
        <f>IFERROR(VLOOKUP(I797,[1]INFO_LOCALES!$B:$I,8,FALSE),"")</f>
        <v>Graneros</v>
      </c>
      <c r="M797" s="5" t="str">
        <f>IFERROR(VLOOKUP(I797,[1]INFO_LOCALES!$B:$H,7,FALSE),"")</f>
        <v>Obispo Rafael Lira 042</v>
      </c>
      <c r="N797" s="5">
        <f>IFERROR(VLOOKUP(I797,[1]INFO_LOCALES!$B:$E,4,FALSE),"")</f>
        <v>4574</v>
      </c>
      <c r="O797" s="5" t="str">
        <f>VLOOKUP(Tabla2[[#This Row],[TIENDA]],[1]INFO_LOCALES!$B:$J,9,0)</f>
        <v>SIN CONVENIO</v>
      </c>
      <c r="P797" s="5" t="str">
        <f>IFERROR(VLOOKUP(I797,[1]INFO_LOCALES!$B:$F,5,FALSE),"")</f>
        <v>ESSBIO S.A.</v>
      </c>
      <c r="Q797" s="5" t="s">
        <v>85</v>
      </c>
      <c r="R797" s="5" t="s">
        <v>86</v>
      </c>
      <c r="S797" s="6"/>
      <c r="T797" s="5" t="str">
        <f>UPPER(IF(Tabla2[[#This Row],[FECHA DE MUESTREO ]]=0,"",TEXT(Tabla2[[#This Row],[FECHA DE MUESTREO ]],("MMMM"))))</f>
        <v>ENERO</v>
      </c>
      <c r="U797" s="6">
        <v>46038</v>
      </c>
      <c r="V797" s="5" t="s">
        <v>59</v>
      </c>
      <c r="W7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97" s="7">
        <f t="shared" si="28"/>
        <v>2</v>
      </c>
      <c r="Y797" s="5">
        <v>50.8</v>
      </c>
      <c r="Z797" s="5">
        <v>7.05</v>
      </c>
      <c r="AA797" s="5">
        <v>4</v>
      </c>
      <c r="AB797" s="5">
        <v>25.18</v>
      </c>
      <c r="AC797" s="5">
        <v>355</v>
      </c>
      <c r="AD797" s="5">
        <v>7.5</v>
      </c>
      <c r="AE797" s="5">
        <v>26.2</v>
      </c>
      <c r="AF797" s="5">
        <v>4.5</v>
      </c>
      <c r="AG797" s="5">
        <v>148</v>
      </c>
      <c r="AH797" s="5">
        <v>2.0699999999999998</v>
      </c>
      <c r="AI797" s="5">
        <f t="shared" si="29"/>
        <v>62.099999999999994</v>
      </c>
    </row>
    <row r="798" spans="1:51" x14ac:dyDescent="0.25">
      <c r="A798" s="5" t="s">
        <v>152</v>
      </c>
      <c r="B798" s="5" t="e">
        <v>#N/A</v>
      </c>
      <c r="C798" s="5" t="e">
        <v>#N/A</v>
      </c>
      <c r="D798" s="5">
        <v>2026</v>
      </c>
      <c r="E798" s="10" t="s">
        <v>281</v>
      </c>
      <c r="F798" s="17" t="s">
        <v>279</v>
      </c>
      <c r="G798" s="5" t="s">
        <v>61</v>
      </c>
      <c r="H798" s="5" t="s">
        <v>57</v>
      </c>
      <c r="I798" s="5">
        <v>3014</v>
      </c>
      <c r="J798" s="5" t="str">
        <f>IFERROR(VLOOKUP(I798,[1]INFO_LOCALES!$B:$C,2,FALSE),"")</f>
        <v>M10 SAN FERNANDO</v>
      </c>
      <c r="K798" s="5" t="str">
        <f>IFERROR(VLOOKUP(Tabla2[[#This Row],[TIENDA]],[1]INFO_LOCALES!$B:$D,3,FALSE),"")</f>
        <v>VI - O'Higgins</v>
      </c>
      <c r="L798" s="5" t="str">
        <f>IFERROR(VLOOKUP(I798,[1]INFO_LOCALES!$B:$I,8,FALSE),"")</f>
        <v>San Fernando</v>
      </c>
      <c r="M798" s="5" t="str">
        <f>IFERROR(VLOOKUP(I798,[1]INFO_LOCALES!$B:$H,7,FALSE),"")</f>
        <v>Chillan 745</v>
      </c>
      <c r="N798" s="5">
        <f>IFERROR(VLOOKUP(I798,[1]INFO_LOCALES!$B:$E,4,FALSE),"")</f>
        <v>1298</v>
      </c>
      <c r="O798" s="5" t="str">
        <f>VLOOKUP(Tabla2[[#This Row],[TIENDA]],[1]INFO_LOCALES!$B:$J,9,0)</f>
        <v>TERMINADO</v>
      </c>
      <c r="P798" s="5" t="str">
        <f>IFERROR(VLOOKUP(I798,[1]INFO_LOCALES!$B:$F,5,FALSE),"")</f>
        <v>ESSBIO S.A.</v>
      </c>
      <c r="Q798" s="5" t="s">
        <v>85</v>
      </c>
      <c r="R798" s="5" t="s">
        <v>86</v>
      </c>
      <c r="S798" s="6"/>
      <c r="T798" s="5" t="str">
        <f>UPPER(IF(Tabla2[[#This Row],[FECHA DE MUESTREO ]]=0,"",TEXT(Tabla2[[#This Row],[FECHA DE MUESTREO ]],("MMMM"))))</f>
        <v>ENERO</v>
      </c>
      <c r="U798" s="6">
        <v>46043</v>
      </c>
      <c r="V798" s="5" t="s">
        <v>59</v>
      </c>
      <c r="W7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798" s="7">
        <f t="shared" si="28"/>
        <v>2</v>
      </c>
      <c r="Y798" s="5">
        <v>32.4</v>
      </c>
      <c r="Z798" s="5">
        <v>7.45</v>
      </c>
      <c r="AA798" s="5">
        <v>11</v>
      </c>
      <c r="AB798" s="5">
        <v>24.59</v>
      </c>
      <c r="AC798" s="5">
        <v>255</v>
      </c>
      <c r="AD798" s="5">
        <v>7.2</v>
      </c>
      <c r="AE798" s="5">
        <v>46.2</v>
      </c>
      <c r="AF798" s="5">
        <v>3</v>
      </c>
      <c r="AG798" s="5">
        <v>112</v>
      </c>
      <c r="AH798" s="5">
        <v>1.94</v>
      </c>
      <c r="AI798" s="5">
        <f t="shared" si="29"/>
        <v>58.199999999999996</v>
      </c>
    </row>
    <row r="799" spans="1:51" x14ac:dyDescent="0.25">
      <c r="A799" s="5" t="s">
        <v>210</v>
      </c>
      <c r="B799" s="5" t="e">
        <v>#N/A</v>
      </c>
      <c r="C799" s="5" t="e">
        <v>#N/A</v>
      </c>
      <c r="D799" s="5">
        <v>2026</v>
      </c>
      <c r="E799" s="5" t="s">
        <v>282</v>
      </c>
      <c r="F799" s="17" t="s">
        <v>279</v>
      </c>
      <c r="G799" s="5" t="s">
        <v>65</v>
      </c>
      <c r="H799" s="5" t="s">
        <v>57</v>
      </c>
      <c r="I799" s="5">
        <v>9051</v>
      </c>
      <c r="J799" s="5" t="str">
        <f>IFERROR(VLOOKUP(I799,[1]INFO_LOCALES!$B:$C,2,FALSE),"")</f>
        <v>CD NUEVO COQUIMBO</v>
      </c>
      <c r="K799" s="5" t="str">
        <f>IFERROR(VLOOKUP(Tabla2[[#This Row],[TIENDA]],[1]INFO_LOCALES!$B:$D,3,FALSE),"")</f>
        <v>IV - Coquimbo</v>
      </c>
      <c r="L799" s="5" t="str">
        <f>IFERROR(VLOOKUP(I799,[1]INFO_LOCALES!$B:$I,8,FALSE),"")</f>
        <v>Coquimbo</v>
      </c>
      <c r="M799" s="5" t="str">
        <f>IFERROR(VLOOKUP(I799,[1]INFO_LOCALES!$B:$H,7,FALSE),"")</f>
        <v>PAN DE AZUCAR S/N</v>
      </c>
      <c r="N799" s="5">
        <f>IFERROR(VLOOKUP(I799,[1]INFO_LOCALES!$B:$E,4,FALSE),"")</f>
        <v>0</v>
      </c>
      <c r="O799" s="5" t="str">
        <f>VLOOKUP(Tabla2[[#This Row],[TIENDA]],[1]INFO_LOCALES!$B:$J,9,0)</f>
        <v>SIN CONVENIO</v>
      </c>
      <c r="P799" s="5" t="str">
        <f>IFERROR(VLOOKUP(I799,[1]INFO_LOCALES!$B:$F,5,FALSE),"")</f>
        <v>RENTAS COQUIMBO SPA</v>
      </c>
      <c r="R799" s="5" t="s">
        <v>86</v>
      </c>
      <c r="S799" s="6"/>
      <c r="T799" s="5" t="str">
        <f>UPPER(IF(Tabla2[[#This Row],[FECHA DE MUESTREO ]]=0,"",TEXT(Tabla2[[#This Row],[FECHA DE MUESTREO ]],("MMMM"))))</f>
        <v>ENERO</v>
      </c>
      <c r="U799" s="6">
        <v>46032</v>
      </c>
      <c r="V799" s="5" t="s">
        <v>118</v>
      </c>
      <c r="W7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799" s="7">
        <f t="shared" si="28"/>
        <v>1</v>
      </c>
      <c r="Y799" s="5">
        <v>2.6</v>
      </c>
      <c r="Z799" s="5">
        <v>7.6</v>
      </c>
      <c r="AA799" s="5">
        <v>6</v>
      </c>
      <c r="AB799" s="5">
        <v>24.1</v>
      </c>
      <c r="AC799" s="5">
        <v>92</v>
      </c>
      <c r="AD799" s="5">
        <v>3.7</v>
      </c>
      <c r="AG799" s="5">
        <v>10</v>
      </c>
      <c r="AH799" s="5">
        <f ca="1">Tabla2[[#This Row],[VOLUMEN DE DESCARGA MENSUAL (M3/M)]]*30</f>
        <v>0</v>
      </c>
      <c r="AI799" s="5">
        <f t="shared" ca="1" si="29"/>
        <v>0</v>
      </c>
      <c r="AJ799" s="5">
        <v>9.0899999999999995E-2</v>
      </c>
      <c r="AK799" s="5">
        <v>3.0000000000000001E-3</v>
      </c>
      <c r="AL799" s="5">
        <v>0.30120000000000002</v>
      </c>
      <c r="AM799" s="5">
        <v>2E-3</v>
      </c>
      <c r="AN799" s="5">
        <v>4.0000000000000001E-3</v>
      </c>
      <c r="AO799" s="5">
        <v>6.7100000000000007E-2</v>
      </c>
      <c r="AP799" s="5">
        <v>1.17E-2</v>
      </c>
      <c r="AR799" s="5">
        <v>0.03</v>
      </c>
      <c r="AS799" s="5">
        <v>2</v>
      </c>
      <c r="AT799" s="5">
        <v>2.2499999999999999E-2</v>
      </c>
      <c r="AU799" s="5">
        <v>1E-3</v>
      </c>
      <c r="AV799" s="5">
        <v>1.4999999999999999E-2</v>
      </c>
      <c r="AW799" s="5">
        <v>0.04</v>
      </c>
      <c r="AX799" s="5">
        <v>215</v>
      </c>
      <c r="AY799" s="5">
        <v>0.03</v>
      </c>
    </row>
    <row r="800" spans="1:51" x14ac:dyDescent="0.25">
      <c r="A800" s="5" t="s">
        <v>210</v>
      </c>
      <c r="B800" s="5" t="e">
        <v>#N/A</v>
      </c>
      <c r="C800" s="5" t="e">
        <v>#N/A</v>
      </c>
      <c r="D800" s="5">
        <v>2026</v>
      </c>
      <c r="F800" s="17" t="s">
        <v>279</v>
      </c>
      <c r="G800" s="5" t="s">
        <v>61</v>
      </c>
      <c r="H800" s="5" t="s">
        <v>57</v>
      </c>
      <c r="I800" s="5">
        <v>9139</v>
      </c>
      <c r="J800" s="5" t="str">
        <f>IFERROR(VLOOKUP(I800,[1]INFO_LOCALES!$B:$C,2,FALSE),"")</f>
        <v>CD LO AGUIRRE</v>
      </c>
      <c r="K800" s="5" t="str">
        <f>IFERROR(VLOOKUP(Tabla2[[#This Row],[TIENDA]],[1]INFO_LOCALES!$B:$D,3,FALSE),"")</f>
        <v>RM - Santiago</v>
      </c>
      <c r="L800" s="5" t="str">
        <f>IFERROR(VLOOKUP(I800,[1]INFO_LOCALES!$B:$I,8,FALSE),"")</f>
        <v>Pudahuel</v>
      </c>
      <c r="M800" s="5" t="str">
        <f>IFERROR(VLOOKUP(I800,[1]INFO_LOCALES!$B:$H,7,FALSE),"")</f>
        <v>CAMINO LO AGUIRRE SUR 537</v>
      </c>
      <c r="N800" s="5">
        <f>IFERROR(VLOOKUP(I800,[1]INFO_LOCALES!$B:$E,4,FALSE),"")</f>
        <v>3552</v>
      </c>
      <c r="O800" s="5" t="str">
        <f>VLOOKUP(Tabla2[[#This Row],[TIENDA]],[1]INFO_LOCALES!$B:$J,9,0)</f>
        <v>SIN CONVENIO</v>
      </c>
      <c r="P800" s="5" t="str">
        <f>IFERROR(VLOOKUP(I800,[1]INFO_LOCALES!$B:$F,5,FALSE),"")</f>
        <v>AGUAS IZARRA</v>
      </c>
      <c r="Q800" s="5" t="s">
        <v>85</v>
      </c>
      <c r="R800" s="5" t="s">
        <v>86</v>
      </c>
      <c r="S800" s="6"/>
      <c r="T800" s="5" t="str">
        <f>UPPER(IF(Tabla2[[#This Row],[FECHA DE MUESTREO ]]=0,"",TEXT(Tabla2[[#This Row],[FECHA DE MUESTREO ]],("MMMM"))))</f>
        <v/>
      </c>
      <c r="U800" s="6"/>
      <c r="V800" s="5" t="s">
        <v>59</v>
      </c>
      <c r="W8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00" s="7">
        <f t="shared" si="28"/>
        <v>1</v>
      </c>
      <c r="Y800" s="5">
        <v>6</v>
      </c>
      <c r="Z800" s="5">
        <v>7.64</v>
      </c>
      <c r="AA800" s="5">
        <v>5</v>
      </c>
      <c r="AB800" s="5">
        <v>21.9</v>
      </c>
      <c r="AC800" s="5">
        <v>68</v>
      </c>
      <c r="AD800" s="5">
        <v>3</v>
      </c>
      <c r="AE800" s="5">
        <v>23</v>
      </c>
      <c r="AF800" s="5">
        <v>0.5</v>
      </c>
      <c r="AG800" s="5">
        <v>11</v>
      </c>
      <c r="AH800" s="5">
        <v>1.1399999999999999</v>
      </c>
      <c r="AI800" s="5">
        <f t="shared" si="29"/>
        <v>34.199999999999996</v>
      </c>
    </row>
    <row r="801" spans="1:51" x14ac:dyDescent="0.25">
      <c r="A801" s="5" t="s">
        <v>52</v>
      </c>
      <c r="B801" s="5" t="s">
        <v>90</v>
      </c>
      <c r="C801" s="5" t="s">
        <v>81</v>
      </c>
      <c r="D801" s="5">
        <v>2026</v>
      </c>
      <c r="E801" s="18" t="s">
        <v>283</v>
      </c>
      <c r="F801" s="17" t="s">
        <v>279</v>
      </c>
      <c r="G801" s="5" t="s">
        <v>61</v>
      </c>
      <c r="H801" s="5" t="s">
        <v>57</v>
      </c>
      <c r="I801" s="5">
        <v>375</v>
      </c>
      <c r="J801" s="5" t="str">
        <f>IFERROR(VLOOKUP(I801,[1]INFO_LOCALES!$B:$C,2,FALSE),"")</f>
        <v>ARAUCO</v>
      </c>
      <c r="K801" s="5" t="str">
        <f>IFERROR(VLOOKUP(Tabla2[[#This Row],[TIENDA]],[1]INFO_LOCALES!$B:$D,3,FALSE),"")</f>
        <v>XIV - Los Ríos</v>
      </c>
      <c r="L801" s="5" t="str">
        <f>IFERROR(VLOOKUP(I801,[1]INFO_LOCALES!$B:$I,8,FALSE),"")</f>
        <v>Valdivia</v>
      </c>
      <c r="M801" s="5" t="str">
        <f>IFERROR(VLOOKUP(I801,[1]INFO_LOCALES!$B:$H,7,FALSE),"")</f>
        <v>Arauco 697</v>
      </c>
      <c r="N801" s="5">
        <f>IFERROR(VLOOKUP(I801,[1]INFO_LOCALES!$B:$E,4,FALSE),"")</f>
        <v>3420</v>
      </c>
      <c r="O801" s="5" t="str">
        <f>VLOOKUP(Tabla2[[#This Row],[TIENDA]],[1]INFO_LOCALES!$B:$J,9,0)</f>
        <v>CONVENIO</v>
      </c>
      <c r="P801" s="5" t="str">
        <f>IFERROR(VLOOKUP(I801,[1]INFO_LOCALES!$B:$F,5,FALSE),"")</f>
        <v>AGUAS DECIMA S A</v>
      </c>
      <c r="Q801" s="5" t="s">
        <v>85</v>
      </c>
      <c r="R801" s="5" t="s">
        <v>86</v>
      </c>
      <c r="S801" s="6"/>
      <c r="T801" s="5" t="str">
        <f>UPPER(IF(Tabla2[[#This Row],[FECHA DE MUESTREO ]]=0,"",TEXT(Tabla2[[#This Row],[FECHA DE MUESTREO ]],("MMMM"))))</f>
        <v>ENERO</v>
      </c>
      <c r="U801" s="6">
        <v>46043</v>
      </c>
      <c r="V801" s="5" t="s">
        <v>118</v>
      </c>
      <c r="W8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01" s="7">
        <f t="shared" si="28"/>
        <v>1</v>
      </c>
      <c r="Y801" s="5">
        <v>41.7</v>
      </c>
      <c r="Z801" s="5">
        <v>6.63</v>
      </c>
      <c r="AA801" s="5">
        <v>2</v>
      </c>
      <c r="AB801" s="5">
        <v>21.44</v>
      </c>
      <c r="AC801" s="5">
        <v>299</v>
      </c>
      <c r="AD801" s="5">
        <v>9.1999999999999993</v>
      </c>
      <c r="AE801" s="5">
        <v>26.1</v>
      </c>
      <c r="AF801" s="5">
        <v>2</v>
      </c>
      <c r="AG801" s="5">
        <v>69</v>
      </c>
      <c r="AH801" s="5">
        <v>14</v>
      </c>
      <c r="AI801" s="5">
        <f t="shared" si="29"/>
        <v>420</v>
      </c>
      <c r="AJ801" s="5">
        <v>1.8255999999999999</v>
      </c>
      <c r="AK801" s="5">
        <v>3.0000000000000001E-3</v>
      </c>
      <c r="AL801" s="5">
        <v>0.05</v>
      </c>
      <c r="AM801" s="5">
        <v>2E-3</v>
      </c>
      <c r="AN801" s="5">
        <v>2E-3</v>
      </c>
      <c r="AO801" s="5">
        <v>0.64480000000000004</v>
      </c>
      <c r="AP801" s="5">
        <v>0.1153</v>
      </c>
      <c r="AQ801" s="5">
        <v>0.05</v>
      </c>
      <c r="AR801" s="5">
        <v>0.03</v>
      </c>
      <c r="AS801" s="5">
        <v>10</v>
      </c>
      <c r="AT801" s="5">
        <v>2.5600000000000001E-2</v>
      </c>
      <c r="AU801" s="5">
        <v>1E-3</v>
      </c>
      <c r="AV801" s="5">
        <v>1.4999999999999999E-2</v>
      </c>
      <c r="AX801" s="5">
        <v>10</v>
      </c>
      <c r="AY801" s="5">
        <v>0.03</v>
      </c>
    </row>
    <row r="802" spans="1:51" x14ac:dyDescent="0.25">
      <c r="A802" s="5" t="s">
        <v>52</v>
      </c>
      <c r="B802" s="5" t="s">
        <v>76</v>
      </c>
      <c r="C802" s="5" t="s">
        <v>77</v>
      </c>
      <c r="D802" s="5">
        <v>2026</v>
      </c>
      <c r="E802" s="5" t="s">
        <v>284</v>
      </c>
      <c r="F802" s="17" t="s">
        <v>279</v>
      </c>
      <c r="G802" s="5" t="s">
        <v>61</v>
      </c>
      <c r="H802" s="5" t="s">
        <v>57</v>
      </c>
      <c r="I802" s="5">
        <v>86</v>
      </c>
      <c r="J802" s="5" t="str">
        <f>IFERROR(VLOOKUP(I802,[1]INFO_LOCALES!$B:$C,2,FALSE),"")</f>
        <v>BILBAO</v>
      </c>
      <c r="K802" s="5" t="str">
        <f>IFERROR(VLOOKUP(Tabla2[[#This Row],[TIENDA]],[1]INFO_LOCALES!$B:$D,3,FALSE),"")</f>
        <v>I - Tarapacá</v>
      </c>
      <c r="L802" s="5" t="str">
        <f>IFERROR(VLOOKUP(I802,[1]INFO_LOCALES!$B:$I,8,FALSE),"")</f>
        <v>Iquique</v>
      </c>
      <c r="M802" s="5" t="str">
        <f>IFERROR(VLOOKUP(I802,[1]INFO_LOCALES!$B:$H,7,FALSE),"")</f>
        <v>Fco.Bilbao 3545</v>
      </c>
      <c r="N802" s="5">
        <f>IFERROR(VLOOKUP(I802,[1]INFO_LOCALES!$B:$E,4,FALSE),"")</f>
        <v>4049</v>
      </c>
      <c r="O802" s="5" t="str">
        <f>VLOOKUP(Tabla2[[#This Row],[TIENDA]],[1]INFO_LOCALES!$B:$J,9,0)</f>
        <v>CONVENIO</v>
      </c>
      <c r="P802" s="5" t="str">
        <f>IFERROR(VLOOKUP(I802,[1]INFO_LOCALES!$B:$F,5,FALSE),"")</f>
        <v>AGUAS DEL ALTIPLANO S.A.</v>
      </c>
      <c r="Q802" s="5" t="s">
        <v>85</v>
      </c>
      <c r="R802" s="5" t="s">
        <v>86</v>
      </c>
      <c r="S802" s="6"/>
      <c r="T802" s="5" t="str">
        <f>UPPER(IF(Tabla2[[#This Row],[FECHA DE MUESTREO ]]=0,"",TEXT(Tabla2[[#This Row],[FECHA DE MUESTREO ]],("MMMM"))))</f>
        <v>ENERO</v>
      </c>
      <c r="U802" s="6">
        <v>46042</v>
      </c>
      <c r="V802" s="5" t="s">
        <v>118</v>
      </c>
      <c r="W8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02" s="7">
        <f t="shared" si="28"/>
        <v>1</v>
      </c>
      <c r="Y802" s="5">
        <v>12.1</v>
      </c>
      <c r="Z802" s="5">
        <v>6.76</v>
      </c>
      <c r="AA802" s="5">
        <v>2</v>
      </c>
      <c r="AB802" s="5">
        <v>24.89</v>
      </c>
      <c r="AC802" s="5">
        <v>130</v>
      </c>
      <c r="AD802" s="5">
        <v>10.1</v>
      </c>
      <c r="AE802" s="5">
        <v>24.9</v>
      </c>
      <c r="AF802" s="5">
        <v>0.1</v>
      </c>
      <c r="AG802" s="5">
        <v>30</v>
      </c>
      <c r="AH802" s="5">
        <v>1.24</v>
      </c>
      <c r="AI802" s="5">
        <f t="shared" si="29"/>
        <v>37.200000000000003</v>
      </c>
      <c r="AJ802" s="5">
        <v>2.1012</v>
      </c>
      <c r="AK802" s="5">
        <v>6.0000000000000001E-3</v>
      </c>
      <c r="AL802" s="5">
        <v>3.2353999999999998</v>
      </c>
      <c r="AM802" s="5">
        <v>2E-3</v>
      </c>
      <c r="AN802" s="5">
        <v>2E-3</v>
      </c>
      <c r="AO802" s="5">
        <v>0.13300000000000001</v>
      </c>
      <c r="AP802" s="5">
        <v>2.07E-2</v>
      </c>
      <c r="AQ802" s="5">
        <v>0.05</v>
      </c>
      <c r="AR802" s="5">
        <v>0.03</v>
      </c>
      <c r="AS802" s="5">
        <v>10</v>
      </c>
      <c r="AT802" s="5">
        <v>1.8700000000000001E-2</v>
      </c>
      <c r="AU802" s="5">
        <v>1E-3</v>
      </c>
      <c r="AV802" s="5">
        <v>1.4999999999999999E-2</v>
      </c>
      <c r="AW802" s="5">
        <v>0.04</v>
      </c>
      <c r="AX802" s="5">
        <v>434</v>
      </c>
      <c r="AY802" s="5">
        <v>0.03</v>
      </c>
    </row>
    <row r="803" spans="1:51" x14ac:dyDescent="0.25">
      <c r="A803" s="5" t="s">
        <v>52</v>
      </c>
      <c r="B803" s="5" t="s">
        <v>76</v>
      </c>
      <c r="C803" s="5" t="s">
        <v>77</v>
      </c>
      <c r="D803" s="5">
        <v>2026</v>
      </c>
      <c r="E803" s="5" t="s">
        <v>285</v>
      </c>
      <c r="F803" s="17" t="s">
        <v>279</v>
      </c>
      <c r="G803" s="5" t="s">
        <v>61</v>
      </c>
      <c r="H803" s="5" t="s">
        <v>57</v>
      </c>
      <c r="I803" s="5">
        <v>106</v>
      </c>
      <c r="J803" s="5" t="str">
        <f>IFERROR(VLOOKUP(I803,[1]INFO_LOCALES!$B:$C,2,FALSE),"")</f>
        <v>LOS MOLLES</v>
      </c>
      <c r="K803" s="5" t="str">
        <f>IFERROR(VLOOKUP(Tabla2[[#This Row],[TIENDA]],[1]INFO_LOCALES!$B:$D,3,FALSE),"")</f>
        <v>I - Tarapacá</v>
      </c>
      <c r="L803" s="5" t="str">
        <f>IFERROR(VLOOKUP(I803,[1]INFO_LOCALES!$B:$I,8,FALSE),"")</f>
        <v>Iquique</v>
      </c>
      <c r="M803" s="5" t="str">
        <f>IFERROR(VLOOKUP(I803,[1]INFO_LOCALES!$B:$H,7,FALSE),"")</f>
        <v>Santiago Polanco 2251</v>
      </c>
      <c r="N803" s="5">
        <f>IFERROR(VLOOKUP(I803,[1]INFO_LOCALES!$B:$E,4,FALSE),"")</f>
        <v>4050</v>
      </c>
      <c r="O803" s="5" t="str">
        <f>VLOOKUP(Tabla2[[#This Row],[TIENDA]],[1]INFO_LOCALES!$B:$J,9,0)</f>
        <v>CONVENIO</v>
      </c>
      <c r="P803" s="5" t="str">
        <f>IFERROR(VLOOKUP(I803,[1]INFO_LOCALES!$B:$F,5,FALSE),"")</f>
        <v>AGUAS DEL ALTIPLANO S.A.</v>
      </c>
      <c r="Q803" s="5" t="s">
        <v>85</v>
      </c>
      <c r="R803" s="5" t="s">
        <v>86</v>
      </c>
      <c r="S803" s="6"/>
      <c r="T803" s="5" t="str">
        <f>UPPER(IF(Tabla2[[#This Row],[FECHA DE MUESTREO ]]=0,"",TEXT(Tabla2[[#This Row],[FECHA DE MUESTREO ]],("MMMM"))))</f>
        <v>ENERO</v>
      </c>
      <c r="U803" s="6">
        <v>46044</v>
      </c>
      <c r="V803" s="19" t="s">
        <v>118</v>
      </c>
      <c r="W8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03" s="7">
        <f t="shared" si="28"/>
        <v>1</v>
      </c>
      <c r="Y803" s="5">
        <v>7.3</v>
      </c>
      <c r="Z803" s="5">
        <v>7.21</v>
      </c>
      <c r="AA803" s="5">
        <v>6</v>
      </c>
      <c r="AB803" s="5">
        <v>22.45</v>
      </c>
      <c r="AC803" s="5">
        <v>64</v>
      </c>
      <c r="AD803" s="5">
        <v>8.3000000000000007</v>
      </c>
      <c r="AE803" s="5">
        <v>24.8</v>
      </c>
      <c r="AF803" s="5">
        <v>0.1</v>
      </c>
      <c r="AG803" s="5">
        <v>28</v>
      </c>
      <c r="AH803" s="5">
        <v>0.59</v>
      </c>
      <c r="AI803" s="5">
        <f t="shared" si="29"/>
        <v>17.7</v>
      </c>
      <c r="AJ803" s="5">
        <v>0.1351</v>
      </c>
      <c r="AK803" s="5">
        <v>8.0000000000000002E-3</v>
      </c>
      <c r="AL803" s="5">
        <v>3.2197</v>
      </c>
      <c r="AM803" s="5">
        <v>2E-3</v>
      </c>
      <c r="AN803" s="5">
        <v>2E-3</v>
      </c>
      <c r="AO803" s="5">
        <v>0.11269999999999999</v>
      </c>
      <c r="AP803" s="5">
        <v>1.9E-2</v>
      </c>
      <c r="AQ803" s="5">
        <v>0.05</v>
      </c>
      <c r="AR803" s="5">
        <v>0.03</v>
      </c>
      <c r="AS803" s="5">
        <v>0.08</v>
      </c>
      <c r="AT803" s="5">
        <v>2.6800000000000001E-2</v>
      </c>
      <c r="AU803" s="5">
        <v>1E-3</v>
      </c>
      <c r="AV803" s="5">
        <v>1.4999999999999999E-2</v>
      </c>
      <c r="AW803" s="5">
        <v>0.04</v>
      </c>
      <c r="AX803" s="5">
        <v>338</v>
      </c>
      <c r="AY803" s="5">
        <v>0.04</v>
      </c>
    </row>
    <row r="804" spans="1:51" x14ac:dyDescent="0.25">
      <c r="A804" s="5" t="s">
        <v>60</v>
      </c>
      <c r="B804" s="5" t="e">
        <v>#N/A</v>
      </c>
      <c r="C804" s="5" t="e">
        <v>#N/A</v>
      </c>
      <c r="D804" s="5">
        <v>2026</v>
      </c>
      <c r="E804" s="5" t="s">
        <v>286</v>
      </c>
      <c r="F804" s="17" t="s">
        <v>279</v>
      </c>
      <c r="G804" s="5" t="s">
        <v>241</v>
      </c>
      <c r="I804" s="5">
        <v>3022</v>
      </c>
      <c r="J804" s="5" t="str">
        <f>IFERROR(VLOOKUP(I804,[1]INFO_LOCALES!$B:$C,2,FALSE),"")</f>
        <v>M10 TEMUCO II</v>
      </c>
      <c r="K804" s="5" t="str">
        <f>IFERROR(VLOOKUP(Tabla2[[#This Row],[TIENDA]],[1]INFO_LOCALES!$B:$D,3,FALSE),"")</f>
        <v>IX - Araucanía</v>
      </c>
      <c r="L804" s="5" t="str">
        <f>IFERROR(VLOOKUP(I804,[1]INFO_LOCALES!$B:$I,8,FALSE),"")</f>
        <v>Temuco</v>
      </c>
      <c r="M804" s="5" t="str">
        <f>IFERROR(VLOOKUP(I804,[1]INFO_LOCALES!$B:$H,7,FALSE),"")</f>
        <v>Pedro De Valdivia 2285</v>
      </c>
      <c r="N804" s="5">
        <f>IFERROR(VLOOKUP(I804,[1]INFO_LOCALES!$B:$E,4,FALSE),"")</f>
        <v>3721</v>
      </c>
      <c r="O804" s="5" t="str">
        <f>VLOOKUP(Tabla2[[#This Row],[TIENDA]],[1]INFO_LOCALES!$B:$J,9,0)</f>
        <v>CONVENIO</v>
      </c>
      <c r="P804" s="5" t="str">
        <f>IFERROR(VLOOKUP(I804,[1]INFO_LOCALES!$B:$F,5,FALSE),"")</f>
        <v>AGUAS ARAUCANIA S A</v>
      </c>
      <c r="Q804" s="5" t="s">
        <v>85</v>
      </c>
      <c r="R804" s="5" t="s">
        <v>86</v>
      </c>
      <c r="S804" s="6"/>
      <c r="T804" s="5" t="str">
        <f>UPPER(IF(Tabla2[[#This Row],[FECHA DE MUESTREO ]]=0,"",TEXT(Tabla2[[#This Row],[FECHA DE MUESTREO ]],("MMMM"))))</f>
        <v>ENERO</v>
      </c>
      <c r="U804" s="6">
        <v>46049</v>
      </c>
      <c r="V804" s="19"/>
      <c r="W8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04" s="7">
        <f t="shared" si="28"/>
        <v>1</v>
      </c>
      <c r="Y804" s="5">
        <v>9.8000000000000007</v>
      </c>
      <c r="Z804" s="5">
        <v>7.46</v>
      </c>
      <c r="AA804" s="5">
        <v>2</v>
      </c>
      <c r="AB804" s="5">
        <v>20.56</v>
      </c>
      <c r="AC804" s="5">
        <v>26</v>
      </c>
      <c r="AD804" s="5">
        <v>0.9</v>
      </c>
      <c r="AE804" s="5">
        <v>4.5999999999999996</v>
      </c>
      <c r="AF804" s="5">
        <v>1</v>
      </c>
      <c r="AG804" s="5">
        <v>83</v>
      </c>
      <c r="AH804" s="5">
        <f ca="1">Tabla2[[#This Row],[VOLUMEN DE DESCARGA MENSUAL (M3/M)]]*30</f>
        <v>0</v>
      </c>
      <c r="AI804" s="5">
        <f t="shared" ca="1" si="29"/>
        <v>0</v>
      </c>
      <c r="AJ804" s="5">
        <v>0.79949999999999999</v>
      </c>
      <c r="AK804" s="5">
        <v>3.0000000000000001E-3</v>
      </c>
      <c r="AL804" s="5">
        <v>0.05</v>
      </c>
      <c r="AM804" s="5">
        <v>2E-3</v>
      </c>
      <c r="AN804" s="5">
        <v>2E-3</v>
      </c>
      <c r="AO804" s="5">
        <v>0.1903</v>
      </c>
      <c r="AP804" s="5">
        <v>3.8899999999999997E-2</v>
      </c>
      <c r="AQ804" s="5">
        <v>0.05</v>
      </c>
      <c r="AR804" s="5">
        <v>0.03</v>
      </c>
      <c r="AS804" s="5">
        <v>0</v>
      </c>
      <c r="AT804" s="5">
        <v>2.41E-2</v>
      </c>
      <c r="AU804" s="5">
        <v>1E-3</v>
      </c>
      <c r="AV804" s="5">
        <v>1.4999999999999999E-2</v>
      </c>
      <c r="AW804" s="5">
        <v>0.04</v>
      </c>
      <c r="AX804" s="5">
        <v>44</v>
      </c>
      <c r="AY804" s="5">
        <v>0.03</v>
      </c>
    </row>
    <row r="805" spans="1:51" x14ac:dyDescent="0.25">
      <c r="A805" s="5" t="s">
        <v>52</v>
      </c>
      <c r="B805" s="5" t="s">
        <v>104</v>
      </c>
      <c r="C805" s="5" t="s">
        <v>54</v>
      </c>
      <c r="D805" s="5">
        <v>2026</v>
      </c>
      <c r="E805" s="5" t="s">
        <v>287</v>
      </c>
      <c r="F805" s="17" t="s">
        <v>279</v>
      </c>
      <c r="G805" s="5" t="s">
        <v>61</v>
      </c>
      <c r="H805" s="5" t="s">
        <v>249</v>
      </c>
      <c r="I805" s="5">
        <v>645</v>
      </c>
      <c r="J805" s="5" t="str">
        <f>IFERROR(VLOOKUP(I805,[1]INFO_LOCALES!$B:$C,2,FALSE),"")</f>
        <v>MEMBRILLAR</v>
      </c>
      <c r="K805" s="5" t="str">
        <f>IFERROR(VLOOKUP(Tabla2[[#This Row],[TIENDA]],[1]INFO_LOCALES!$B:$D,3,FALSE),"")</f>
        <v>VI - O'Higgins</v>
      </c>
      <c r="L805" s="5" t="str">
        <f>IFERROR(VLOOKUP(I805,[1]INFO_LOCALES!$B:$I,8,FALSE),"")</f>
        <v>Rancagua</v>
      </c>
      <c r="M805" s="5" t="str">
        <f>IFERROR(VLOOKUP(I805,[1]INFO_LOCALES!$B:$H,7,FALSE),"")</f>
        <v>Av. Membrillar 10</v>
      </c>
      <c r="N805" s="5">
        <f>IFERROR(VLOOKUP(I805,[1]INFO_LOCALES!$B:$E,4,FALSE),"")</f>
        <v>84</v>
      </c>
      <c r="O805" s="5" t="str">
        <f>VLOOKUP(Tabla2[[#This Row],[TIENDA]],[1]INFO_LOCALES!$B:$J,9,0)</f>
        <v>SIN CONVENIO</v>
      </c>
      <c r="P805" s="5" t="str">
        <f>IFERROR(VLOOKUP(I805,[1]INFO_LOCALES!$B:$F,5,FALSE),"")</f>
        <v>ESSBIO S.A.</v>
      </c>
      <c r="Q805" s="5" t="s">
        <v>85</v>
      </c>
      <c r="R805" s="5" t="s">
        <v>86</v>
      </c>
      <c r="S805" s="6"/>
      <c r="T805" s="5" t="str">
        <f>UPPER(IF(Tabla2[[#This Row],[FECHA DE MUESTREO ]]=0,"",TEXT(Tabla2[[#This Row],[FECHA DE MUESTREO ]],("MMMM"))))</f>
        <v>ENERO</v>
      </c>
      <c r="U805" s="6">
        <v>46036</v>
      </c>
      <c r="V805" s="5" t="s">
        <v>59</v>
      </c>
      <c r="W8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05" s="7">
        <f t="shared" ref="X805:X868" si="30">IF(W805="CUMPLE",1,IF(W805="CUMPLE CON TOLERANCIA",2,IF(W805="NO CUMPLE",3)))</f>
        <v>2</v>
      </c>
      <c r="Y805" s="5">
        <v>12</v>
      </c>
      <c r="Z805" s="5">
        <v>6.88</v>
      </c>
      <c r="AA805" s="5">
        <v>12</v>
      </c>
      <c r="AB805" s="5">
        <v>19.29</v>
      </c>
      <c r="AC805" s="5">
        <v>31</v>
      </c>
      <c r="AD805" s="5">
        <v>6.3</v>
      </c>
      <c r="AE805" s="5">
        <v>39</v>
      </c>
      <c r="AF805" s="5">
        <v>0.5</v>
      </c>
      <c r="AG805" s="5">
        <v>35</v>
      </c>
      <c r="AH805" s="5">
        <v>1.85</v>
      </c>
      <c r="AI805" s="5">
        <f t="shared" si="29"/>
        <v>55.5</v>
      </c>
    </row>
    <row r="806" spans="1:51" x14ac:dyDescent="0.25">
      <c r="A806" s="5" t="s">
        <v>52</v>
      </c>
      <c r="B806" s="5" t="s">
        <v>76</v>
      </c>
      <c r="C806" s="5" t="s">
        <v>77</v>
      </c>
      <c r="D806" s="5">
        <v>2026</v>
      </c>
      <c r="E806" s="5" t="s">
        <v>284</v>
      </c>
      <c r="F806" s="17" t="s">
        <v>279</v>
      </c>
      <c r="G806" s="5" t="s">
        <v>61</v>
      </c>
      <c r="H806" s="5" t="s">
        <v>57</v>
      </c>
      <c r="I806" s="5">
        <v>105</v>
      </c>
      <c r="J806" s="5" t="str">
        <f>IFERROR(VLOOKUP(I806,[1]INFO_LOCALES!$B:$C,2,FALSE),"")</f>
        <v>IQUIQUE CENTRO</v>
      </c>
      <c r="K806" s="5" t="str">
        <f>IFERROR(VLOOKUP(Tabla2[[#This Row],[TIENDA]],[1]INFO_LOCALES!$B:$D,3,FALSE),"")</f>
        <v>I - Tarapacá</v>
      </c>
      <c r="L806" s="5" t="str">
        <f>IFERROR(VLOOKUP(I806,[1]INFO_LOCALES!$B:$I,8,FALSE),"")</f>
        <v>Iquique</v>
      </c>
      <c r="M806" s="5" t="str">
        <f>IFERROR(VLOOKUP(I806,[1]INFO_LOCALES!$B:$H,7,FALSE),"")</f>
        <v>Tarapaca 579</v>
      </c>
      <c r="N806" s="5">
        <f>IFERROR(VLOOKUP(I806,[1]INFO_LOCALES!$B:$E,4,FALSE),"")</f>
        <v>4051</v>
      </c>
      <c r="O806" s="5" t="str">
        <f>VLOOKUP(Tabla2[[#This Row],[TIENDA]],[1]INFO_LOCALES!$B:$J,9,0)</f>
        <v>TERMINADO</v>
      </c>
      <c r="P806" s="5" t="str">
        <f>IFERROR(VLOOKUP(I806,[1]INFO_LOCALES!$B:$F,5,FALSE),"")</f>
        <v>AGUAS DEL ALTIPLANO S.A.</v>
      </c>
      <c r="R806" s="5" t="s">
        <v>86</v>
      </c>
      <c r="S806" s="6"/>
      <c r="T806" s="5" t="str">
        <f>UPPER(IF(Tabla2[[#This Row],[FECHA DE MUESTREO ]]=0,"",TEXT(Tabla2[[#This Row],[FECHA DE MUESTREO ]],("MMMM"))))</f>
        <v>ENERO</v>
      </c>
      <c r="U806" s="6">
        <v>46052</v>
      </c>
      <c r="V806" s="5" t="s">
        <v>118</v>
      </c>
      <c r="W8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06" s="7">
        <f t="shared" si="30"/>
        <v>1</v>
      </c>
      <c r="Y806" s="5">
        <v>2.1</v>
      </c>
      <c r="Z806" s="5">
        <v>7.31</v>
      </c>
      <c r="AA806" s="5">
        <v>2</v>
      </c>
      <c r="AB806" s="5">
        <v>22.76</v>
      </c>
      <c r="AC806" s="5">
        <v>7</v>
      </c>
      <c r="AD806" s="5">
        <v>0.1</v>
      </c>
      <c r="AE806" s="5">
        <v>29.6</v>
      </c>
      <c r="AF806" s="5">
        <v>0.1</v>
      </c>
      <c r="AG806" s="5">
        <v>2.5</v>
      </c>
      <c r="AH806" s="5">
        <v>7.38</v>
      </c>
      <c r="AI806" s="5">
        <f t="shared" si="29"/>
        <v>221.4</v>
      </c>
      <c r="AJ806" s="5">
        <v>0.15049999999999999</v>
      </c>
      <c r="AK806" s="5">
        <v>6.0000000000000001E-3</v>
      </c>
      <c r="AL806" s="5">
        <v>3.9756</v>
      </c>
      <c r="AM806" s="5">
        <v>2E-3</v>
      </c>
      <c r="AN806" s="5">
        <v>2E-3</v>
      </c>
      <c r="AO806" s="5">
        <v>6.8900000000000003E-2</v>
      </c>
      <c r="AP806" s="5">
        <v>6.0000000000000001E-3</v>
      </c>
      <c r="AQ806" s="5">
        <v>0.05</v>
      </c>
      <c r="AR806" s="5">
        <v>0.03</v>
      </c>
      <c r="AS806" s="5">
        <v>0</v>
      </c>
      <c r="AT806" s="5">
        <v>8.5000000000000006E-3</v>
      </c>
      <c r="AU806" s="5">
        <v>1E-3</v>
      </c>
      <c r="AV806" s="5">
        <v>1.4999999999999999E-2</v>
      </c>
      <c r="AW806" s="5">
        <v>0.04</v>
      </c>
      <c r="AX806" s="5">
        <v>452</v>
      </c>
      <c r="AY806" s="5">
        <v>0.03</v>
      </c>
    </row>
    <row r="807" spans="1:51" x14ac:dyDescent="0.25">
      <c r="A807" s="5" t="s">
        <v>52</v>
      </c>
      <c r="B807" s="5" t="s">
        <v>128</v>
      </c>
      <c r="C807" s="5" t="s">
        <v>77</v>
      </c>
      <c r="D807" s="5">
        <v>2026</v>
      </c>
      <c r="F807" s="5" t="s">
        <v>58</v>
      </c>
      <c r="G807" s="5" t="s">
        <v>229</v>
      </c>
      <c r="H807" s="5" t="s">
        <v>277</v>
      </c>
      <c r="I807" s="5">
        <v>626</v>
      </c>
      <c r="J807" s="5" t="str">
        <f>IFERROR(VLOOKUP(I807,[1]INFO_LOCALES!$B:$C,2,FALSE),"")</f>
        <v>EL MILAGRO</v>
      </c>
      <c r="K807" s="5" t="str">
        <f>IFERROR(VLOOKUP(Tabla2[[#This Row],[TIENDA]],[1]INFO_LOCALES!$B:$D,3,FALSE),"")</f>
        <v>IV - Coquimbo</v>
      </c>
      <c r="L807" s="5" t="str">
        <f>IFERROR(VLOOKUP(I807,[1]INFO_LOCALES!$B:$I,8,FALSE),"")</f>
        <v>La Serena</v>
      </c>
      <c r="M807" s="5" t="str">
        <f>IFERROR(VLOOKUP(I807,[1]INFO_LOCALES!$B:$H,7,FALSE),"")</f>
        <v>Santiago Del Apostol 4063</v>
      </c>
      <c r="N807" s="5">
        <f>IFERROR(VLOOKUP(I807,[1]INFO_LOCALES!$B:$E,4,FALSE),"")</f>
        <v>0</v>
      </c>
      <c r="O807" s="5" t="str">
        <f>VLOOKUP(Tabla2[[#This Row],[TIENDA]],[1]INFO_LOCALES!$B:$J,9,0)</f>
        <v>SIN CONVENIO</v>
      </c>
      <c r="P807" s="5" t="str">
        <f>IFERROR(VLOOKUP(I807,[1]INFO_LOCALES!$B:$F,5,FALSE),"")</f>
        <v>AGUAS DEL VALLE S A</v>
      </c>
      <c r="Q807" s="5" t="s">
        <v>66</v>
      </c>
      <c r="R807" s="5" t="s">
        <v>58</v>
      </c>
      <c r="S807" s="6"/>
      <c r="T807" s="5" t="str">
        <f>UPPER(IF(Tabla2[[#This Row],[FECHA DE MUESTREO ]]=0,"",TEXT(Tabla2[[#This Row],[FECHA DE MUESTREO ]],("MMMM"))))</f>
        <v>NOVIEMBRE</v>
      </c>
      <c r="U807" s="6">
        <v>45971</v>
      </c>
      <c r="V807" s="5" t="s">
        <v>59</v>
      </c>
      <c r="W8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07" s="7">
        <f t="shared" si="30"/>
        <v>2</v>
      </c>
      <c r="Y807" s="5">
        <v>36.229999999999997</v>
      </c>
      <c r="Z807" s="5">
        <v>7.3</v>
      </c>
      <c r="AA807" s="5">
        <v>2</v>
      </c>
      <c r="AB807" s="5">
        <v>18.100000000000001</v>
      </c>
      <c r="AC807" s="5">
        <v>292</v>
      </c>
      <c r="AD807" s="5">
        <v>7.55</v>
      </c>
      <c r="AE807" s="5">
        <v>95.7</v>
      </c>
      <c r="AF807" s="5">
        <v>1</v>
      </c>
      <c r="AG807" s="5">
        <v>191</v>
      </c>
      <c r="AH807" s="5">
        <v>10.16</v>
      </c>
      <c r="AI807" s="5">
        <f t="shared" si="29"/>
        <v>304.8</v>
      </c>
    </row>
    <row r="808" spans="1:51" x14ac:dyDescent="0.25">
      <c r="A808" s="5" t="s">
        <v>52</v>
      </c>
      <c r="B808" s="5" t="s">
        <v>103</v>
      </c>
      <c r="C808" s="5" t="s">
        <v>77</v>
      </c>
      <c r="D808" s="5">
        <v>2026</v>
      </c>
      <c r="E808" s="5" t="s">
        <v>288</v>
      </c>
      <c r="F808" s="5" t="s">
        <v>58</v>
      </c>
      <c r="G808" s="5" t="s">
        <v>56</v>
      </c>
      <c r="H808" s="5" t="s">
        <v>253</v>
      </c>
      <c r="I808" s="5">
        <v>111</v>
      </c>
      <c r="J808" s="5" t="str">
        <f>IFERROR(VLOOKUP(I808,[1]INFO_LOCALES!$B:$C,2,FALSE),"")</f>
        <v>CALAMA II</v>
      </c>
      <c r="K808" s="5" t="str">
        <f>IFERROR(VLOOKUP(Tabla2[[#This Row],[TIENDA]],[1]INFO_LOCALES!$B:$D,3,FALSE),"")</f>
        <v>II - Antofagasta</v>
      </c>
      <c r="L808" s="5" t="str">
        <f>IFERROR(VLOOKUP(I808,[1]INFO_LOCALES!$B:$I,8,FALSE),"")</f>
        <v>Calama</v>
      </c>
      <c r="M808" s="5" t="str">
        <f>IFERROR(VLOOKUP(I808,[1]INFO_LOCALES!$B:$H,7,FALSE),"")</f>
        <v>Aconcagua 2588</v>
      </c>
      <c r="N808" s="5">
        <f>IFERROR(VLOOKUP(I808,[1]INFO_LOCALES!$B:$E,4,FALSE),"")</f>
        <v>2966</v>
      </c>
      <c r="O808" s="5" t="str">
        <f>VLOOKUP(Tabla2[[#This Row],[TIENDA]],[1]INFO_LOCALES!$B:$J,9,0)</f>
        <v>SIN CONVENIO</v>
      </c>
      <c r="P808" s="5" t="str">
        <f>IFERROR(VLOOKUP(I808,[1]INFO_LOCALES!$B:$F,5,FALSE),"")</f>
        <v>AGUAS DE ANTOFAGASTA S A</v>
      </c>
      <c r="Q808" s="5" t="s">
        <v>105</v>
      </c>
      <c r="R808" s="5" t="s">
        <v>58</v>
      </c>
      <c r="S808" s="6">
        <v>46043</v>
      </c>
      <c r="T808" s="5" t="str">
        <f>UPPER(IF(Tabla2[[#This Row],[FECHA DE MUESTREO ]]=0,"",TEXT(Tabla2[[#This Row],[FECHA DE MUESTREO ]],("MMMM"))))</f>
        <v>NOVIEMBRE</v>
      </c>
      <c r="U808" s="6">
        <v>45981</v>
      </c>
      <c r="V808" s="5" t="s">
        <v>59</v>
      </c>
      <c r="W8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08" s="7">
        <f t="shared" si="30"/>
        <v>2</v>
      </c>
      <c r="Y808" s="5">
        <v>153</v>
      </c>
      <c r="Z808" s="5">
        <v>7.92</v>
      </c>
      <c r="AA808" s="5">
        <v>2</v>
      </c>
      <c r="AB808" s="5">
        <v>31.2</v>
      </c>
      <c r="AC808" s="5">
        <v>516</v>
      </c>
      <c r="AD808" s="5">
        <v>11.25</v>
      </c>
      <c r="AE808" s="5">
        <v>33.93</v>
      </c>
      <c r="AG808" s="5">
        <v>320</v>
      </c>
      <c r="AH808" s="5">
        <v>3.6349999999999998</v>
      </c>
      <c r="AI808" s="5">
        <f t="shared" si="29"/>
        <v>109.05</v>
      </c>
    </row>
    <row r="809" spans="1:51" x14ac:dyDescent="0.25">
      <c r="A809" s="5" t="s">
        <v>52</v>
      </c>
      <c r="B809" s="5" t="s">
        <v>82</v>
      </c>
      <c r="C809" s="5" t="s">
        <v>77</v>
      </c>
      <c r="D809" s="5">
        <v>2026</v>
      </c>
      <c r="F809" s="19" t="s">
        <v>289</v>
      </c>
      <c r="G809" s="20" t="s">
        <v>258</v>
      </c>
      <c r="H809" s="5" t="s">
        <v>247</v>
      </c>
      <c r="I809" s="5">
        <v>7</v>
      </c>
      <c r="J809" s="5" t="str">
        <f>IFERROR(VLOOKUP(I809,[1]INFO_LOCALES!$B:$C,2,FALSE),"")</f>
        <v>VALLENAR I</v>
      </c>
      <c r="K809" s="5" t="str">
        <f>IFERROR(VLOOKUP(Tabla2[[#This Row],[TIENDA]],[1]INFO_LOCALES!$B:$D,3,FALSE),"")</f>
        <v>III - Atacama</v>
      </c>
      <c r="L809" s="5" t="str">
        <f>IFERROR(VLOOKUP(I809,[1]INFO_LOCALES!$B:$I,8,FALSE),"")</f>
        <v>Vallenar</v>
      </c>
      <c r="M809" s="5" t="str">
        <f>IFERROR(VLOOKUP(I809,[1]INFO_LOCALES!$B:$H,7,FALSE),"")</f>
        <v>Brasil 663</v>
      </c>
      <c r="N809" s="5">
        <f>IFERROR(VLOOKUP(I809,[1]INFO_LOCALES!$B:$E,4,FALSE),"")</f>
        <v>0</v>
      </c>
      <c r="O809" s="5" t="str">
        <f>VLOOKUP(Tabla2[[#This Row],[TIENDA]],[1]INFO_LOCALES!$B:$J,9,0)</f>
        <v>CONVENIO</v>
      </c>
      <c r="P809" s="5" t="str">
        <f>IFERROR(VLOOKUP(I809,[1]INFO_LOCALES!$B:$F,5,FALSE),"")</f>
        <v>NUEVA ATACAMA</v>
      </c>
      <c r="Q809" s="5" t="s">
        <v>85</v>
      </c>
      <c r="R809" s="5" t="s">
        <v>86</v>
      </c>
      <c r="S809" s="6"/>
      <c r="T809" s="5" t="str">
        <f>UPPER(IF(Tabla2[[#This Row],[FECHA DE MUESTREO ]]=0,"",TEXT(Tabla2[[#This Row],[FECHA DE MUESTREO ]],("MMMM"))))</f>
        <v>FEBRERO</v>
      </c>
      <c r="U809" s="6">
        <v>46071</v>
      </c>
      <c r="V809" s="5" t="s">
        <v>59</v>
      </c>
      <c r="W8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09" s="7">
        <f t="shared" si="30"/>
        <v>2</v>
      </c>
      <c r="Y809" s="5">
        <v>62.2</v>
      </c>
      <c r="Z809" s="5">
        <v>6.75</v>
      </c>
      <c r="AA809" s="5">
        <v>3.3</v>
      </c>
      <c r="AB809" s="5">
        <v>21.25</v>
      </c>
      <c r="AC809" s="5">
        <v>493.1</v>
      </c>
      <c r="AD809" s="5">
        <v>8.1</v>
      </c>
      <c r="AE809" s="5">
        <v>7.6</v>
      </c>
      <c r="AF809" s="5">
        <v>1.2</v>
      </c>
      <c r="AG809" s="5">
        <v>208.6</v>
      </c>
      <c r="AH809" s="5">
        <f ca="1">Tabla2[[#This Row],[VOLUMEN DE DESCARGA MENSUAL (M3/M)]]*30</f>
        <v>0</v>
      </c>
      <c r="AI809" s="5">
        <f t="shared" ca="1" si="29"/>
        <v>0</v>
      </c>
    </row>
    <row r="810" spans="1:51" x14ac:dyDescent="0.25">
      <c r="A810" s="5" t="s">
        <v>52</v>
      </c>
      <c r="B810" s="5" t="s">
        <v>82</v>
      </c>
      <c r="C810" s="5" t="s">
        <v>77</v>
      </c>
      <c r="D810" s="5">
        <v>2026</v>
      </c>
      <c r="E810" s="5" t="s">
        <v>290</v>
      </c>
      <c r="F810" s="19" t="s">
        <v>289</v>
      </c>
      <c r="G810" s="20" t="s">
        <v>258</v>
      </c>
      <c r="H810" s="5" t="s">
        <v>57</v>
      </c>
      <c r="I810" s="5">
        <v>14</v>
      </c>
      <c r="J810" s="5" t="str">
        <f>IFERROR(VLOOKUP(I810,[1]INFO_LOCALES!$B:$C,2,FALSE),"")</f>
        <v>COPIAPO</v>
      </c>
      <c r="K810" s="5" t="str">
        <f>IFERROR(VLOOKUP(Tabla2[[#This Row],[TIENDA]],[1]INFO_LOCALES!$B:$D,3,FALSE),"")</f>
        <v>III - Atacama</v>
      </c>
      <c r="L810" s="5" t="str">
        <f>IFERROR(VLOOKUP(I810,[1]INFO_LOCALES!$B:$I,8,FALSE),"")</f>
        <v>Copiapó</v>
      </c>
      <c r="M810" s="5" t="str">
        <f>IFERROR(VLOOKUP(I810,[1]INFO_LOCALES!$B:$H,7,FALSE),"")</f>
        <v>Av. Henrriquez N° 523</v>
      </c>
      <c r="N810" s="5">
        <f>IFERROR(VLOOKUP(I810,[1]INFO_LOCALES!$B:$E,4,FALSE),"")</f>
        <v>0</v>
      </c>
      <c r="O810" s="5" t="str">
        <f>VLOOKUP(Tabla2[[#This Row],[TIENDA]],[1]INFO_LOCALES!$B:$J,9,0)</f>
        <v>CONVENIO</v>
      </c>
      <c r="P810" s="5" t="str">
        <f>IFERROR(VLOOKUP(I810,[1]INFO_LOCALES!$B:$F,5,FALSE),"")</f>
        <v>NUEVA ATACAMA</v>
      </c>
      <c r="Q810" s="5" t="s">
        <v>85</v>
      </c>
      <c r="R810" s="5" t="s">
        <v>86</v>
      </c>
      <c r="S810" s="6"/>
      <c r="T810" s="5" t="str">
        <f>UPPER(IF(Tabla2[[#This Row],[FECHA DE MUESTREO ]]=0,"",TEXT(Tabla2[[#This Row],[FECHA DE MUESTREO ]],("MMMM"))))</f>
        <v>FEBRERO</v>
      </c>
      <c r="U810" s="6">
        <v>46059</v>
      </c>
      <c r="V810" s="5" t="s">
        <v>59</v>
      </c>
      <c r="W8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10" s="7">
        <f t="shared" si="30"/>
        <v>2</v>
      </c>
      <c r="Y810" s="5">
        <v>6.3</v>
      </c>
      <c r="Z810" s="5">
        <v>7.43</v>
      </c>
      <c r="AA810" s="5">
        <v>10.3</v>
      </c>
      <c r="AB810" s="5">
        <v>21.31</v>
      </c>
      <c r="AC810" s="5">
        <v>116.1</v>
      </c>
      <c r="AD810" s="5">
        <v>4.3</v>
      </c>
      <c r="AE810" s="5">
        <v>16.7</v>
      </c>
      <c r="AF810" s="5">
        <v>0.1</v>
      </c>
      <c r="AG810" s="5">
        <v>18</v>
      </c>
      <c r="AH810" s="5">
        <f ca="1">Tabla2[[#This Row],[VOLUMEN DE DESCARGA MENSUAL (M3/M)]]*30</f>
        <v>0</v>
      </c>
      <c r="AI810" s="5">
        <f t="shared" ca="1" si="29"/>
        <v>0</v>
      </c>
    </row>
    <row r="811" spans="1:51" x14ac:dyDescent="0.25">
      <c r="A811" s="5" t="s">
        <v>52</v>
      </c>
      <c r="B811" s="5" t="s">
        <v>82</v>
      </c>
      <c r="C811" s="5" t="s">
        <v>77</v>
      </c>
      <c r="D811" s="5">
        <v>2026</v>
      </c>
      <c r="F811" s="19" t="s">
        <v>289</v>
      </c>
      <c r="G811" s="20" t="s">
        <v>258</v>
      </c>
      <c r="H811" s="5" t="s">
        <v>57</v>
      </c>
      <c r="I811" s="5">
        <v>22</v>
      </c>
      <c r="J811" s="5" t="str">
        <f>IFERROR(VLOOKUP(I811,[1]INFO_LOCALES!$B:$C,2,FALSE),"")</f>
        <v>ATACAMA</v>
      </c>
      <c r="K811" s="5" t="str">
        <f>IFERROR(VLOOKUP(Tabla2[[#This Row],[TIENDA]],[1]INFO_LOCALES!$B:$D,3,FALSE),"")</f>
        <v>III - Atacama</v>
      </c>
      <c r="L811" s="5" t="str">
        <f>IFERROR(VLOOKUP(I811,[1]INFO_LOCALES!$B:$I,8,FALSE),"")</f>
        <v>Copiapó</v>
      </c>
      <c r="M811" s="5" t="str">
        <f>IFERROR(VLOOKUP(I811,[1]INFO_LOCALES!$B:$H,7,FALSE),"")</f>
        <v>Los Carreras 2242</v>
      </c>
      <c r="N811" s="5">
        <f>IFERROR(VLOOKUP(I811,[1]INFO_LOCALES!$B:$E,4,FALSE),"")</f>
        <v>2666</v>
      </c>
      <c r="O811" s="5" t="str">
        <f>VLOOKUP(Tabla2[[#This Row],[TIENDA]],[1]INFO_LOCALES!$B:$J,9,0)</f>
        <v>CONVENIO</v>
      </c>
      <c r="P811" s="5" t="str">
        <f>IFERROR(VLOOKUP(I811,[1]INFO_LOCALES!$B:$F,5,FALSE),"")</f>
        <v>NUEVA ATACAMA</v>
      </c>
      <c r="Q811" s="5" t="s">
        <v>85</v>
      </c>
      <c r="R811" s="5" t="s">
        <v>86</v>
      </c>
      <c r="S811" s="6"/>
      <c r="T811" s="5" t="str">
        <f>UPPER(IF(Tabla2[[#This Row],[FECHA DE MUESTREO ]]=0,"",TEXT(Tabla2[[#This Row],[FECHA DE MUESTREO ]],("MMMM"))))</f>
        <v>FEBRERO</v>
      </c>
      <c r="U811" s="6">
        <v>46060</v>
      </c>
      <c r="V811" s="5" t="s">
        <v>59</v>
      </c>
      <c r="W8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11" s="7">
        <f t="shared" si="30"/>
        <v>1</v>
      </c>
      <c r="Y811" s="5">
        <v>9.1999999999999993</v>
      </c>
      <c r="Z811" s="5">
        <v>7.1</v>
      </c>
      <c r="AA811" s="5">
        <v>4.3</v>
      </c>
      <c r="AB811" s="5">
        <v>21.05</v>
      </c>
      <c r="AC811" s="5">
        <v>90.1</v>
      </c>
      <c r="AD811" s="5">
        <v>5.3</v>
      </c>
      <c r="AE811" s="5">
        <v>24.2</v>
      </c>
      <c r="AF811" s="5">
        <v>0.2</v>
      </c>
      <c r="AG811" s="5">
        <v>40</v>
      </c>
      <c r="AH811" s="5">
        <f ca="1">Tabla2[[#This Row],[VOLUMEN DE DESCARGA MENSUAL (M3/M)]]*30</f>
        <v>0</v>
      </c>
      <c r="AI811" s="5">
        <f t="shared" ca="1" si="29"/>
        <v>0</v>
      </c>
    </row>
    <row r="812" spans="1:51" x14ac:dyDescent="0.25">
      <c r="A812" s="5" t="s">
        <v>52</v>
      </c>
      <c r="B812" s="5" t="s">
        <v>82</v>
      </c>
      <c r="C812" s="5" t="s">
        <v>77</v>
      </c>
      <c r="D812" s="5">
        <v>2026</v>
      </c>
      <c r="F812" s="19" t="s">
        <v>289</v>
      </c>
      <c r="G812" s="20" t="s">
        <v>258</v>
      </c>
      <c r="H812" s="5" t="s">
        <v>57</v>
      </c>
      <c r="I812" s="5">
        <v>23</v>
      </c>
      <c r="J812" s="5" t="str">
        <f>IFERROR(VLOOKUP(I812,[1]INFO_LOCALES!$B:$C,2,FALSE),"")</f>
        <v>LOS CARRERAS</v>
      </c>
      <c r="K812" s="5" t="str">
        <f>IFERROR(VLOOKUP(Tabla2[[#This Row],[TIENDA]],[1]INFO_LOCALES!$B:$D,3,FALSE),"")</f>
        <v>III - Atacama</v>
      </c>
      <c r="L812" s="5" t="str">
        <f>IFERROR(VLOOKUP(I812,[1]INFO_LOCALES!$B:$I,8,FALSE),"")</f>
        <v>Copiapó</v>
      </c>
      <c r="M812" s="5" t="str">
        <f>IFERROR(VLOOKUP(I812,[1]INFO_LOCALES!$B:$H,7,FALSE),"")</f>
        <v>Los Carrera 479</v>
      </c>
      <c r="N812" s="5">
        <f>IFERROR(VLOOKUP(I812,[1]INFO_LOCALES!$B:$E,4,FALSE),"")</f>
        <v>0</v>
      </c>
      <c r="O812" s="5" t="str">
        <f>VLOOKUP(Tabla2[[#This Row],[TIENDA]],[1]INFO_LOCALES!$B:$J,9,0)</f>
        <v>SIN CONVENIO</v>
      </c>
      <c r="P812" s="5" t="str">
        <f>IFERROR(VLOOKUP(I812,[1]INFO_LOCALES!$B:$F,5,FALSE),"")</f>
        <v>NUEVA ATACAMA</v>
      </c>
      <c r="Q812" s="5" t="s">
        <v>85</v>
      </c>
      <c r="R812" s="5" t="s">
        <v>86</v>
      </c>
      <c r="S812" s="6"/>
      <c r="T812" s="5" t="str">
        <f>UPPER(IF(Tabla2[[#This Row],[FECHA DE MUESTREO ]]=0,"",TEXT(Tabla2[[#This Row],[FECHA DE MUESTREO ]],("MMMM"))))</f>
        <v>FEBRERO</v>
      </c>
      <c r="U812" s="6">
        <v>46059</v>
      </c>
      <c r="V812" s="5" t="s">
        <v>59</v>
      </c>
      <c r="W8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12" s="7">
        <f t="shared" si="30"/>
        <v>3</v>
      </c>
      <c r="Y812" s="5">
        <v>9.6999999999999993</v>
      </c>
      <c r="Z812" s="5">
        <v>7.01</v>
      </c>
      <c r="AA812" s="5">
        <v>21.7</v>
      </c>
      <c r="AB812" s="5">
        <v>21.31</v>
      </c>
      <c r="AC812" s="5">
        <v>187.8</v>
      </c>
      <c r="AD812" s="5">
        <v>32.299999999999997</v>
      </c>
      <c r="AE812" s="5">
        <v>46.2</v>
      </c>
      <c r="AF812" s="5">
        <v>2</v>
      </c>
      <c r="AG812" s="5">
        <v>29.3</v>
      </c>
      <c r="AH812" s="5">
        <f ca="1">Tabla2[[#This Row],[VOLUMEN DE DESCARGA MENSUAL (M3/M)]]*30</f>
        <v>0</v>
      </c>
      <c r="AI812" s="5">
        <f t="shared" ca="1" si="29"/>
        <v>0</v>
      </c>
    </row>
    <row r="813" spans="1:51" x14ac:dyDescent="0.25">
      <c r="A813" s="5" t="s">
        <v>52</v>
      </c>
      <c r="B813" s="5" t="s">
        <v>82</v>
      </c>
      <c r="C813" s="5" t="s">
        <v>77</v>
      </c>
      <c r="D813" s="5">
        <v>2026</v>
      </c>
      <c r="F813" s="19" t="s">
        <v>289</v>
      </c>
      <c r="G813" s="20" t="s">
        <v>258</v>
      </c>
      <c r="H813" s="5" t="s">
        <v>57</v>
      </c>
      <c r="I813" s="5">
        <v>32</v>
      </c>
      <c r="J813" s="5" t="str">
        <f>IFERROR(VLOOKUP(I813,[1]INFO_LOCALES!$B:$C,2,FALSE),"")</f>
        <v>CHAÑARCILLO</v>
      </c>
      <c r="K813" s="5" t="str">
        <f>IFERROR(VLOOKUP(Tabla2[[#This Row],[TIENDA]],[1]INFO_LOCALES!$B:$D,3,FALSE),"")</f>
        <v>III - Atacama</v>
      </c>
      <c r="L813" s="5" t="str">
        <f>IFERROR(VLOOKUP(I813,[1]INFO_LOCALES!$B:$I,8,FALSE),"")</f>
        <v>Copiapó</v>
      </c>
      <c r="M813" s="5" t="str">
        <f>IFERROR(VLOOKUP(I813,[1]INFO_LOCALES!$B:$H,7,FALSE),"")</f>
        <v>Chacabuco Nº 231</v>
      </c>
      <c r="N813" s="5">
        <f>IFERROR(VLOOKUP(I813,[1]INFO_LOCALES!$B:$E,4,FALSE),"")</f>
        <v>0</v>
      </c>
      <c r="O813" s="5" t="str">
        <f>VLOOKUP(Tabla2[[#This Row],[TIENDA]],[1]INFO_LOCALES!$B:$J,9,0)</f>
        <v>CONVENIO</v>
      </c>
      <c r="P813" s="5" t="str">
        <f>IFERROR(VLOOKUP(I813,[1]INFO_LOCALES!$B:$F,5,FALSE),"")</f>
        <v>NUEVA ATACAMA</v>
      </c>
      <c r="Q813" s="5" t="s">
        <v>85</v>
      </c>
      <c r="R813" s="5" t="s">
        <v>86</v>
      </c>
      <c r="S813" s="6"/>
      <c r="T813" s="5" t="str">
        <f>UPPER(IF(Tabla2[[#This Row],[FECHA DE MUESTREO ]]=0,"",TEXT(Tabla2[[#This Row],[FECHA DE MUESTREO ]],("MMMM"))))</f>
        <v>FEBRERO</v>
      </c>
      <c r="U813" s="6">
        <v>46059</v>
      </c>
      <c r="V813" s="5" t="s">
        <v>59</v>
      </c>
      <c r="W8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13" s="7">
        <f t="shared" si="30"/>
        <v>1</v>
      </c>
      <c r="Y813" s="5">
        <v>18.600000000000001</v>
      </c>
      <c r="Z813" s="5">
        <v>7.04</v>
      </c>
      <c r="AA813" s="5">
        <v>6.3</v>
      </c>
      <c r="AB813" s="5">
        <v>20.98</v>
      </c>
      <c r="AC813" s="5">
        <v>105.9</v>
      </c>
      <c r="AD813" s="5">
        <v>7.4</v>
      </c>
      <c r="AE813" s="5">
        <v>18.399999999999999</v>
      </c>
      <c r="AF813" s="5">
        <v>0.5</v>
      </c>
      <c r="AG813" s="5">
        <v>32</v>
      </c>
      <c r="AH813" s="5">
        <f ca="1">Tabla2[[#This Row],[VOLUMEN DE DESCARGA MENSUAL (M3/M)]]*30</f>
        <v>0</v>
      </c>
      <c r="AI813" s="5">
        <f t="shared" ca="1" si="29"/>
        <v>0</v>
      </c>
    </row>
    <row r="814" spans="1:51" x14ac:dyDescent="0.25">
      <c r="A814" s="5" t="s">
        <v>52</v>
      </c>
      <c r="B814" s="5" t="s">
        <v>53</v>
      </c>
      <c r="C814" s="5" t="s">
        <v>54</v>
      </c>
      <c r="D814" s="5">
        <v>2026</v>
      </c>
      <c r="E814" s="5" t="s">
        <v>291</v>
      </c>
      <c r="F814" s="19" t="s">
        <v>289</v>
      </c>
      <c r="G814" s="5" t="s">
        <v>61</v>
      </c>
      <c r="H814" s="5" t="s">
        <v>57</v>
      </c>
      <c r="I814" s="5">
        <v>344</v>
      </c>
      <c r="J814" s="5" t="str">
        <f>IFERROR(VLOOKUP(I814,[1]INFO_LOCALES!$B:$C,2,FALSE),"")</f>
        <v>CURICO ALAMEDA</v>
      </c>
      <c r="K814" s="5" t="str">
        <f>IFERROR(VLOOKUP(Tabla2[[#This Row],[TIENDA]],[1]INFO_LOCALES!$B:$D,3,FALSE),"")</f>
        <v>VII - Maule</v>
      </c>
      <c r="L814" s="5" t="str">
        <f>IFERROR(VLOOKUP(I814,[1]INFO_LOCALES!$B:$I,8,FALSE),"")</f>
        <v>Curicó</v>
      </c>
      <c r="M814" s="5" t="str">
        <f>IFERROR(VLOOKUP(I814,[1]INFO_LOCALES!$B:$H,7,FALSE),"")</f>
        <v>Estado 43</v>
      </c>
      <c r="N814" s="5">
        <f>IFERROR(VLOOKUP(I814,[1]INFO_LOCALES!$B:$E,4,FALSE),"")</f>
        <v>4530</v>
      </c>
      <c r="O814" s="5" t="str">
        <f>VLOOKUP(Tabla2[[#This Row],[TIENDA]],[1]INFO_LOCALES!$B:$J,9,0)</f>
        <v>SIN CONVENIO</v>
      </c>
      <c r="P814" s="5" t="str">
        <f>IFERROR(VLOOKUP(I814,[1]INFO_LOCALES!$B:$F,5,FALSE),"")</f>
        <v>NUEVOSUR S.A.</v>
      </c>
      <c r="Q814" s="5" t="s">
        <v>291</v>
      </c>
      <c r="R814" s="5" t="s">
        <v>86</v>
      </c>
      <c r="S814" s="6"/>
      <c r="T814" s="5" t="str">
        <f>UPPER(IF(Tabla2[[#This Row],[FECHA DE MUESTREO ]]=0,"",TEXT(Tabla2[[#This Row],[FECHA DE MUESTREO ]],("MMMM"))))</f>
        <v/>
      </c>
      <c r="U814" s="6"/>
      <c r="V814" s="5" t="s">
        <v>135</v>
      </c>
      <c r="W8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14" s="7">
        <f t="shared" si="30"/>
        <v>1</v>
      </c>
      <c r="AH814" s="5">
        <f ca="1">Tabla2[[#This Row],[VOLUMEN DE DESCARGA MENSUAL (M3/M)]]*30</f>
        <v>0</v>
      </c>
      <c r="AI814" s="5">
        <f t="shared" ca="1" si="29"/>
        <v>0</v>
      </c>
    </row>
    <row r="815" spans="1:51" x14ac:dyDescent="0.25">
      <c r="A815" s="5" t="s">
        <v>52</v>
      </c>
      <c r="B815" s="5" t="s">
        <v>90</v>
      </c>
      <c r="C815" s="5" t="s">
        <v>81</v>
      </c>
      <c r="D815" s="5">
        <v>2026</v>
      </c>
      <c r="E815" s="5" t="s">
        <v>292</v>
      </c>
      <c r="F815" s="19" t="s">
        <v>289</v>
      </c>
      <c r="G815" s="5" t="s">
        <v>65</v>
      </c>
      <c r="H815" s="5" t="s">
        <v>57</v>
      </c>
      <c r="I815" s="5">
        <v>375</v>
      </c>
      <c r="J815" s="5" t="str">
        <f>IFERROR(VLOOKUP(I815,[1]INFO_LOCALES!$B:$C,2,FALSE),"")</f>
        <v>ARAUCO</v>
      </c>
      <c r="K815" s="5" t="str">
        <f>IFERROR(VLOOKUP(Tabla2[[#This Row],[TIENDA]],[1]INFO_LOCALES!$B:$D,3,FALSE),"")</f>
        <v>XIV - Los Ríos</v>
      </c>
      <c r="L815" s="5" t="str">
        <f>IFERROR(VLOOKUP(I815,[1]INFO_LOCALES!$B:$I,8,FALSE),"")</f>
        <v>Valdivia</v>
      </c>
      <c r="M815" s="5" t="str">
        <f>IFERROR(VLOOKUP(I815,[1]INFO_LOCALES!$B:$H,7,FALSE),"")</f>
        <v>Arauco 697</v>
      </c>
      <c r="N815" s="5">
        <f>IFERROR(VLOOKUP(I815,[1]INFO_LOCALES!$B:$E,4,FALSE),"")</f>
        <v>3420</v>
      </c>
      <c r="O815" s="5" t="str">
        <f>VLOOKUP(Tabla2[[#This Row],[TIENDA]],[1]INFO_LOCALES!$B:$J,9,0)</f>
        <v>CONVENIO</v>
      </c>
      <c r="P815" s="5" t="str">
        <f>IFERROR(VLOOKUP(I815,[1]INFO_LOCALES!$B:$F,5,FALSE),"")</f>
        <v>AGUAS DECIMA S A</v>
      </c>
      <c r="Q815" s="5" t="s">
        <v>85</v>
      </c>
      <c r="R815" s="5" t="s">
        <v>86</v>
      </c>
      <c r="S815" s="6"/>
      <c r="T815" s="5" t="str">
        <f>UPPER(IF(Tabla2[[#This Row],[FECHA DE MUESTREO ]]=0,"",TEXT(Tabla2[[#This Row],[FECHA DE MUESTREO ]],("MMMM"))))</f>
        <v>FEBRERO</v>
      </c>
      <c r="U815" s="6">
        <v>46079</v>
      </c>
      <c r="V815" s="5" t="s">
        <v>118</v>
      </c>
      <c r="W8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15" s="7">
        <f t="shared" si="30"/>
        <v>3</v>
      </c>
      <c r="Y815" s="5">
        <v>66.900000000000006</v>
      </c>
      <c r="Z815" s="5">
        <v>7.39</v>
      </c>
      <c r="AA815" s="5">
        <v>2.2999999999999998</v>
      </c>
      <c r="AB815" s="5">
        <v>17.54</v>
      </c>
      <c r="AC815" s="5">
        <v>743.6</v>
      </c>
      <c r="AD815" s="5">
        <v>26</v>
      </c>
      <c r="AE815" s="5">
        <v>38.1</v>
      </c>
      <c r="AF815" s="5">
        <v>1.6</v>
      </c>
      <c r="AG815" s="5">
        <v>150</v>
      </c>
      <c r="AH815" s="5">
        <v>8</v>
      </c>
      <c r="AI815" s="5">
        <f t="shared" si="29"/>
        <v>240</v>
      </c>
      <c r="AJ815" s="5">
        <v>0.32</v>
      </c>
      <c r="AK815" s="5">
        <v>3.0000000000000001E-3</v>
      </c>
      <c r="AL815" s="5">
        <v>0.05</v>
      </c>
      <c r="AM815" s="5">
        <v>4.0000000000000001E-3</v>
      </c>
      <c r="AN815" s="5">
        <v>2E-3</v>
      </c>
      <c r="AO815" s="5">
        <v>0.16400000000000001</v>
      </c>
      <c r="AP815" s="5">
        <v>0.185</v>
      </c>
      <c r="AQ815" s="5">
        <v>0.05</v>
      </c>
      <c r="AR815" s="5">
        <v>0.03</v>
      </c>
      <c r="AS815" s="5">
        <v>8.43</v>
      </c>
      <c r="AT815" s="5">
        <v>7.9000000000000001E-2</v>
      </c>
      <c r="AU815" s="5">
        <v>1E-3</v>
      </c>
      <c r="AV815" s="5">
        <v>1.4999999999999999E-2</v>
      </c>
      <c r="AW815" s="5">
        <v>5.8000000000000003E-2</v>
      </c>
      <c r="AX815" s="5">
        <v>38.700000000000003</v>
      </c>
      <c r="AY815" s="5">
        <v>0.03</v>
      </c>
    </row>
    <row r="816" spans="1:51" x14ac:dyDescent="0.25">
      <c r="A816" s="5" t="s">
        <v>52</v>
      </c>
      <c r="B816" s="5" t="s">
        <v>74</v>
      </c>
      <c r="C816" s="5" t="s">
        <v>74</v>
      </c>
      <c r="D816" s="5">
        <v>2026</v>
      </c>
      <c r="E816" s="18" t="s">
        <v>293</v>
      </c>
      <c r="F816" s="19" t="s">
        <v>289</v>
      </c>
      <c r="G816" s="5" t="s">
        <v>56</v>
      </c>
      <c r="H816" s="5" t="s">
        <v>249</v>
      </c>
      <c r="I816" s="5">
        <v>465</v>
      </c>
      <c r="J816" s="5" t="str">
        <f>IFERROR(VLOOKUP(I816,[1]INFO_LOCALES!$B:$C,2,FALSE),"")</f>
        <v>PUERTO NATALES</v>
      </c>
      <c r="K816" s="5" t="str">
        <f>IFERROR(VLOOKUP(Tabla2[[#This Row],[TIENDA]],[1]INFO_LOCALES!$B:$D,3,FALSE),"")</f>
        <v>XII - Magallanes</v>
      </c>
      <c r="L816" s="5" t="str">
        <f>IFERROR(VLOOKUP(I816,[1]INFO_LOCALES!$B:$I,8,FALSE),"")</f>
        <v>Puerto Natales</v>
      </c>
      <c r="M816" s="5" t="str">
        <f>IFERROR(VLOOKUP(I816,[1]INFO_LOCALES!$B:$H,7,FALSE),"")</f>
        <v>Bulnes 742</v>
      </c>
      <c r="N816" s="5">
        <f>IFERROR(VLOOKUP(I816,[1]INFO_LOCALES!$B:$E,4,FALSE),"")</f>
        <v>1133</v>
      </c>
      <c r="O816" s="5" t="str">
        <f>VLOOKUP(Tabla2[[#This Row],[TIENDA]],[1]INFO_LOCALES!$B:$J,9,0)</f>
        <v>SIN CONVENIO</v>
      </c>
      <c r="P816" s="5" t="str">
        <f>IFERROR(VLOOKUP(I816,[1]INFO_LOCALES!$B:$F,5,FALSE),"")</f>
        <v>AGUAS MAGALLANES S.A.</v>
      </c>
      <c r="Q816" s="5" t="s">
        <v>85</v>
      </c>
      <c r="R816" s="5" t="s">
        <v>86</v>
      </c>
      <c r="S816" s="6"/>
      <c r="T816" s="5" t="str">
        <f>UPPER(IF(Tabla2[[#This Row],[FECHA DE MUESTREO ]]=0,"",TEXT(Tabla2[[#This Row],[FECHA DE MUESTREO ]],("MMMM"))))</f>
        <v>FEBRERO</v>
      </c>
      <c r="U816" s="6">
        <v>46071</v>
      </c>
      <c r="V816" s="5" t="s">
        <v>118</v>
      </c>
      <c r="W8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16" s="7">
        <f t="shared" si="30"/>
        <v>3</v>
      </c>
      <c r="Y816" s="5">
        <v>3</v>
      </c>
      <c r="Z816" s="5">
        <v>7.18</v>
      </c>
      <c r="AA816" s="5">
        <v>40</v>
      </c>
      <c r="AB816" s="5">
        <v>16.5</v>
      </c>
      <c r="AC816" s="5">
        <v>660</v>
      </c>
      <c r="AD816" s="5">
        <v>13.6</v>
      </c>
      <c r="AE816" s="5">
        <v>102.18</v>
      </c>
      <c r="AF816" s="5">
        <v>0.5</v>
      </c>
      <c r="AG816" s="5">
        <v>224</v>
      </c>
      <c r="AH816" s="5">
        <v>30.1</v>
      </c>
      <c r="AI816" s="5">
        <f t="shared" si="29"/>
        <v>903</v>
      </c>
      <c r="AJ816" s="5">
        <v>0.44</v>
      </c>
      <c r="AK816" s="5">
        <v>5.0000000000000001E-3</v>
      </c>
      <c r="AL816" s="5">
        <v>0.05</v>
      </c>
      <c r="AM816" s="5">
        <v>1E-3</v>
      </c>
      <c r="AN816" s="5">
        <v>0.01</v>
      </c>
      <c r="AO816" s="5">
        <v>0.38</v>
      </c>
      <c r="AP816" s="5">
        <v>3.3000000000000002E-2</v>
      </c>
      <c r="AQ816" s="5">
        <v>0.01</v>
      </c>
      <c r="AR816" s="5">
        <v>0.02</v>
      </c>
      <c r="AS816" s="5">
        <v>3</v>
      </c>
      <c r="AT816" s="5">
        <v>0.13</v>
      </c>
      <c r="AU816" s="5">
        <v>5.0000000000000001E-4</v>
      </c>
      <c r="AV816" s="5">
        <v>0.01</v>
      </c>
      <c r="AW816" s="5">
        <v>0.01</v>
      </c>
      <c r="AX816" s="5">
        <v>1.45</v>
      </c>
      <c r="AY816" s="5">
        <v>0.2</v>
      </c>
    </row>
    <row r="817" spans="1:51" x14ac:dyDescent="0.25">
      <c r="A817" s="5" t="s">
        <v>52</v>
      </c>
      <c r="B817" s="5" t="s">
        <v>82</v>
      </c>
      <c r="C817" s="5" t="s">
        <v>77</v>
      </c>
      <c r="D817" s="5">
        <v>2026</v>
      </c>
      <c r="F817" s="19" t="s">
        <v>289</v>
      </c>
      <c r="I817" s="5">
        <v>472</v>
      </c>
      <c r="J817" s="5" t="str">
        <f>IFERROR(VLOOKUP(I817,[1]INFO_LOCALES!$B:$C,2,FALSE),"")</f>
        <v>CALDERA I</v>
      </c>
      <c r="K817" s="5" t="str">
        <f>IFERROR(VLOOKUP(Tabla2[[#This Row],[TIENDA]],[1]INFO_LOCALES!$B:$D,3,FALSE),"")</f>
        <v>III - Atacama</v>
      </c>
      <c r="L817" s="5" t="str">
        <f>IFERROR(VLOOKUP(I817,[1]INFO_LOCALES!$B:$I,8,FALSE),"")</f>
        <v>Caldera</v>
      </c>
      <c r="M817" s="5" t="str">
        <f>IFERROR(VLOOKUP(I817,[1]INFO_LOCALES!$B:$H,7,FALSE),"")</f>
        <v>Batallon Atacama 319</v>
      </c>
      <c r="N817" s="5">
        <f>IFERROR(VLOOKUP(I817,[1]INFO_LOCALES!$B:$E,4,FALSE),"")</f>
        <v>0</v>
      </c>
      <c r="O817" s="5" t="str">
        <f>VLOOKUP(Tabla2[[#This Row],[TIENDA]],[1]INFO_LOCALES!$B:$J,9,0)</f>
        <v>CONVENIO</v>
      </c>
      <c r="P817" s="5" t="str">
        <f>IFERROR(VLOOKUP(I817,[1]INFO_LOCALES!$B:$F,5,FALSE),"")</f>
        <v>NUEVA ATACAMA</v>
      </c>
      <c r="Q817" s="5" t="s">
        <v>85</v>
      </c>
      <c r="R817" s="5" t="s">
        <v>86</v>
      </c>
      <c r="S817" s="6"/>
      <c r="T817" s="5" t="str">
        <f>UPPER(IF(Tabla2[[#This Row],[FECHA DE MUESTREO ]]=0,"",TEXT(Tabla2[[#This Row],[FECHA DE MUESTREO ]],("MMMM"))))</f>
        <v/>
      </c>
      <c r="U817" s="6"/>
      <c r="V817" s="5" t="s">
        <v>59</v>
      </c>
      <c r="W8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17" s="7">
        <f t="shared" si="30"/>
        <v>1</v>
      </c>
      <c r="AH817" s="5">
        <f ca="1">Tabla2[[#This Row],[VOLUMEN DE DESCARGA MENSUAL (M3/M)]]*30</f>
        <v>0</v>
      </c>
      <c r="AI817" s="5">
        <f t="shared" ca="1" si="29"/>
        <v>0</v>
      </c>
    </row>
    <row r="818" spans="1:51" x14ac:dyDescent="0.25">
      <c r="A818" s="5" t="s">
        <v>152</v>
      </c>
      <c r="B818" s="5" t="e">
        <v>#N/A</v>
      </c>
      <c r="C818" s="5" t="e">
        <v>#N/A</v>
      </c>
      <c r="D818" s="5">
        <v>2026</v>
      </c>
      <c r="E818" s="5" t="s">
        <v>294</v>
      </c>
      <c r="F818" s="19" t="s">
        <v>289</v>
      </c>
      <c r="G818" s="5" t="s">
        <v>61</v>
      </c>
      <c r="H818" s="5" t="s">
        <v>57</v>
      </c>
      <c r="I818" s="5">
        <v>3014</v>
      </c>
      <c r="J818" s="5" t="str">
        <f>IFERROR(VLOOKUP(I818,[1]INFO_LOCALES!$B:$C,2,FALSE),"")</f>
        <v>M10 SAN FERNANDO</v>
      </c>
      <c r="K818" s="5" t="str">
        <f>IFERROR(VLOOKUP(Tabla2[[#This Row],[TIENDA]],[1]INFO_LOCALES!$B:$D,3,FALSE),"")</f>
        <v>VI - O'Higgins</v>
      </c>
      <c r="L818" s="5" t="str">
        <f>IFERROR(VLOOKUP(I818,[1]INFO_LOCALES!$B:$I,8,FALSE),"")</f>
        <v>San Fernando</v>
      </c>
      <c r="M818" s="5" t="str">
        <f>IFERROR(VLOOKUP(I818,[1]INFO_LOCALES!$B:$H,7,FALSE),"")</f>
        <v>Chillan 745</v>
      </c>
      <c r="N818" s="5">
        <f>IFERROR(VLOOKUP(I818,[1]INFO_LOCALES!$B:$E,4,FALSE),"")</f>
        <v>1298</v>
      </c>
      <c r="O818" s="5" t="str">
        <f>VLOOKUP(Tabla2[[#This Row],[TIENDA]],[1]INFO_LOCALES!$B:$J,9,0)</f>
        <v>TERMINADO</v>
      </c>
      <c r="P818" s="5" t="str">
        <f>IFERROR(VLOOKUP(I818,[1]INFO_LOCALES!$B:$F,5,FALSE),"")</f>
        <v>ESSBIO S.A.</v>
      </c>
      <c r="Q818" s="5" t="s">
        <v>85</v>
      </c>
      <c r="R818" s="5" t="s">
        <v>86</v>
      </c>
      <c r="S818" s="6"/>
      <c r="T818" s="5" t="str">
        <f>UPPER(IF(Tabla2[[#This Row],[FECHA DE MUESTREO ]]=0,"",TEXT(Tabla2[[#This Row],[FECHA DE MUESTREO ]],("MMMM"))))</f>
        <v>FEBRERO</v>
      </c>
      <c r="U818" s="6">
        <v>46080</v>
      </c>
      <c r="V818" s="5" t="s">
        <v>59</v>
      </c>
      <c r="W8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18" s="7">
        <f t="shared" si="30"/>
        <v>2</v>
      </c>
      <c r="Y818" s="5">
        <v>25.1</v>
      </c>
      <c r="Z818" s="5">
        <v>7.35</v>
      </c>
      <c r="AA818" s="5">
        <v>6.3</v>
      </c>
      <c r="AB818" s="5">
        <v>22.06</v>
      </c>
      <c r="AC818" s="5">
        <v>207.5</v>
      </c>
      <c r="AD818" s="5">
        <v>11.7</v>
      </c>
      <c r="AE818" s="5">
        <v>12.3</v>
      </c>
      <c r="AF818" s="5">
        <v>30</v>
      </c>
      <c r="AG818" s="5">
        <v>145</v>
      </c>
      <c r="AH818" s="5">
        <v>3.02</v>
      </c>
    </row>
    <row r="819" spans="1:51" x14ac:dyDescent="0.25">
      <c r="A819" s="5" t="s">
        <v>210</v>
      </c>
      <c r="B819" s="5" t="e">
        <v>#N/A</v>
      </c>
      <c r="C819" s="5" t="e">
        <v>#N/A</v>
      </c>
      <c r="D819" s="5">
        <v>2026</v>
      </c>
      <c r="F819" s="19" t="s">
        <v>289</v>
      </c>
      <c r="G819" s="5" t="s">
        <v>65</v>
      </c>
      <c r="H819" s="5" t="s">
        <v>57</v>
      </c>
      <c r="I819" s="5">
        <v>9051</v>
      </c>
      <c r="J819" s="5" t="str">
        <f>IFERROR(VLOOKUP(I819,[1]INFO_LOCALES!$B:$C,2,FALSE),"")</f>
        <v>CD NUEVO COQUIMBO</v>
      </c>
      <c r="K819" s="5" t="str">
        <f>IFERROR(VLOOKUP(Tabla2[[#This Row],[TIENDA]],[1]INFO_LOCALES!$B:$D,3,FALSE),"")</f>
        <v>IV - Coquimbo</v>
      </c>
      <c r="L819" s="5" t="str">
        <f>IFERROR(VLOOKUP(I819,[1]INFO_LOCALES!$B:$I,8,FALSE),"")</f>
        <v>Coquimbo</v>
      </c>
      <c r="M819" s="5" t="str">
        <f>IFERROR(VLOOKUP(I819,[1]INFO_LOCALES!$B:$H,7,FALSE),"")</f>
        <v>PAN DE AZUCAR S/N</v>
      </c>
      <c r="N819" s="5">
        <f>IFERROR(VLOOKUP(I819,[1]INFO_LOCALES!$B:$E,4,FALSE),"")</f>
        <v>0</v>
      </c>
      <c r="O819" s="5" t="str">
        <f>VLOOKUP(Tabla2[[#This Row],[TIENDA]],[1]INFO_LOCALES!$B:$J,9,0)</f>
        <v>SIN CONVENIO</v>
      </c>
      <c r="P819" s="5" t="str">
        <f>IFERROR(VLOOKUP(I819,[1]INFO_LOCALES!$B:$F,5,FALSE),"")</f>
        <v>RENTAS COQUIMBO SPA</v>
      </c>
      <c r="Q819" s="5" t="s">
        <v>85</v>
      </c>
      <c r="R819" s="5" t="s">
        <v>86</v>
      </c>
      <c r="S819" s="6"/>
      <c r="T819" s="5" t="str">
        <f>UPPER(IF(Tabla2[[#This Row],[FECHA DE MUESTREO ]]=0,"",TEXT(Tabla2[[#This Row],[FECHA DE MUESTREO ]],("MMMM"))))</f>
        <v>FEBRERO</v>
      </c>
      <c r="U819" s="6">
        <v>46063</v>
      </c>
      <c r="V819" s="5" t="s">
        <v>118</v>
      </c>
      <c r="W8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19" s="7">
        <f t="shared" si="30"/>
        <v>1</v>
      </c>
      <c r="Y819" s="5">
        <v>5.2</v>
      </c>
      <c r="Z819" s="5">
        <v>7.9</v>
      </c>
      <c r="AA819" s="5">
        <v>0.7</v>
      </c>
      <c r="AB819" s="5">
        <v>23.08</v>
      </c>
      <c r="AC819" s="5">
        <v>20.2</v>
      </c>
      <c r="AD819" s="5">
        <v>5.7</v>
      </c>
      <c r="AE819" s="5">
        <v>13.6</v>
      </c>
      <c r="AG819" s="5">
        <v>18</v>
      </c>
      <c r="AH819" s="5">
        <f ca="1">Tabla2[[#This Row],[VOLUMEN DE DESCARGA MENSUAL (M3/M)]]*30</f>
        <v>0</v>
      </c>
      <c r="AI819" s="5">
        <f t="shared" ca="1" si="29"/>
        <v>0</v>
      </c>
      <c r="AJ819" s="5">
        <v>8.4000000000000005E-2</v>
      </c>
      <c r="AK819" s="5">
        <v>3.0000000000000001E-3</v>
      </c>
      <c r="AL819" s="5">
        <v>0.41499999999999998</v>
      </c>
      <c r="AM819" s="5">
        <v>4.0000000000000001E-3</v>
      </c>
      <c r="AN819" s="5">
        <v>2E-3</v>
      </c>
      <c r="AO819" s="5">
        <v>7.0999999999999994E-2</v>
      </c>
      <c r="AP819" s="5">
        <v>0.01</v>
      </c>
      <c r="AR819" s="5">
        <v>0.03</v>
      </c>
      <c r="AS819" s="5">
        <v>2</v>
      </c>
      <c r="AT819" s="5">
        <v>2.9000000000000001E-2</v>
      </c>
      <c r="AU819" s="5">
        <v>1E-3</v>
      </c>
      <c r="AV819" s="5">
        <v>1.4999999999999999E-2</v>
      </c>
      <c r="AW819" s="5">
        <v>0.04</v>
      </c>
      <c r="AX819" s="5">
        <v>225.5</v>
      </c>
      <c r="AY819" s="5">
        <v>1.1999999999999999E-3</v>
      </c>
    </row>
    <row r="820" spans="1:51" x14ac:dyDescent="0.25">
      <c r="A820" s="5" t="s">
        <v>210</v>
      </c>
      <c r="B820" s="5" t="e">
        <v>#N/A</v>
      </c>
      <c r="C820" s="5" t="e">
        <v>#N/A</v>
      </c>
      <c r="D820" s="5">
        <v>2026</v>
      </c>
      <c r="E820" s="21" t="s">
        <v>295</v>
      </c>
      <c r="F820" s="19" t="s">
        <v>289</v>
      </c>
      <c r="G820" s="5" t="s">
        <v>61</v>
      </c>
      <c r="H820" s="5" t="s">
        <v>57</v>
      </c>
      <c r="I820" s="5">
        <v>9139</v>
      </c>
      <c r="J820" s="5" t="str">
        <f>IFERROR(VLOOKUP(I820,[1]INFO_LOCALES!$B:$C,2,FALSE),"")</f>
        <v>CD LO AGUIRRE</v>
      </c>
      <c r="K820" s="5" t="str">
        <f>IFERROR(VLOOKUP(Tabla2[[#This Row],[TIENDA]],[1]INFO_LOCALES!$B:$D,3,FALSE),"")</f>
        <v>RM - Santiago</v>
      </c>
      <c r="L820" s="5" t="str">
        <f>IFERROR(VLOOKUP(I820,[1]INFO_LOCALES!$B:$I,8,FALSE),"")</f>
        <v>Pudahuel</v>
      </c>
      <c r="M820" s="5" t="str">
        <f>IFERROR(VLOOKUP(I820,[1]INFO_LOCALES!$B:$H,7,FALSE),"")</f>
        <v>CAMINO LO AGUIRRE SUR 537</v>
      </c>
      <c r="N820" s="5">
        <f>IFERROR(VLOOKUP(I820,[1]INFO_LOCALES!$B:$E,4,FALSE),"")</f>
        <v>3552</v>
      </c>
      <c r="O820" s="5" t="str">
        <f>VLOOKUP(Tabla2[[#This Row],[TIENDA]],[1]INFO_LOCALES!$B:$J,9,0)</f>
        <v>SIN CONVENIO</v>
      </c>
      <c r="P820" s="5" t="str">
        <f>IFERROR(VLOOKUP(I820,[1]INFO_LOCALES!$B:$F,5,FALSE),"")</f>
        <v>AGUAS IZARRA</v>
      </c>
      <c r="Q820" s="5" t="s">
        <v>85</v>
      </c>
      <c r="R820" s="5" t="s">
        <v>86</v>
      </c>
      <c r="S820" s="6"/>
      <c r="T820" s="5" t="str">
        <f>UPPER(IF(Tabla2[[#This Row],[FECHA DE MUESTREO ]]=0,"",TEXT(Tabla2[[#This Row],[FECHA DE MUESTREO ]],("MMMM"))))</f>
        <v>FEBRERO</v>
      </c>
      <c r="U820" s="6">
        <v>46072</v>
      </c>
      <c r="V820" s="5" t="s">
        <v>59</v>
      </c>
      <c r="W8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20" s="7">
        <f t="shared" si="30"/>
        <v>1</v>
      </c>
      <c r="Y820" s="5">
        <v>10</v>
      </c>
      <c r="Z820" s="5">
        <v>7.51</v>
      </c>
      <c r="AA820" s="5">
        <v>0.7</v>
      </c>
      <c r="AB820" s="5">
        <v>23.06</v>
      </c>
      <c r="AC820" s="5">
        <v>94.6</v>
      </c>
      <c r="AD820" s="5">
        <v>4.9000000000000004</v>
      </c>
      <c r="AE820" s="5">
        <v>5.6</v>
      </c>
      <c r="AF820" s="5">
        <v>0.3</v>
      </c>
      <c r="AG820" s="5">
        <v>16</v>
      </c>
      <c r="AH820" s="5">
        <v>0.82</v>
      </c>
      <c r="AI820" s="5">
        <f t="shared" si="29"/>
        <v>24.599999999999998</v>
      </c>
    </row>
    <row r="821" spans="1:51" x14ac:dyDescent="0.25">
      <c r="A821" s="5" t="s">
        <v>52</v>
      </c>
      <c r="B821" s="5" t="s">
        <v>103</v>
      </c>
      <c r="C821" s="5" t="s">
        <v>77</v>
      </c>
      <c r="D821" s="5">
        <v>2026</v>
      </c>
      <c r="F821" s="5" t="s">
        <v>58</v>
      </c>
      <c r="G821" s="5" t="s">
        <v>229</v>
      </c>
      <c r="H821" s="5" t="s">
        <v>57</v>
      </c>
      <c r="I821" s="5">
        <v>27</v>
      </c>
      <c r="J821" s="5" t="str">
        <f>IFERROR(VLOOKUP(I821,[1]INFO_LOCALES!$B:$C,2,FALSE),"")</f>
        <v>PAMPINO</v>
      </c>
      <c r="K821" s="5" t="str">
        <f>IFERROR(VLOOKUP(Tabla2[[#This Row],[TIENDA]],[1]INFO_LOCALES!$B:$D,3,FALSE),"")</f>
        <v>II - Antofagasta</v>
      </c>
      <c r="L821" s="5" t="str">
        <f>IFERROR(VLOOKUP(I821,[1]INFO_LOCALES!$B:$I,8,FALSE),"")</f>
        <v>Antofagasta</v>
      </c>
      <c r="M821" s="5" t="str">
        <f>IFERROR(VLOOKUP(I821,[1]INFO_LOCALES!$B:$H,7,FALSE),"")</f>
        <v>Av. Santos Ossa 2350</v>
      </c>
      <c r="N821" s="5">
        <f>IFERROR(VLOOKUP(I821,[1]INFO_LOCALES!$B:$E,4,FALSE),"")</f>
        <v>0</v>
      </c>
      <c r="O821" s="5" t="str">
        <f>VLOOKUP(Tabla2[[#This Row],[TIENDA]],[1]INFO_LOCALES!$B:$J,9,0)</f>
        <v>SIN CONVENIO</v>
      </c>
      <c r="P821" s="5" t="str">
        <f>IFERROR(VLOOKUP(I821,[1]INFO_LOCALES!$B:$F,5,FALSE),"")</f>
        <v>AGUAS DE ANTOFAGASTA S A</v>
      </c>
      <c r="Q821" s="5" t="s">
        <v>105</v>
      </c>
      <c r="R821" s="5" t="s">
        <v>58</v>
      </c>
      <c r="S821" s="6"/>
      <c r="T821" s="5" t="str">
        <f>UPPER(IF(Tabla2[[#This Row],[FECHA DE MUESTREO ]]=0,"",TEXT(Tabla2[[#This Row],[FECHA DE MUESTREO ]],("MMMM"))))</f>
        <v>NOVIEMBRE</v>
      </c>
      <c r="U821" s="6">
        <v>45973</v>
      </c>
      <c r="V821" s="5" t="s">
        <v>59</v>
      </c>
      <c r="W8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21" s="7">
        <f t="shared" si="30"/>
        <v>1</v>
      </c>
      <c r="Y821" s="5">
        <v>20</v>
      </c>
      <c r="Z821" s="5">
        <v>6.57</v>
      </c>
      <c r="AA821" s="5">
        <v>0.8</v>
      </c>
      <c r="AB821" s="5">
        <v>21.6</v>
      </c>
      <c r="AC821" s="5">
        <v>118</v>
      </c>
      <c r="AD821" s="5">
        <v>2.71</v>
      </c>
      <c r="AE821" s="5">
        <v>16.25</v>
      </c>
      <c r="AF821" s="5">
        <v>1</v>
      </c>
      <c r="AG821" s="5">
        <v>111</v>
      </c>
      <c r="AH821" s="5">
        <f ca="1">Tabla2[[#This Row],[VOLUMEN DE DESCARGA MENSUAL (M3/M)]]*30</f>
        <v>0</v>
      </c>
      <c r="AI821" s="5">
        <f t="shared" ca="1" si="29"/>
        <v>0</v>
      </c>
      <c r="AX821" s="5">
        <v>70</v>
      </c>
      <c r="AY821" s="5">
        <v>0.03</v>
      </c>
    </row>
    <row r="822" spans="1:51" x14ac:dyDescent="0.25">
      <c r="A822" s="5" t="s">
        <v>52</v>
      </c>
      <c r="B822" s="5" t="s">
        <v>103</v>
      </c>
      <c r="C822" s="5" t="s">
        <v>77</v>
      </c>
      <c r="D822" s="5">
        <v>2026</v>
      </c>
      <c r="E822" s="16" t="s">
        <v>270</v>
      </c>
      <c r="F822" s="5" t="s">
        <v>58</v>
      </c>
      <c r="G822" s="5" t="s">
        <v>61</v>
      </c>
      <c r="H822" s="5" t="s">
        <v>253</v>
      </c>
      <c r="I822" s="5">
        <v>29</v>
      </c>
      <c r="J822" s="5" t="str">
        <f>IFERROR(VLOOKUP(I822,[1]INFO_LOCALES!$B:$C,2,FALSE),"")</f>
        <v>GRAN VIA</v>
      </c>
      <c r="K822" s="5" t="str">
        <f>IFERROR(VLOOKUP(Tabla2[[#This Row],[TIENDA]],[1]INFO_LOCALES!$B:$D,3,FALSE),"")</f>
        <v>II - Antofagasta</v>
      </c>
      <c r="L822" s="5" t="str">
        <f>IFERROR(VLOOKUP(I822,[1]INFO_LOCALES!$B:$I,8,FALSE),"")</f>
        <v>Antofagasta</v>
      </c>
      <c r="M822" s="5" t="str">
        <f>IFERROR(VLOOKUP(I822,[1]INFO_LOCALES!$B:$H,7,FALSE),"")</f>
        <v>Av. Angamos 0159</v>
      </c>
      <c r="N822" s="5">
        <f>IFERROR(VLOOKUP(I822,[1]INFO_LOCALES!$B:$E,4,FALSE),"")</f>
        <v>0</v>
      </c>
      <c r="O822" s="5" t="str">
        <f>VLOOKUP(Tabla2[[#This Row],[TIENDA]],[1]INFO_LOCALES!$B:$J,9,0)</f>
        <v>SIN CONVENIO</v>
      </c>
      <c r="P822" s="5" t="str">
        <f>IFERROR(VLOOKUP(I822,[1]INFO_LOCALES!$B:$F,5,FALSE),"")</f>
        <v>AGUAS DE ANTOFAGASTA S A</v>
      </c>
      <c r="Q822" s="5" t="s">
        <v>105</v>
      </c>
      <c r="R822" s="5" t="s">
        <v>58</v>
      </c>
      <c r="S822" s="6"/>
      <c r="T822" s="5" t="str">
        <f>UPPER(IF(Tabla2[[#This Row],[FECHA DE MUESTREO ]]=0,"",TEXT(Tabla2[[#This Row],[FECHA DE MUESTREO ]],("MMMM"))))</f>
        <v>NOVIEMBRE</v>
      </c>
      <c r="U822" s="6">
        <v>45973</v>
      </c>
      <c r="V822" s="5" t="s">
        <v>59</v>
      </c>
      <c r="W8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22" s="7">
        <f t="shared" si="30"/>
        <v>3</v>
      </c>
      <c r="Y822" s="5">
        <v>72</v>
      </c>
      <c r="Z822" s="5">
        <v>8.57</v>
      </c>
      <c r="AA822" s="5">
        <v>12.3</v>
      </c>
      <c r="AB822" s="5">
        <v>20.100000000000001</v>
      </c>
      <c r="AC822" s="5">
        <v>870</v>
      </c>
      <c r="AD822" s="5">
        <v>6.65</v>
      </c>
      <c r="AE822" s="5">
        <v>0.57999999999999996</v>
      </c>
      <c r="AF822" s="5">
        <v>0.5</v>
      </c>
      <c r="AG822" s="5">
        <v>223</v>
      </c>
      <c r="AH822" s="5">
        <f ca="1">Tabla2[[#This Row],[VOLUMEN DE DESCARGA MENSUAL (M3/M)]]*30</f>
        <v>0</v>
      </c>
      <c r="AI822" s="5">
        <f t="shared" ca="1" si="29"/>
        <v>0</v>
      </c>
      <c r="AX822" s="5">
        <v>4839</v>
      </c>
    </row>
    <row r="823" spans="1:51" x14ac:dyDescent="0.25">
      <c r="A823" s="5" t="s">
        <v>52</v>
      </c>
      <c r="B823" s="5" t="s">
        <v>90</v>
      </c>
      <c r="C823" s="5" t="s">
        <v>81</v>
      </c>
      <c r="D823" s="5">
        <v>2026</v>
      </c>
      <c r="F823" s="5" t="s">
        <v>58</v>
      </c>
      <c r="G823" s="5" t="s">
        <v>229</v>
      </c>
      <c r="H823" s="5" t="s">
        <v>57</v>
      </c>
      <c r="I823" s="5">
        <v>778</v>
      </c>
      <c r="J823" s="5" t="str">
        <f>IFERROR(VLOOKUP(I823,[1]INFO_LOCALES!$B:$C,2,FALSE),"")</f>
        <v>ORIENTE</v>
      </c>
      <c r="K823" s="5" t="str">
        <f>IFERROR(VLOOKUP(Tabla2[[#This Row],[TIENDA]],[1]INFO_LOCALES!$B:$D,3,FALSE),"")</f>
        <v>X - Los Lagos</v>
      </c>
      <c r="L823" s="5" t="str">
        <f>IFERROR(VLOOKUP(I823,[1]INFO_LOCALES!$B:$I,8,FALSE),"")</f>
        <v>Osorno</v>
      </c>
      <c r="M823" s="5" t="str">
        <f>IFERROR(VLOOKUP(I823,[1]INFO_LOCALES!$B:$H,7,FALSE),"")</f>
        <v>Julio Buschman 2223</v>
      </c>
      <c r="N823" s="5">
        <f>IFERROR(VLOOKUP(I823,[1]INFO_LOCALES!$B:$E,4,FALSE),"")</f>
        <v>2867</v>
      </c>
      <c r="O823" s="5" t="str">
        <f>VLOOKUP(Tabla2[[#This Row],[TIENDA]],[1]INFO_LOCALES!$B:$J,9,0)</f>
        <v>CONVENIO</v>
      </c>
      <c r="P823" s="5" t="str">
        <f>IFERROR(VLOOKUP(I823,[1]INFO_LOCALES!$B:$F,5,FALSE),"")</f>
        <v>SURALIS</v>
      </c>
      <c r="Q823" s="5" t="s">
        <v>105</v>
      </c>
      <c r="R823" s="5" t="s">
        <v>58</v>
      </c>
      <c r="S823" s="6"/>
      <c r="T823" s="5" t="str">
        <f>UPPER(IF(Tabla2[[#This Row],[FECHA DE MUESTREO ]]=0,"",TEXT(Tabla2[[#This Row],[FECHA DE MUESTREO ]],("MMMM"))))</f>
        <v>DICIEMBRE</v>
      </c>
      <c r="U823" s="6">
        <v>46001</v>
      </c>
      <c r="V823" s="5" t="s">
        <v>59</v>
      </c>
      <c r="W8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23" s="7">
        <f t="shared" si="30"/>
        <v>2</v>
      </c>
      <c r="Y823" s="5">
        <v>14</v>
      </c>
      <c r="Z823" s="5">
        <v>7.9</v>
      </c>
      <c r="AA823" s="5">
        <v>2</v>
      </c>
      <c r="AB823" s="5">
        <v>14.4</v>
      </c>
      <c r="AC823" s="5">
        <v>183</v>
      </c>
      <c r="AD823" s="5">
        <v>25.7</v>
      </c>
      <c r="AE823" s="5">
        <v>76.900000000000006</v>
      </c>
      <c r="AF823" s="5">
        <v>0.5</v>
      </c>
      <c r="AG823" s="5">
        <v>183</v>
      </c>
      <c r="AH823" s="5">
        <v>15</v>
      </c>
      <c r="AI823" s="5">
        <f t="shared" si="29"/>
        <v>450</v>
      </c>
    </row>
    <row r="824" spans="1:51" x14ac:dyDescent="0.25">
      <c r="A824" s="5" t="s">
        <v>52</v>
      </c>
      <c r="B824" s="5" t="s">
        <v>90</v>
      </c>
      <c r="C824" s="5" t="s">
        <v>81</v>
      </c>
      <c r="D824" s="5">
        <v>2026</v>
      </c>
      <c r="F824" s="5" t="s">
        <v>58</v>
      </c>
      <c r="G824" s="5" t="s">
        <v>229</v>
      </c>
      <c r="H824" s="5" t="s">
        <v>57</v>
      </c>
      <c r="I824" s="5">
        <v>777</v>
      </c>
      <c r="J824" s="5" t="str">
        <f>IFERROR(VLOOKUP(I824,[1]INFO_LOCALES!$B:$C,2,FALSE),"")</f>
        <v>CENTRAL</v>
      </c>
      <c r="K824" s="5" t="str">
        <f>IFERROR(VLOOKUP(Tabla2[[#This Row],[TIENDA]],[1]INFO_LOCALES!$B:$D,3,FALSE),"")</f>
        <v>X - Los Lagos</v>
      </c>
      <c r="L824" s="5" t="str">
        <f>IFERROR(VLOOKUP(I824,[1]INFO_LOCALES!$B:$I,8,FALSE),"")</f>
        <v>Osorno</v>
      </c>
      <c r="M824" s="5" t="str">
        <f>IFERROR(VLOOKUP(I824,[1]INFO_LOCALES!$B:$H,7,FALSE),"")</f>
        <v>Patricio Lynch 1278</v>
      </c>
      <c r="N824" s="5">
        <f>IFERROR(VLOOKUP(I824,[1]INFO_LOCALES!$B:$E,4,FALSE),"")</f>
        <v>3684</v>
      </c>
      <c r="O824" s="5" t="str">
        <f>VLOOKUP(Tabla2[[#This Row],[TIENDA]],[1]INFO_LOCALES!$B:$J,9,0)</f>
        <v>CONVENIO</v>
      </c>
      <c r="P824" s="5" t="str">
        <f>IFERROR(VLOOKUP(I824,[1]INFO_LOCALES!$B:$F,5,FALSE),"")</f>
        <v>SURALIS</v>
      </c>
      <c r="Q824" s="5" t="s">
        <v>105</v>
      </c>
      <c r="R824" s="5" t="s">
        <v>58</v>
      </c>
      <c r="S824" s="6"/>
      <c r="T824" s="5" t="str">
        <f>UPPER(IF(Tabla2[[#This Row],[FECHA DE MUESTREO ]]=0,"",TEXT(Tabla2[[#This Row],[FECHA DE MUESTREO ]],("MMMM"))))</f>
        <v>DICIEMBRE</v>
      </c>
      <c r="U824" s="6">
        <v>45994</v>
      </c>
      <c r="V824" s="5" t="s">
        <v>59</v>
      </c>
      <c r="W8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24" s="7">
        <f t="shared" si="30"/>
        <v>2</v>
      </c>
      <c r="Y824" s="5">
        <v>14</v>
      </c>
      <c r="Z824" s="5">
        <v>7.5</v>
      </c>
      <c r="AA824" s="5">
        <v>8</v>
      </c>
      <c r="AB824" s="5">
        <v>15.8</v>
      </c>
      <c r="AC824" s="5">
        <v>290</v>
      </c>
      <c r="AD824" s="5">
        <v>5.6</v>
      </c>
      <c r="AE824" s="5">
        <v>2.8</v>
      </c>
      <c r="AF824" s="5">
        <v>0.5</v>
      </c>
      <c r="AG824" s="5">
        <v>72</v>
      </c>
      <c r="AH824" s="5">
        <v>52</v>
      </c>
      <c r="AI824" s="5">
        <f t="shared" si="29"/>
        <v>1560</v>
      </c>
    </row>
    <row r="825" spans="1:51" x14ac:dyDescent="0.25">
      <c r="A825" s="5" t="s">
        <v>52</v>
      </c>
      <c r="B825" s="5" t="s">
        <v>90</v>
      </c>
      <c r="C825" s="5" t="s">
        <v>81</v>
      </c>
      <c r="D825" s="5">
        <v>2026</v>
      </c>
      <c r="E825" s="16" t="s">
        <v>296</v>
      </c>
      <c r="F825" s="5" t="s">
        <v>58</v>
      </c>
      <c r="G825" s="5" t="s">
        <v>61</v>
      </c>
      <c r="H825" s="5" t="s">
        <v>249</v>
      </c>
      <c r="I825" s="5">
        <v>777</v>
      </c>
      <c r="J825" s="5" t="str">
        <f>IFERROR(VLOOKUP(I825,[1]INFO_LOCALES!$B:$C,2,FALSE),"")</f>
        <v>CENTRAL</v>
      </c>
      <c r="K825" s="5" t="str">
        <f>IFERROR(VLOOKUP(Tabla2[[#This Row],[TIENDA]],[1]INFO_LOCALES!$B:$D,3,FALSE),"")</f>
        <v>X - Los Lagos</v>
      </c>
      <c r="L825" s="5" t="str">
        <f>IFERROR(VLOOKUP(I825,[1]INFO_LOCALES!$B:$I,8,FALSE),"")</f>
        <v>Osorno</v>
      </c>
      <c r="M825" s="5" t="str">
        <f>IFERROR(VLOOKUP(I825,[1]INFO_LOCALES!$B:$H,7,FALSE),"")</f>
        <v>Patricio Lynch 1278</v>
      </c>
      <c r="N825" s="5">
        <f>IFERROR(VLOOKUP(I825,[1]INFO_LOCALES!$B:$E,4,FALSE),"")</f>
        <v>3684</v>
      </c>
      <c r="O825" s="5" t="str">
        <f>VLOOKUP(Tabla2[[#This Row],[TIENDA]],[1]INFO_LOCALES!$B:$J,9,0)</f>
        <v>CONVENIO</v>
      </c>
      <c r="P825" s="5" t="str">
        <f>IFERROR(VLOOKUP(I825,[1]INFO_LOCALES!$B:$F,5,FALSE),"")</f>
        <v>SURALIS</v>
      </c>
      <c r="Q825" s="5" t="s">
        <v>105</v>
      </c>
      <c r="R825" s="5" t="s">
        <v>58</v>
      </c>
      <c r="S825" s="6"/>
      <c r="T825" s="5" t="str">
        <f>UPPER(IF(Tabla2[[#This Row],[FECHA DE MUESTREO ]]=0,"",TEXT(Tabla2[[#This Row],[FECHA DE MUESTREO ]],("MMMM"))))</f>
        <v>DICIEMBRE</v>
      </c>
      <c r="U825" s="6">
        <v>46022</v>
      </c>
      <c r="V825" s="5" t="s">
        <v>59</v>
      </c>
      <c r="W8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25" s="7">
        <f t="shared" si="30"/>
        <v>3</v>
      </c>
      <c r="Y825" s="5">
        <v>7.8</v>
      </c>
      <c r="Z825" s="5">
        <v>6.7</v>
      </c>
      <c r="AA825" s="5">
        <v>8</v>
      </c>
      <c r="AB825" s="5">
        <v>20.100000000000001</v>
      </c>
      <c r="AC825" s="5">
        <v>223</v>
      </c>
      <c r="AD825" s="5">
        <v>1.5</v>
      </c>
      <c r="AE825" s="5">
        <v>3.5</v>
      </c>
      <c r="AF825" s="5">
        <v>0.1</v>
      </c>
      <c r="AG825" s="5">
        <v>77</v>
      </c>
      <c r="AH825" s="5">
        <v>0.8</v>
      </c>
      <c r="AI825" s="5">
        <f t="shared" si="29"/>
        <v>24</v>
      </c>
      <c r="AJ825" s="5">
        <v>0.03</v>
      </c>
      <c r="AK825" s="5">
        <v>3.0000000000000001E-3</v>
      </c>
      <c r="AL825" s="5">
        <v>0.38</v>
      </c>
      <c r="AM825" s="5">
        <v>2E-3</v>
      </c>
      <c r="AN825" s="5">
        <v>3.0000000000000001E-3</v>
      </c>
      <c r="AO825" s="5">
        <v>0.12</v>
      </c>
      <c r="AP825" s="5">
        <v>0.13</v>
      </c>
      <c r="AQ825" s="5">
        <v>0.05</v>
      </c>
      <c r="AR825" s="5">
        <v>0.03</v>
      </c>
      <c r="AS825" s="5">
        <v>2</v>
      </c>
      <c r="AT825" s="5">
        <v>0.05</v>
      </c>
      <c r="AU825" s="5">
        <v>1E-3</v>
      </c>
      <c r="AV825" s="5">
        <v>1.4999999999999999E-2</v>
      </c>
      <c r="AW825" s="5">
        <v>0.04</v>
      </c>
      <c r="AX825" s="5">
        <v>19</v>
      </c>
      <c r="AY825" s="5">
        <v>19</v>
      </c>
    </row>
    <row r="826" spans="1:51" x14ac:dyDescent="0.25">
      <c r="A826" s="5" t="s">
        <v>52</v>
      </c>
      <c r="B826" s="5" t="s">
        <v>112</v>
      </c>
      <c r="C826" s="5" t="s">
        <v>70</v>
      </c>
      <c r="D826" s="5">
        <v>2026</v>
      </c>
      <c r="E826" s="5" t="s">
        <v>297</v>
      </c>
      <c r="F826" s="5" t="s">
        <v>58</v>
      </c>
      <c r="G826" s="5" t="s">
        <v>229</v>
      </c>
      <c r="H826" s="5" t="s">
        <v>247</v>
      </c>
      <c r="I826" s="5">
        <v>362</v>
      </c>
      <c r="J826" s="5" t="str">
        <f>IFERROR(VLOOKUP(I826,[1]INFO_LOCALES!$B:$C,2,FALSE),"")</f>
        <v>LAS TRANQUERAS</v>
      </c>
      <c r="K826" s="5" t="str">
        <f>IFERROR(VLOOKUP(Tabla2[[#This Row],[TIENDA]],[1]INFO_LOCALES!$B:$D,3,FALSE),"")</f>
        <v>RM - Santiago</v>
      </c>
      <c r="L826" s="5" t="str">
        <f>IFERROR(VLOOKUP(I826,[1]INFO_LOCALES!$B:$I,8,FALSE),"")</f>
        <v>Vitacura</v>
      </c>
      <c r="M826" s="5" t="str">
        <f>IFERROR(VLOOKUP(I826,[1]INFO_LOCALES!$B:$H,7,FALSE),"")</f>
        <v>Vitacura 8400</v>
      </c>
      <c r="N826" s="5">
        <f>IFERROR(VLOOKUP(I826,[1]INFO_LOCALES!$B:$E,4,FALSE),"")</f>
        <v>0</v>
      </c>
      <c r="O826" s="5" t="str">
        <f>VLOOKUP(Tabla2[[#This Row],[TIENDA]],[1]INFO_LOCALES!$B:$J,9,0)</f>
        <v>SIN CONVENIO</v>
      </c>
      <c r="P826" s="5" t="str">
        <f>IFERROR(VLOOKUP(I826,[1]INFO_LOCALES!$B:$F,5,FALSE),"")</f>
        <v>AGUAS CORDILLERA S.A.</v>
      </c>
      <c r="R826" s="5" t="s">
        <v>58</v>
      </c>
      <c r="S826" s="6"/>
      <c r="T826" s="5" t="str">
        <f>UPPER(IF(Tabla2[[#This Row],[FECHA DE MUESTREO ]]=0,"",TEXT(Tabla2[[#This Row],[FECHA DE MUESTREO ]],("MMMM"))))</f>
        <v>DICIEMBRE</v>
      </c>
      <c r="U826" s="6">
        <v>46003</v>
      </c>
      <c r="V826" s="5" t="s">
        <v>59</v>
      </c>
      <c r="W8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26" s="7">
        <f t="shared" si="30"/>
        <v>2</v>
      </c>
      <c r="Y826" s="5">
        <v>34</v>
      </c>
      <c r="Z826" s="5">
        <v>8.8000000000000007</v>
      </c>
      <c r="AA826" s="5">
        <v>0.8</v>
      </c>
      <c r="AB826" s="5">
        <v>15.1</v>
      </c>
      <c r="AC826" s="5">
        <v>161</v>
      </c>
      <c r="AD826" s="5">
        <v>17.2</v>
      </c>
      <c r="AE826" s="5">
        <v>106.81</v>
      </c>
      <c r="AF826" s="5">
        <v>1.2</v>
      </c>
      <c r="AG826" s="5">
        <v>164</v>
      </c>
      <c r="AH826" s="5">
        <v>4</v>
      </c>
      <c r="AI826" s="5">
        <f t="shared" si="29"/>
        <v>120</v>
      </c>
    </row>
    <row r="827" spans="1:51" x14ac:dyDescent="0.25">
      <c r="A827" s="5" t="s">
        <v>52</v>
      </c>
      <c r="B827" s="5" t="s">
        <v>128</v>
      </c>
      <c r="C827" s="5" t="s">
        <v>77</v>
      </c>
      <c r="D827" s="5">
        <v>2026</v>
      </c>
      <c r="E827" s="5" t="s">
        <v>298</v>
      </c>
      <c r="F827" s="22" t="s">
        <v>299</v>
      </c>
      <c r="G827" s="5" t="s">
        <v>61</v>
      </c>
      <c r="H827" s="5" t="s">
        <v>57</v>
      </c>
      <c r="I827" s="5">
        <v>5</v>
      </c>
      <c r="J827" s="5" t="str">
        <f>IFERROR(VLOOKUP(I827,[1]INFO_LOCALES!$B:$C,2,FALSE),"")</f>
        <v>LAS COMPAÑIAS</v>
      </c>
      <c r="K827" s="5" t="str">
        <f>IFERROR(VLOOKUP(Tabla2[[#This Row],[TIENDA]],[1]INFO_LOCALES!$B:$D,3,FALSE),"")</f>
        <v>IV - Coquimbo</v>
      </c>
      <c r="L827" s="5" t="str">
        <f>IFERROR(VLOOKUP(I827,[1]INFO_LOCALES!$B:$I,8,FALSE),"")</f>
        <v>La Serena</v>
      </c>
      <c r="M827" s="5" t="str">
        <f>IFERROR(VLOOKUP(I827,[1]INFO_LOCALES!$B:$H,7,FALSE),"")</f>
        <v>Nicaragua 1571</v>
      </c>
      <c r="N827" s="5">
        <f>IFERROR(VLOOKUP(I827,[1]INFO_LOCALES!$B:$E,4,FALSE),"")</f>
        <v>2644</v>
      </c>
      <c r="O827" s="5" t="str">
        <f>VLOOKUP(Tabla2[[#This Row],[TIENDA]],[1]INFO_LOCALES!$B:$J,9,0)</f>
        <v>SIN CONVENIO</v>
      </c>
      <c r="P827" s="5" t="str">
        <f>IFERROR(VLOOKUP(I827,[1]INFO_LOCALES!$B:$F,5,FALSE),"")</f>
        <v>AGUAS DEL VALLE S A</v>
      </c>
      <c r="Q827" s="5" t="s">
        <v>85</v>
      </c>
      <c r="R827" s="5" t="s">
        <v>86</v>
      </c>
      <c r="S827" s="6"/>
      <c r="T827" s="5" t="str">
        <f>UPPER(IF(Tabla2[[#This Row],[FECHA DE MUESTREO ]]=0,"",TEXT(Tabla2[[#This Row],[FECHA DE MUESTREO ]],("MMMM"))))</f>
        <v>MARZO</v>
      </c>
      <c r="U827" s="6">
        <v>46099</v>
      </c>
      <c r="V827" s="5" t="s">
        <v>59</v>
      </c>
      <c r="W8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27" s="7">
        <f t="shared" si="30"/>
        <v>2</v>
      </c>
      <c r="Y827" s="5">
        <v>4.8</v>
      </c>
      <c r="Z827" s="5">
        <v>7.51</v>
      </c>
      <c r="AA827" s="5">
        <v>7.3</v>
      </c>
      <c r="AB827" s="5">
        <v>23.7</v>
      </c>
      <c r="AC827" s="5">
        <v>119.6</v>
      </c>
      <c r="AD827" s="5">
        <v>6.5</v>
      </c>
      <c r="AE827" s="5">
        <v>26.3</v>
      </c>
      <c r="AF827" s="5">
        <v>0.1</v>
      </c>
      <c r="AG827" s="5">
        <v>53</v>
      </c>
      <c r="AH827" s="5">
        <v>1.01</v>
      </c>
      <c r="AI827" s="5">
        <f t="shared" si="29"/>
        <v>30.3</v>
      </c>
    </row>
    <row r="828" spans="1:51" x14ac:dyDescent="0.25">
      <c r="A828" s="5" t="s">
        <v>52</v>
      </c>
      <c r="B828" s="5" t="s">
        <v>82</v>
      </c>
      <c r="C828" s="5" t="s">
        <v>77</v>
      </c>
      <c r="D828" s="5">
        <v>2026</v>
      </c>
      <c r="F828" s="22" t="s">
        <v>299</v>
      </c>
      <c r="G828" s="5" t="s">
        <v>258</v>
      </c>
      <c r="H828" s="5" t="s">
        <v>57</v>
      </c>
      <c r="I828" s="5">
        <v>7</v>
      </c>
      <c r="J828" s="5" t="str">
        <f>IFERROR(VLOOKUP(I828,[1]INFO_LOCALES!$B:$C,2,FALSE),"")</f>
        <v>VALLENAR I</v>
      </c>
      <c r="K828" s="5" t="str">
        <f>IFERROR(VLOOKUP(Tabla2[[#This Row],[TIENDA]],[1]INFO_LOCALES!$B:$D,3,FALSE),"")</f>
        <v>III - Atacama</v>
      </c>
      <c r="L828" s="5" t="str">
        <f>IFERROR(VLOOKUP(I828,[1]INFO_LOCALES!$B:$I,8,FALSE),"")</f>
        <v>Vallenar</v>
      </c>
      <c r="M828" s="5" t="str">
        <f>IFERROR(VLOOKUP(I828,[1]INFO_LOCALES!$B:$H,7,FALSE),"")</f>
        <v>Brasil 663</v>
      </c>
      <c r="N828" s="5">
        <f>IFERROR(VLOOKUP(I828,[1]INFO_LOCALES!$B:$E,4,FALSE),"")</f>
        <v>0</v>
      </c>
      <c r="O828" s="5" t="str">
        <f>VLOOKUP(Tabla2[[#This Row],[TIENDA]],[1]INFO_LOCALES!$B:$J,9,0)</f>
        <v>CONVENIO</v>
      </c>
      <c r="P828" s="5" t="str">
        <f>IFERROR(VLOOKUP(I828,[1]INFO_LOCALES!$B:$F,5,FALSE),"")</f>
        <v>NUEVA ATACAMA</v>
      </c>
      <c r="Q828" s="5" t="s">
        <v>85</v>
      </c>
      <c r="R828" s="5" t="s">
        <v>86</v>
      </c>
      <c r="S828" s="6"/>
      <c r="T828" s="5" t="str">
        <f>UPPER(IF(Tabla2[[#This Row],[FECHA DE MUESTREO ]]=0,"",TEXT(Tabla2[[#This Row],[FECHA DE MUESTREO ]],("MMMM"))))</f>
        <v>MARZO</v>
      </c>
      <c r="U828" s="6">
        <v>46091</v>
      </c>
      <c r="V828" s="5" t="s">
        <v>59</v>
      </c>
      <c r="W8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28" s="7">
        <f t="shared" si="30"/>
        <v>3</v>
      </c>
      <c r="Y828" s="5">
        <v>101.6</v>
      </c>
      <c r="Z828" s="5">
        <v>7.23</v>
      </c>
      <c r="AA828" s="5">
        <v>15.3</v>
      </c>
      <c r="AB828" s="5">
        <v>20.46</v>
      </c>
      <c r="AC828" s="5">
        <v>820.8</v>
      </c>
      <c r="AD828" s="5">
        <v>5.9</v>
      </c>
      <c r="AE828" s="5">
        <v>36.299999999999997</v>
      </c>
      <c r="AF828" s="5">
        <v>0.2</v>
      </c>
      <c r="AG828" s="5">
        <v>200</v>
      </c>
      <c r="AH828" s="5">
        <f ca="1">Tabla2[[#This Row],[VOLUMEN DE DESCARGA MENSUAL (M3/M)]]*30</f>
        <v>0</v>
      </c>
      <c r="AI828" s="5">
        <f t="shared" ca="1" si="29"/>
        <v>0</v>
      </c>
    </row>
    <row r="829" spans="1:51" x14ac:dyDescent="0.25">
      <c r="A829" s="5" t="s">
        <v>52</v>
      </c>
      <c r="B829" s="5" t="s">
        <v>82</v>
      </c>
      <c r="C829" s="5" t="s">
        <v>77</v>
      </c>
      <c r="D829" s="5">
        <v>2026</v>
      </c>
      <c r="F829" s="22" t="s">
        <v>299</v>
      </c>
      <c r="G829" s="5" t="s">
        <v>258</v>
      </c>
      <c r="H829" s="5" t="s">
        <v>57</v>
      </c>
      <c r="I829" s="5">
        <v>14</v>
      </c>
      <c r="J829" s="5" t="str">
        <f>IFERROR(VLOOKUP(I829,[1]INFO_LOCALES!$B:$C,2,FALSE),"")</f>
        <v>COPIAPO</v>
      </c>
      <c r="K829" s="5" t="str">
        <f>IFERROR(VLOOKUP(Tabla2[[#This Row],[TIENDA]],[1]INFO_LOCALES!$B:$D,3,FALSE),"")</f>
        <v>III - Atacama</v>
      </c>
      <c r="L829" s="5" t="str">
        <f>IFERROR(VLOOKUP(I829,[1]INFO_LOCALES!$B:$I,8,FALSE),"")</f>
        <v>Copiapó</v>
      </c>
      <c r="M829" s="5" t="str">
        <f>IFERROR(VLOOKUP(I829,[1]INFO_LOCALES!$B:$H,7,FALSE),"")</f>
        <v>Av. Henrriquez N° 523</v>
      </c>
      <c r="N829" s="5">
        <f>IFERROR(VLOOKUP(I829,[1]INFO_LOCALES!$B:$E,4,FALSE),"")</f>
        <v>0</v>
      </c>
      <c r="O829" s="5" t="str">
        <f>VLOOKUP(Tabla2[[#This Row],[TIENDA]],[1]INFO_LOCALES!$B:$J,9,0)</f>
        <v>CONVENIO</v>
      </c>
      <c r="P829" s="5" t="str">
        <f>IFERROR(VLOOKUP(I829,[1]INFO_LOCALES!$B:$F,5,FALSE),"")</f>
        <v>NUEVA ATACAMA</v>
      </c>
      <c r="Q829" s="5" t="s">
        <v>85</v>
      </c>
      <c r="R829" s="5" t="s">
        <v>86</v>
      </c>
      <c r="S829" s="6"/>
      <c r="T829" s="5" t="str">
        <f>UPPER(IF(Tabla2[[#This Row],[FECHA DE MUESTREO ]]=0,"",TEXT(Tabla2[[#This Row],[FECHA DE MUESTREO ]],("MMMM"))))</f>
        <v>MARZO</v>
      </c>
      <c r="U829" s="6">
        <v>46090</v>
      </c>
      <c r="V829" s="5" t="s">
        <v>59</v>
      </c>
      <c r="W8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29" s="7">
        <f t="shared" si="30"/>
        <v>1</v>
      </c>
      <c r="Y829" s="5">
        <v>15.3</v>
      </c>
      <c r="Z829" s="5">
        <v>7.16</v>
      </c>
      <c r="AA829" s="5">
        <v>3.3</v>
      </c>
      <c r="AB829" s="5">
        <v>21.05</v>
      </c>
      <c r="AC829" s="5">
        <v>251.9</v>
      </c>
      <c r="AD829" s="5">
        <v>9.1999999999999993</v>
      </c>
      <c r="AE829" s="5">
        <v>12.3</v>
      </c>
      <c r="AF829" s="5">
        <v>0.1</v>
      </c>
      <c r="AG829" s="5">
        <v>19.2</v>
      </c>
      <c r="AH829" s="5">
        <f ca="1">Tabla2[[#This Row],[VOLUMEN DE DESCARGA MENSUAL (M3/M)]]*30</f>
        <v>0</v>
      </c>
      <c r="AI829" s="5">
        <f t="shared" ca="1" si="29"/>
        <v>0</v>
      </c>
    </row>
    <row r="830" spans="1:51" x14ac:dyDescent="0.25">
      <c r="A830" s="5" t="s">
        <v>52</v>
      </c>
      <c r="B830" s="5" t="s">
        <v>82</v>
      </c>
      <c r="C830" s="5" t="s">
        <v>77</v>
      </c>
      <c r="D830" s="5">
        <v>2026</v>
      </c>
      <c r="F830" s="22" t="s">
        <v>299</v>
      </c>
      <c r="G830" s="5" t="s">
        <v>258</v>
      </c>
      <c r="H830" s="5" t="s">
        <v>57</v>
      </c>
      <c r="I830" s="5">
        <v>16</v>
      </c>
      <c r="J830" s="5" t="str">
        <f>IFERROR(VLOOKUP(I830,[1]INFO_LOCALES!$B:$C,2,FALSE),"")</f>
        <v>VALLENAR II</v>
      </c>
      <c r="K830" s="5" t="str">
        <f>IFERROR(VLOOKUP(Tabla2[[#This Row],[TIENDA]],[1]INFO_LOCALES!$B:$D,3,FALSE),"")</f>
        <v>III - Atacama</v>
      </c>
      <c r="L830" s="5" t="str">
        <f>IFERROR(VLOOKUP(I830,[1]INFO_LOCALES!$B:$I,8,FALSE),"")</f>
        <v>Vallenar</v>
      </c>
      <c r="M830" s="5" t="str">
        <f>IFERROR(VLOOKUP(I830,[1]INFO_LOCALES!$B:$H,7,FALSE),"")</f>
        <v>Arturo Prat 2350</v>
      </c>
      <c r="N830" s="5">
        <f>IFERROR(VLOOKUP(I830,[1]INFO_LOCALES!$B:$E,4,FALSE),"")</f>
        <v>0</v>
      </c>
      <c r="O830" s="5" t="str">
        <f>VLOOKUP(Tabla2[[#This Row],[TIENDA]],[1]INFO_LOCALES!$B:$J,9,0)</f>
        <v>TERMINADO</v>
      </c>
      <c r="P830" s="5" t="str">
        <f>IFERROR(VLOOKUP(I830,[1]INFO_LOCALES!$B:$F,5,FALSE),"")</f>
        <v>NUEVA ATACAMA</v>
      </c>
      <c r="Q830" s="5" t="s">
        <v>85</v>
      </c>
      <c r="R830" s="5" t="s">
        <v>86</v>
      </c>
      <c r="S830" s="6"/>
      <c r="T830" s="5" t="str">
        <f>UPPER(IF(Tabla2[[#This Row],[FECHA DE MUESTREO ]]=0,"",TEXT(Tabla2[[#This Row],[FECHA DE MUESTREO ]],("MMMM"))))</f>
        <v>MARZO</v>
      </c>
      <c r="U830" s="6">
        <v>46091</v>
      </c>
      <c r="V830" s="5" t="s">
        <v>59</v>
      </c>
      <c r="W8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30" s="7">
        <f t="shared" si="30"/>
        <v>1</v>
      </c>
      <c r="Y830" s="5">
        <v>8.6</v>
      </c>
      <c r="Z830" s="5">
        <v>7.01</v>
      </c>
      <c r="AA830" s="5">
        <v>4.3</v>
      </c>
      <c r="AB830" s="5">
        <v>21.1</v>
      </c>
      <c r="AC830" s="5">
        <v>4.3</v>
      </c>
      <c r="AD830" s="5">
        <v>0.3</v>
      </c>
      <c r="AE830" s="5">
        <v>13.1</v>
      </c>
      <c r="AF830" s="5">
        <v>0.1</v>
      </c>
      <c r="AG830" s="5">
        <v>12.4</v>
      </c>
      <c r="AH830" s="5">
        <f ca="1">Tabla2[[#This Row],[VOLUMEN DE DESCARGA MENSUAL (M3/M)]]*30</f>
        <v>0</v>
      </c>
      <c r="AI830" s="5">
        <f t="shared" ca="1" si="29"/>
        <v>0</v>
      </c>
    </row>
    <row r="831" spans="1:51" x14ac:dyDescent="0.25">
      <c r="A831" s="5" t="s">
        <v>52</v>
      </c>
      <c r="B831" s="5" t="s">
        <v>128</v>
      </c>
      <c r="C831" s="5" t="s">
        <v>77</v>
      </c>
      <c r="D831" s="5">
        <v>2026</v>
      </c>
      <c r="F831" s="22" t="s">
        <v>299</v>
      </c>
      <c r="G831" s="5" t="s">
        <v>61</v>
      </c>
      <c r="H831" s="5" t="s">
        <v>57</v>
      </c>
      <c r="I831" s="5">
        <v>17</v>
      </c>
      <c r="J831" s="5" t="str">
        <f>IFERROR(VLOOKUP(I831,[1]INFO_LOCALES!$B:$C,2,FALSE),"")</f>
        <v>LOS ALAMOS</v>
      </c>
      <c r="K831" s="5" t="str">
        <f>IFERROR(VLOOKUP(Tabla2[[#This Row],[TIENDA]],[1]INFO_LOCALES!$B:$D,3,FALSE),"")</f>
        <v>IV - Coquimbo</v>
      </c>
      <c r="L831" s="5" t="str">
        <f>IFERROR(VLOOKUP(I831,[1]INFO_LOCALES!$B:$I,8,FALSE),"")</f>
        <v>Coquimbo</v>
      </c>
      <c r="M831" s="5" t="str">
        <f>IFERROR(VLOOKUP(I831,[1]INFO_LOCALES!$B:$H,7,FALSE),"")</f>
        <v>Los Alamos 580</v>
      </c>
      <c r="N831" s="5">
        <f>IFERROR(VLOOKUP(I831,[1]INFO_LOCALES!$B:$E,4,FALSE),"")</f>
        <v>2643</v>
      </c>
      <c r="O831" s="5" t="str">
        <f>VLOOKUP(Tabla2[[#This Row],[TIENDA]],[1]INFO_LOCALES!$B:$J,9,0)</f>
        <v>TERMINADO</v>
      </c>
      <c r="P831" s="5" t="str">
        <f>IFERROR(VLOOKUP(I831,[1]INFO_LOCALES!$B:$F,5,FALSE),"")</f>
        <v>AGUAS DEL VALLE S A</v>
      </c>
      <c r="Q831" s="5" t="s">
        <v>85</v>
      </c>
      <c r="R831" s="5" t="s">
        <v>86</v>
      </c>
      <c r="S831" s="6"/>
      <c r="T831" s="5" t="str">
        <f>UPPER(IF(Tabla2[[#This Row],[FECHA DE MUESTREO ]]=0,"",TEXT(Tabla2[[#This Row],[FECHA DE MUESTREO ]],("MMMM"))))</f>
        <v>MARZO</v>
      </c>
      <c r="U831" s="6">
        <v>46098</v>
      </c>
      <c r="V831" s="5" t="s">
        <v>59</v>
      </c>
      <c r="W8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31" s="7">
        <f t="shared" si="30"/>
        <v>1</v>
      </c>
      <c r="Y831" s="5">
        <v>11.6</v>
      </c>
      <c r="Z831" s="5">
        <v>8</v>
      </c>
      <c r="AA831" s="5">
        <v>2</v>
      </c>
      <c r="AB831" s="5">
        <v>23.84</v>
      </c>
      <c r="AC831" s="5">
        <v>81.400000000000006</v>
      </c>
      <c r="AD831" s="5">
        <v>4.5999999999999996</v>
      </c>
      <c r="AE831" s="5">
        <v>7.9</v>
      </c>
      <c r="AF831" s="5">
        <v>1.7</v>
      </c>
      <c r="AG831" s="5">
        <v>47.5</v>
      </c>
      <c r="AH831" s="5">
        <v>0.84</v>
      </c>
      <c r="AI831" s="5">
        <f t="shared" si="29"/>
        <v>25.2</v>
      </c>
    </row>
    <row r="832" spans="1:51" x14ac:dyDescent="0.25">
      <c r="A832" s="5" t="s">
        <v>52</v>
      </c>
      <c r="B832" s="5" t="s">
        <v>82</v>
      </c>
      <c r="C832" s="5" t="s">
        <v>77</v>
      </c>
      <c r="D832" s="5">
        <v>2026</v>
      </c>
      <c r="E832" s="5" t="s">
        <v>300</v>
      </c>
      <c r="F832" s="22" t="s">
        <v>299</v>
      </c>
      <c r="G832" s="5" t="s">
        <v>241</v>
      </c>
      <c r="H832" s="5" t="s">
        <v>57</v>
      </c>
      <c r="I832" s="5">
        <v>22</v>
      </c>
      <c r="J832" s="5" t="str">
        <f>IFERROR(VLOOKUP(I832,[1]INFO_LOCALES!$B:$C,2,FALSE),"")</f>
        <v>ATACAMA</v>
      </c>
      <c r="K832" s="5" t="str">
        <f>IFERROR(VLOOKUP(Tabla2[[#This Row],[TIENDA]],[1]INFO_LOCALES!$B:$D,3,FALSE),"")</f>
        <v>III - Atacama</v>
      </c>
      <c r="L832" s="5" t="str">
        <f>IFERROR(VLOOKUP(I832,[1]INFO_LOCALES!$B:$I,8,FALSE),"")</f>
        <v>Copiapó</v>
      </c>
      <c r="M832" s="5" t="str">
        <f>IFERROR(VLOOKUP(I832,[1]INFO_LOCALES!$B:$H,7,FALSE),"")</f>
        <v>Los Carreras 2242</v>
      </c>
      <c r="N832" s="5">
        <f>IFERROR(VLOOKUP(I832,[1]INFO_LOCALES!$B:$E,4,FALSE),"")</f>
        <v>2666</v>
      </c>
      <c r="O832" s="5" t="str">
        <f>VLOOKUP(Tabla2[[#This Row],[TIENDA]],[1]INFO_LOCALES!$B:$J,9,0)</f>
        <v>CONVENIO</v>
      </c>
      <c r="P832" s="5" t="str">
        <f>IFERROR(VLOOKUP(I832,[1]INFO_LOCALES!$B:$F,5,FALSE),"")</f>
        <v>NUEVA ATACAMA</v>
      </c>
      <c r="Q832" s="5" t="s">
        <v>85</v>
      </c>
      <c r="R832" s="5" t="s">
        <v>86</v>
      </c>
      <c r="S832" s="6"/>
      <c r="T832" s="5" t="str">
        <f>UPPER(IF(Tabla2[[#This Row],[FECHA DE MUESTREO ]]=0,"",TEXT(Tabla2[[#This Row],[FECHA DE MUESTREO ]],("MMMM"))))</f>
        <v>MARZO</v>
      </c>
      <c r="U832" s="6">
        <v>46095</v>
      </c>
      <c r="V832" s="5" t="s">
        <v>118</v>
      </c>
      <c r="W8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32" s="7">
        <f t="shared" si="30"/>
        <v>1</v>
      </c>
      <c r="Y832" s="5">
        <v>44.6</v>
      </c>
      <c r="Z832" s="5">
        <v>6.6</v>
      </c>
      <c r="AA832" s="5">
        <v>5.3</v>
      </c>
      <c r="AB832" s="5">
        <v>21.45</v>
      </c>
      <c r="AC832" s="5">
        <v>225.5</v>
      </c>
      <c r="AD832" s="5">
        <v>10.7</v>
      </c>
      <c r="AE832" s="5">
        <v>36.799999999999997</v>
      </c>
      <c r="AF832" s="5">
        <v>1</v>
      </c>
      <c r="AG832" s="5">
        <v>113</v>
      </c>
      <c r="AH832" s="5">
        <f ca="1">Tabla2[[#This Row],[VOLUMEN DE DESCARGA MENSUAL (M3/M)]]*30</f>
        <v>0</v>
      </c>
      <c r="AI832" s="5">
        <f t="shared" ca="1" si="29"/>
        <v>0</v>
      </c>
      <c r="AJ832" s="5">
        <v>0.68</v>
      </c>
      <c r="AK832" s="5">
        <v>3.0000000000000001E-3</v>
      </c>
      <c r="AL832" s="5">
        <v>1.4730000000000001</v>
      </c>
      <c r="AM832" s="5">
        <v>4.0000000000000001E-3</v>
      </c>
      <c r="AN832" s="5">
        <v>2E-3</v>
      </c>
      <c r="AO832" s="5">
        <v>0.68300000000000005</v>
      </c>
      <c r="AP832" s="5">
        <v>0.11899999999999999</v>
      </c>
      <c r="AQ832" s="5">
        <v>0.05</v>
      </c>
      <c r="AR832" s="5">
        <v>0.03</v>
      </c>
      <c r="AS832" s="5">
        <v>10</v>
      </c>
      <c r="AT832" s="5">
        <v>0.05</v>
      </c>
      <c r="AU832" s="5">
        <v>1E-3</v>
      </c>
      <c r="AV832" s="5">
        <v>1.4999999999999999E-2</v>
      </c>
      <c r="AW832" s="5">
        <v>0.04</v>
      </c>
      <c r="AX832" s="5">
        <v>508.7</v>
      </c>
      <c r="AY832" s="5">
        <v>0.03</v>
      </c>
    </row>
    <row r="833" spans="1:51" x14ac:dyDescent="0.25">
      <c r="A833" s="5" t="s">
        <v>52</v>
      </c>
      <c r="B833" s="5" t="s">
        <v>82</v>
      </c>
      <c r="C833" s="5" t="s">
        <v>77</v>
      </c>
      <c r="D833" s="5">
        <v>2026</v>
      </c>
      <c r="E833" s="5" t="s">
        <v>301</v>
      </c>
      <c r="F833" s="22" t="s">
        <v>299</v>
      </c>
      <c r="G833" s="5" t="s">
        <v>258</v>
      </c>
      <c r="H833" s="5" t="s">
        <v>57</v>
      </c>
      <c r="I833" s="5">
        <v>23</v>
      </c>
      <c r="J833" s="5" t="str">
        <f>IFERROR(VLOOKUP(I833,[1]INFO_LOCALES!$B:$C,2,FALSE),"")</f>
        <v>LOS CARRERAS</v>
      </c>
      <c r="K833" s="5" t="str">
        <f>IFERROR(VLOOKUP(Tabla2[[#This Row],[TIENDA]],[1]INFO_LOCALES!$B:$D,3,FALSE),"")</f>
        <v>III - Atacama</v>
      </c>
      <c r="L833" s="5" t="str">
        <f>IFERROR(VLOOKUP(I833,[1]INFO_LOCALES!$B:$I,8,FALSE),"")</f>
        <v>Copiapó</v>
      </c>
      <c r="M833" s="5" t="str">
        <f>IFERROR(VLOOKUP(I833,[1]INFO_LOCALES!$B:$H,7,FALSE),"")</f>
        <v>Los Carrera 479</v>
      </c>
      <c r="N833" s="5">
        <f>IFERROR(VLOOKUP(I833,[1]INFO_LOCALES!$B:$E,4,FALSE),"")</f>
        <v>0</v>
      </c>
      <c r="O833" s="5" t="str">
        <f>VLOOKUP(Tabla2[[#This Row],[TIENDA]],[1]INFO_LOCALES!$B:$J,9,0)</f>
        <v>SIN CONVENIO</v>
      </c>
      <c r="P833" s="5" t="str">
        <f>IFERROR(VLOOKUP(I833,[1]INFO_LOCALES!$B:$F,5,FALSE),"")</f>
        <v>NUEVA ATACAMA</v>
      </c>
      <c r="Q833" s="5" t="s">
        <v>85</v>
      </c>
      <c r="R833" s="5" t="s">
        <v>86</v>
      </c>
      <c r="S833" s="6"/>
      <c r="T833" s="5" t="str">
        <f>UPPER(IF(Tabla2[[#This Row],[FECHA DE MUESTREO ]]=0,"",TEXT(Tabla2[[#This Row],[FECHA DE MUESTREO ]],("MMMM"))))</f>
        <v>MARZO</v>
      </c>
      <c r="U833" s="6">
        <v>46097</v>
      </c>
      <c r="V833" s="5" t="s">
        <v>59</v>
      </c>
      <c r="W8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33" s="7">
        <f t="shared" si="30"/>
        <v>2</v>
      </c>
      <c r="Y833" s="5">
        <v>16.7</v>
      </c>
      <c r="Z833" s="5">
        <v>6.74</v>
      </c>
      <c r="AA833" s="5">
        <v>2</v>
      </c>
      <c r="AB833" s="5">
        <v>20.96</v>
      </c>
      <c r="AC833" s="5">
        <v>368.8</v>
      </c>
      <c r="AD833" s="5">
        <v>9</v>
      </c>
      <c r="AE833" s="5">
        <v>44.3</v>
      </c>
      <c r="AF833" s="5">
        <v>2</v>
      </c>
      <c r="AG833" s="5">
        <v>282</v>
      </c>
      <c r="AH833" s="5">
        <f ca="1">Tabla2[[#This Row],[VOLUMEN DE DESCARGA MENSUAL (M3/M)]]*30</f>
        <v>0</v>
      </c>
      <c r="AI833" s="5">
        <f t="shared" ca="1" si="29"/>
        <v>0</v>
      </c>
    </row>
    <row r="834" spans="1:51" x14ac:dyDescent="0.25">
      <c r="A834" s="5" t="s">
        <v>52</v>
      </c>
      <c r="B834" s="5" t="s">
        <v>82</v>
      </c>
      <c r="C834" s="5" t="s">
        <v>77</v>
      </c>
      <c r="D834" s="5">
        <v>2026</v>
      </c>
      <c r="E834" s="5" t="s">
        <v>301</v>
      </c>
      <c r="F834" s="22" t="s">
        <v>299</v>
      </c>
      <c r="G834" s="5" t="s">
        <v>258</v>
      </c>
      <c r="H834" s="5" t="s">
        <v>57</v>
      </c>
      <c r="I834" s="5">
        <v>24</v>
      </c>
      <c r="J834" s="5" t="str">
        <f>IFERROR(VLOOKUP(I834,[1]INFO_LOCALES!$B:$C,2,FALSE),"")</f>
        <v>CHACABUCO</v>
      </c>
      <c r="K834" s="5" t="str">
        <f>IFERROR(VLOOKUP(Tabla2[[#This Row],[TIENDA]],[1]INFO_LOCALES!$B:$D,3,FALSE),"")</f>
        <v>III - Atacama</v>
      </c>
      <c r="L834" s="5" t="str">
        <f>IFERROR(VLOOKUP(I834,[1]INFO_LOCALES!$B:$I,8,FALSE),"")</f>
        <v>Copiapó</v>
      </c>
      <c r="M834" s="5" t="str">
        <f>IFERROR(VLOOKUP(I834,[1]INFO_LOCALES!$B:$H,7,FALSE),"")</f>
        <v>Los Carreras  586</v>
      </c>
      <c r="N834" s="5">
        <f>IFERROR(VLOOKUP(I834,[1]INFO_LOCALES!$B:$E,4,FALSE),"")</f>
        <v>0</v>
      </c>
      <c r="O834" s="5" t="str">
        <f>VLOOKUP(Tabla2[[#This Row],[TIENDA]],[1]INFO_LOCALES!$B:$J,9,0)</f>
        <v>SIN CONVENIO</v>
      </c>
      <c r="P834" s="5" t="str">
        <f>IFERROR(VLOOKUP(I834,[1]INFO_LOCALES!$B:$F,5,FALSE),"")</f>
        <v>NUEVA ATACAMA</v>
      </c>
      <c r="Q834" s="5" t="s">
        <v>85</v>
      </c>
      <c r="R834" s="5" t="s">
        <v>86</v>
      </c>
      <c r="S834" s="6"/>
      <c r="T834" s="5" t="str">
        <f>UPPER(IF(Tabla2[[#This Row],[FECHA DE MUESTREO ]]=0,"",TEXT(Tabla2[[#This Row],[FECHA DE MUESTREO ]],("MMMM"))))</f>
        <v>MARZO</v>
      </c>
      <c r="U834" s="6">
        <v>46102</v>
      </c>
      <c r="V834" s="5" t="s">
        <v>59</v>
      </c>
      <c r="W8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34" s="7">
        <f t="shared" si="30"/>
        <v>1</v>
      </c>
      <c r="Y834" s="5">
        <v>4.2</v>
      </c>
      <c r="Z834" s="5">
        <v>6.8</v>
      </c>
      <c r="AA834" s="5">
        <v>2</v>
      </c>
      <c r="AB834" s="5">
        <v>20.260000000000002</v>
      </c>
      <c r="AC834" s="5">
        <v>15.4</v>
      </c>
      <c r="AD834" s="5">
        <v>2</v>
      </c>
      <c r="AE834" s="5">
        <v>11.3</v>
      </c>
      <c r="AF834" s="5">
        <v>0.1</v>
      </c>
      <c r="AG834" s="5">
        <v>22</v>
      </c>
      <c r="AH834" s="5">
        <f ca="1">Tabla2[[#This Row],[VOLUMEN DE DESCARGA MENSUAL (M3/M)]]*30</f>
        <v>0</v>
      </c>
      <c r="AI834" s="5">
        <f t="shared" ca="1" si="29"/>
        <v>0</v>
      </c>
    </row>
    <row r="835" spans="1:51" x14ac:dyDescent="0.25">
      <c r="A835" s="5" t="s">
        <v>52</v>
      </c>
      <c r="B835" s="5" t="s">
        <v>82</v>
      </c>
      <c r="C835" s="5" t="s">
        <v>77</v>
      </c>
      <c r="D835" s="5">
        <v>2026</v>
      </c>
      <c r="E835" s="5" t="s">
        <v>300</v>
      </c>
      <c r="F835" s="22" t="s">
        <v>299</v>
      </c>
      <c r="G835" s="5" t="s">
        <v>241</v>
      </c>
      <c r="H835" s="5" t="s">
        <v>57</v>
      </c>
      <c r="I835" s="5">
        <v>25</v>
      </c>
      <c r="J835" s="5" t="str">
        <f>IFERROR(VLOOKUP(I835,[1]INFO_LOCALES!$B:$C,2,FALSE),"")</f>
        <v>EL PALOMAR</v>
      </c>
      <c r="K835" s="5" t="str">
        <f>IFERROR(VLOOKUP(Tabla2[[#This Row],[TIENDA]],[1]INFO_LOCALES!$B:$D,3,FALSE),"")</f>
        <v>III - Atacama</v>
      </c>
      <c r="L835" s="5" t="str">
        <f>IFERROR(VLOOKUP(I835,[1]INFO_LOCALES!$B:$I,8,FALSE),"")</f>
        <v>Copiapó</v>
      </c>
      <c r="M835" s="5" t="str">
        <f>IFERROR(VLOOKUP(I835,[1]INFO_LOCALES!$B:$H,7,FALSE),"")</f>
        <v>Av. Palomar 1525</v>
      </c>
      <c r="N835" s="5">
        <f>IFERROR(VLOOKUP(I835,[1]INFO_LOCALES!$B:$E,4,FALSE),"")</f>
        <v>3868</v>
      </c>
      <c r="O835" s="5" t="str">
        <f>VLOOKUP(Tabla2[[#This Row],[TIENDA]],[1]INFO_LOCALES!$B:$J,9,0)</f>
        <v>TERMINADO</v>
      </c>
      <c r="P835" s="5" t="str">
        <f>IFERROR(VLOOKUP(I835,[1]INFO_LOCALES!$B:$F,5,FALSE),"")</f>
        <v>NUEVA ATACAMA</v>
      </c>
      <c r="Q835" s="5" t="s">
        <v>85</v>
      </c>
      <c r="R835" s="5" t="s">
        <v>86</v>
      </c>
      <c r="S835" s="6"/>
      <c r="T835" s="5" t="str">
        <f>UPPER(IF(Tabla2[[#This Row],[FECHA DE MUESTREO ]]=0,"",TEXT(Tabla2[[#This Row],[FECHA DE MUESTREO ]],("MMMM"))))</f>
        <v>MARZO</v>
      </c>
      <c r="U835" s="6">
        <v>46104</v>
      </c>
      <c r="V835" s="5" t="s">
        <v>118</v>
      </c>
      <c r="W8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35" s="7">
        <f t="shared" si="30"/>
        <v>2</v>
      </c>
      <c r="Y835" s="5">
        <v>6.8</v>
      </c>
      <c r="Z835" s="5">
        <v>6.55</v>
      </c>
      <c r="AA835" s="5">
        <v>7.3</v>
      </c>
      <c r="AB835" s="5">
        <v>21.46</v>
      </c>
      <c r="AC835" s="5">
        <v>310.7</v>
      </c>
      <c r="AD835" s="5">
        <v>9.6</v>
      </c>
      <c r="AE835" s="5">
        <v>6.4</v>
      </c>
      <c r="AF835" s="5">
        <v>0.3</v>
      </c>
      <c r="AG835" s="5">
        <v>100</v>
      </c>
      <c r="AH835" s="5">
        <f ca="1">Tabla2[[#This Row],[VOLUMEN DE DESCARGA MENSUAL (M3/M)]]*30</f>
        <v>0</v>
      </c>
      <c r="AI835" s="5">
        <f t="shared" ca="1" si="29"/>
        <v>0</v>
      </c>
      <c r="AJ835" s="5">
        <v>1.2</v>
      </c>
      <c r="AK835" s="5">
        <v>3.3999999999999998E-3</v>
      </c>
      <c r="AL835" s="5">
        <v>1.073</v>
      </c>
      <c r="AM835" s="5">
        <v>4.0000000000000001E-3</v>
      </c>
      <c r="AN835" s="5">
        <v>2E-3</v>
      </c>
      <c r="AO835" s="5">
        <v>0.26</v>
      </c>
      <c r="AP835" s="5">
        <v>7.3999999999999996E-2</v>
      </c>
      <c r="AQ835" s="5">
        <v>0.05</v>
      </c>
      <c r="AR835" s="5">
        <v>0.03</v>
      </c>
      <c r="AS835" s="5">
        <v>10</v>
      </c>
      <c r="AT835" s="5">
        <v>7.8E-2</v>
      </c>
      <c r="AU835" s="5">
        <v>1E-3</v>
      </c>
      <c r="AV835" s="5">
        <v>1.4999999999999999E-2</v>
      </c>
      <c r="AW835" s="5">
        <v>0.04</v>
      </c>
      <c r="AX835" s="5">
        <v>212.4</v>
      </c>
      <c r="AY835" s="5">
        <v>0.03</v>
      </c>
    </row>
    <row r="836" spans="1:51" x14ac:dyDescent="0.25">
      <c r="A836" s="5" t="s">
        <v>52</v>
      </c>
      <c r="B836" s="5" t="s">
        <v>82</v>
      </c>
      <c r="C836" s="5" t="s">
        <v>77</v>
      </c>
      <c r="D836" s="5">
        <v>2026</v>
      </c>
      <c r="F836" s="22" t="s">
        <v>299</v>
      </c>
      <c r="G836" s="5" t="s">
        <v>258</v>
      </c>
      <c r="H836" s="5" t="s">
        <v>57</v>
      </c>
      <c r="I836" s="5">
        <v>32</v>
      </c>
      <c r="J836" s="5" t="str">
        <f>IFERROR(VLOOKUP(I836,[1]INFO_LOCALES!$B:$C,2,FALSE),"")</f>
        <v>CHAÑARCILLO</v>
      </c>
      <c r="K836" s="5" t="str">
        <f>IFERROR(VLOOKUP(Tabla2[[#This Row],[TIENDA]],[1]INFO_LOCALES!$B:$D,3,FALSE),"")</f>
        <v>III - Atacama</v>
      </c>
      <c r="L836" s="5" t="str">
        <f>IFERROR(VLOOKUP(I836,[1]INFO_LOCALES!$B:$I,8,FALSE),"")</f>
        <v>Copiapó</v>
      </c>
      <c r="M836" s="5" t="str">
        <f>IFERROR(VLOOKUP(I836,[1]INFO_LOCALES!$B:$H,7,FALSE),"")</f>
        <v>Chacabuco Nº 231</v>
      </c>
      <c r="N836" s="5">
        <f>IFERROR(VLOOKUP(I836,[1]INFO_LOCALES!$B:$E,4,FALSE),"")</f>
        <v>0</v>
      </c>
      <c r="O836" s="5" t="str">
        <f>VLOOKUP(Tabla2[[#This Row],[TIENDA]],[1]INFO_LOCALES!$B:$J,9,0)</f>
        <v>CONVENIO</v>
      </c>
      <c r="P836" s="5" t="str">
        <f>IFERROR(VLOOKUP(I836,[1]INFO_LOCALES!$B:$F,5,FALSE),"")</f>
        <v>NUEVA ATACAMA</v>
      </c>
      <c r="Q836" s="5" t="s">
        <v>85</v>
      </c>
      <c r="R836" s="5" t="s">
        <v>86</v>
      </c>
      <c r="S836" s="6"/>
      <c r="T836" s="5" t="str">
        <f>UPPER(IF(Tabla2[[#This Row],[FECHA DE MUESTREO ]]=0,"",TEXT(Tabla2[[#This Row],[FECHA DE MUESTREO ]],("MMMM"))))</f>
        <v>MARZO</v>
      </c>
      <c r="U836" s="6">
        <v>46090</v>
      </c>
      <c r="V836" s="5" t="s">
        <v>59</v>
      </c>
      <c r="W8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36" s="7">
        <f t="shared" si="30"/>
        <v>1</v>
      </c>
      <c r="Y836" s="5">
        <v>19.8</v>
      </c>
      <c r="Z836" s="5">
        <v>7.6</v>
      </c>
      <c r="AA836" s="5">
        <v>6.3</v>
      </c>
      <c r="AB836" s="5">
        <v>21.05</v>
      </c>
      <c r="AC836" s="5">
        <v>245.7</v>
      </c>
      <c r="AD836" s="5">
        <v>10.3</v>
      </c>
      <c r="AE836" s="5">
        <v>16.8</v>
      </c>
      <c r="AF836" s="5">
        <v>0.5</v>
      </c>
      <c r="AG836" s="5">
        <v>76</v>
      </c>
      <c r="AH836" s="5">
        <f ca="1">Tabla2[[#This Row],[VOLUMEN DE DESCARGA MENSUAL (M3/M)]]*30</f>
        <v>0</v>
      </c>
      <c r="AI836" s="5">
        <f t="shared" ca="1" si="29"/>
        <v>0</v>
      </c>
    </row>
    <row r="837" spans="1:51" x14ac:dyDescent="0.25">
      <c r="A837" s="5" t="s">
        <v>52</v>
      </c>
      <c r="B837" s="5" t="s">
        <v>103</v>
      </c>
      <c r="C837" s="5" t="s">
        <v>77</v>
      </c>
      <c r="D837" s="5">
        <v>2026</v>
      </c>
      <c r="E837" s="5" t="s">
        <v>300</v>
      </c>
      <c r="F837" s="22" t="s">
        <v>299</v>
      </c>
      <c r="G837" s="5" t="s">
        <v>241</v>
      </c>
      <c r="H837" s="5" t="s">
        <v>57</v>
      </c>
      <c r="I837" s="5">
        <v>46</v>
      </c>
      <c r="J837" s="5" t="str">
        <f>IFERROR(VLOOKUP(I837,[1]INFO_LOCALES!$B:$C,2,FALSE),"")</f>
        <v>CALAMA I</v>
      </c>
      <c r="K837" s="5" t="str">
        <f>IFERROR(VLOOKUP(Tabla2[[#This Row],[TIENDA]],[1]INFO_LOCALES!$B:$D,3,FALSE),"")</f>
        <v>II - Antofagasta</v>
      </c>
      <c r="L837" s="5" t="str">
        <f>IFERROR(VLOOKUP(I837,[1]INFO_LOCALES!$B:$I,8,FALSE),"")</f>
        <v>Calama</v>
      </c>
      <c r="M837" s="5" t="str">
        <f>IFERROR(VLOOKUP(I837,[1]INFO_LOCALES!$B:$H,7,FALSE),"")</f>
        <v>Granaderos 3180</v>
      </c>
      <c r="N837" s="5">
        <f>IFERROR(VLOOKUP(I837,[1]INFO_LOCALES!$B:$E,4,FALSE),"")</f>
        <v>3035</v>
      </c>
      <c r="O837" s="5" t="str">
        <f>VLOOKUP(Tabla2[[#This Row],[TIENDA]],[1]INFO_LOCALES!$B:$J,9,0)</f>
        <v>SIN CONVENIO</v>
      </c>
      <c r="P837" s="5" t="str">
        <f>IFERROR(VLOOKUP(I837,[1]INFO_LOCALES!$B:$F,5,FALSE),"")</f>
        <v>AGUAS DE ANTOFAGASTA S A</v>
      </c>
      <c r="Q837" s="5" t="s">
        <v>85</v>
      </c>
      <c r="R837" s="5" t="s">
        <v>86</v>
      </c>
      <c r="S837" s="6"/>
      <c r="T837" s="5" t="str">
        <f>UPPER(IF(Tabla2[[#This Row],[FECHA DE MUESTREO ]]=0,"",TEXT(Tabla2[[#This Row],[FECHA DE MUESTREO ]],("MMMM"))))</f>
        <v>MARZO</v>
      </c>
      <c r="U837" s="6">
        <v>46094</v>
      </c>
      <c r="V837" s="5" t="s">
        <v>59</v>
      </c>
      <c r="W8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37" s="7">
        <f t="shared" si="30"/>
        <v>1</v>
      </c>
      <c r="Y837" s="5">
        <v>27.3</v>
      </c>
      <c r="Z837" s="5">
        <v>7.66</v>
      </c>
      <c r="AA837" s="5">
        <v>3.3</v>
      </c>
      <c r="AB837" s="5">
        <v>21.71</v>
      </c>
      <c r="AC837" s="5">
        <v>67.5</v>
      </c>
      <c r="AD837" s="5">
        <v>3.4</v>
      </c>
      <c r="AE837" s="5">
        <v>11.2</v>
      </c>
      <c r="AF837" s="5">
        <v>0.1</v>
      </c>
      <c r="AG837" s="5">
        <v>35</v>
      </c>
      <c r="AH837" s="5">
        <f ca="1">Tabla2[[#This Row],[VOLUMEN DE DESCARGA MENSUAL (M3/M)]]*30</f>
        <v>0</v>
      </c>
      <c r="AI837" s="5">
        <f t="shared" ca="1" si="29"/>
        <v>0</v>
      </c>
    </row>
    <row r="838" spans="1:51" x14ac:dyDescent="0.25">
      <c r="A838" s="5" t="s">
        <v>52</v>
      </c>
      <c r="B838" s="5" t="s">
        <v>76</v>
      </c>
      <c r="C838" s="5" t="s">
        <v>77</v>
      </c>
      <c r="D838" s="5">
        <v>2026</v>
      </c>
      <c r="F838" s="22" t="s">
        <v>299</v>
      </c>
      <c r="G838" s="5" t="s">
        <v>61</v>
      </c>
      <c r="H838" s="5" t="s">
        <v>57</v>
      </c>
      <c r="I838" s="5">
        <v>86</v>
      </c>
      <c r="J838" s="5" t="str">
        <f>IFERROR(VLOOKUP(I838,[1]INFO_LOCALES!$B:$C,2,FALSE),"")</f>
        <v>BILBAO</v>
      </c>
      <c r="K838" s="5" t="str">
        <f>IFERROR(VLOOKUP(Tabla2[[#This Row],[TIENDA]],[1]INFO_LOCALES!$B:$D,3,FALSE),"")</f>
        <v>I - Tarapacá</v>
      </c>
      <c r="L838" s="5" t="str">
        <f>IFERROR(VLOOKUP(I838,[1]INFO_LOCALES!$B:$I,8,FALSE),"")</f>
        <v>Iquique</v>
      </c>
      <c r="M838" s="5" t="str">
        <f>IFERROR(VLOOKUP(I838,[1]INFO_LOCALES!$B:$H,7,FALSE),"")</f>
        <v>Fco.Bilbao 3545</v>
      </c>
      <c r="N838" s="5">
        <f>IFERROR(VLOOKUP(I838,[1]INFO_LOCALES!$B:$E,4,FALSE),"")</f>
        <v>4049</v>
      </c>
      <c r="O838" s="5" t="str">
        <f>VLOOKUP(Tabla2[[#This Row],[TIENDA]],[1]INFO_LOCALES!$B:$J,9,0)</f>
        <v>CONVENIO</v>
      </c>
      <c r="P838" s="5" t="str">
        <f>IFERROR(VLOOKUP(I838,[1]INFO_LOCALES!$B:$F,5,FALSE),"")</f>
        <v>AGUAS DEL ALTIPLANO S.A.</v>
      </c>
      <c r="Q838" s="5" t="s">
        <v>85</v>
      </c>
      <c r="R838" s="5" t="s">
        <v>86</v>
      </c>
      <c r="S838" s="6"/>
      <c r="T838" s="5" t="str">
        <f>UPPER(IF(Tabla2[[#This Row],[FECHA DE MUESTREO ]]=0,"",TEXT(Tabla2[[#This Row],[FECHA DE MUESTREO ]],("MMMM"))))</f>
        <v>MARZO</v>
      </c>
      <c r="U838" s="6">
        <v>46094</v>
      </c>
      <c r="V838" s="5" t="s">
        <v>59</v>
      </c>
      <c r="W8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38" s="7">
        <f t="shared" si="30"/>
        <v>1</v>
      </c>
      <c r="Y838" s="5">
        <v>16.8</v>
      </c>
      <c r="Z838" s="5">
        <v>7.06</v>
      </c>
      <c r="AA838" s="5">
        <v>0.2</v>
      </c>
      <c r="AB838" s="5">
        <v>23.28</v>
      </c>
      <c r="AC838" s="5">
        <v>116</v>
      </c>
      <c r="AD838" s="5">
        <v>6.7</v>
      </c>
      <c r="AE838" s="5">
        <v>9.6999999999999993</v>
      </c>
      <c r="AF838" s="5">
        <v>1.5</v>
      </c>
      <c r="AG838" s="5">
        <v>42.7</v>
      </c>
      <c r="AH838" s="5">
        <v>0.34</v>
      </c>
      <c r="AI838" s="5">
        <f t="shared" si="29"/>
        <v>10.200000000000001</v>
      </c>
    </row>
    <row r="839" spans="1:51" x14ac:dyDescent="0.25">
      <c r="A839" s="5" t="s">
        <v>52</v>
      </c>
      <c r="B839" s="5" t="s">
        <v>76</v>
      </c>
      <c r="C839" s="5" t="s">
        <v>77</v>
      </c>
      <c r="D839" s="5">
        <v>2026</v>
      </c>
      <c r="F839" s="22" t="s">
        <v>299</v>
      </c>
      <c r="G839" s="5" t="s">
        <v>61</v>
      </c>
      <c r="H839" s="5" t="s">
        <v>57</v>
      </c>
      <c r="I839" s="5">
        <v>103</v>
      </c>
      <c r="J839" s="5" t="str">
        <f>IFERROR(VLOOKUP(I839,[1]INFO_LOCALES!$B:$C,2,FALSE),"")</f>
        <v>VIVAR</v>
      </c>
      <c r="K839" s="5" t="str">
        <f>IFERROR(VLOOKUP(Tabla2[[#This Row],[TIENDA]],[1]INFO_LOCALES!$B:$D,3,FALSE),"")</f>
        <v>I - Tarapacá</v>
      </c>
      <c r="L839" s="5" t="str">
        <f>IFERROR(VLOOKUP(I839,[1]INFO_LOCALES!$B:$I,8,FALSE),"")</f>
        <v>Iquique</v>
      </c>
      <c r="M839" s="5" t="str">
        <f>IFERROR(VLOOKUP(I839,[1]INFO_LOCALES!$B:$H,7,FALSE),"")</f>
        <v>Vivar 786</v>
      </c>
      <c r="N839" s="5">
        <f>IFERROR(VLOOKUP(I839,[1]INFO_LOCALES!$B:$E,4,FALSE),"")</f>
        <v>4420</v>
      </c>
      <c r="O839" s="5" t="str">
        <f>VLOOKUP(Tabla2[[#This Row],[TIENDA]],[1]INFO_LOCALES!$B:$J,9,0)</f>
        <v>CONVENIO</v>
      </c>
      <c r="P839" s="5" t="str">
        <f>IFERROR(VLOOKUP(I839,[1]INFO_LOCALES!$B:$F,5,FALSE),"")</f>
        <v>AGUAS DEL ALTIPLANO S.A.</v>
      </c>
      <c r="Q839" s="5" t="s">
        <v>85</v>
      </c>
      <c r="R839" s="5" t="s">
        <v>86</v>
      </c>
      <c r="S839" s="6"/>
      <c r="T839" s="5" t="str">
        <f>UPPER(IF(Tabla2[[#This Row],[FECHA DE MUESTREO ]]=0,"",TEXT(Tabla2[[#This Row],[FECHA DE MUESTREO ]],("MMMM"))))</f>
        <v>MARZO</v>
      </c>
      <c r="U839" s="6">
        <v>46092</v>
      </c>
      <c r="V839" s="5" t="s">
        <v>59</v>
      </c>
      <c r="W8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39" s="7">
        <f t="shared" si="30"/>
        <v>1</v>
      </c>
      <c r="Y839" s="5">
        <v>6.8</v>
      </c>
      <c r="Z839" s="5">
        <v>6.95</v>
      </c>
      <c r="AA839" s="5">
        <v>2</v>
      </c>
      <c r="AB839" s="5">
        <v>23.53</v>
      </c>
      <c r="AC839" s="5">
        <v>122.1</v>
      </c>
      <c r="AD839" s="5">
        <v>4.3</v>
      </c>
      <c r="AE839" s="5">
        <v>9.8000000000000007</v>
      </c>
      <c r="AF839" s="5">
        <v>0.1</v>
      </c>
      <c r="AG839" s="5">
        <v>22.2</v>
      </c>
      <c r="AH839" s="5">
        <v>0.2</v>
      </c>
      <c r="AI839" s="5">
        <f t="shared" ref="AI839:AI902" si="31">AH839*30</f>
        <v>6</v>
      </c>
    </row>
    <row r="840" spans="1:51" x14ac:dyDescent="0.25">
      <c r="A840" s="5" t="s">
        <v>52</v>
      </c>
      <c r="B840" s="5" t="s">
        <v>76</v>
      </c>
      <c r="C840" s="5" t="s">
        <v>77</v>
      </c>
      <c r="D840" s="5">
        <v>2026</v>
      </c>
      <c r="E840" s="5" t="s">
        <v>302</v>
      </c>
      <c r="F840" s="22" t="s">
        <v>299</v>
      </c>
      <c r="G840" s="5" t="s">
        <v>61</v>
      </c>
      <c r="H840" s="5" t="s">
        <v>57</v>
      </c>
      <c r="I840" s="5">
        <v>105</v>
      </c>
      <c r="J840" s="5" t="str">
        <f>IFERROR(VLOOKUP(I840,[1]INFO_LOCALES!$B:$C,2,FALSE),"")</f>
        <v>IQUIQUE CENTRO</v>
      </c>
      <c r="K840" s="5" t="str">
        <f>IFERROR(VLOOKUP(Tabla2[[#This Row],[TIENDA]],[1]INFO_LOCALES!$B:$D,3,FALSE),"")</f>
        <v>I - Tarapacá</v>
      </c>
      <c r="L840" s="5" t="str">
        <f>IFERROR(VLOOKUP(I840,[1]INFO_LOCALES!$B:$I,8,FALSE),"")</f>
        <v>Iquique</v>
      </c>
      <c r="M840" s="5" t="str">
        <f>IFERROR(VLOOKUP(I840,[1]INFO_LOCALES!$B:$H,7,FALSE),"")</f>
        <v>Tarapaca 579</v>
      </c>
      <c r="N840" s="5">
        <f>IFERROR(VLOOKUP(I840,[1]INFO_LOCALES!$B:$E,4,FALSE),"")</f>
        <v>4051</v>
      </c>
      <c r="O840" s="5" t="str">
        <f>VLOOKUP(Tabla2[[#This Row],[TIENDA]],[1]INFO_LOCALES!$B:$J,9,0)</f>
        <v>TERMINADO</v>
      </c>
      <c r="P840" s="5" t="str">
        <f>IFERROR(VLOOKUP(I840,[1]INFO_LOCALES!$B:$F,5,FALSE),"")</f>
        <v>AGUAS DEL ALTIPLANO S.A.</v>
      </c>
      <c r="Q840" s="5" t="s">
        <v>85</v>
      </c>
      <c r="R840" s="5" t="s">
        <v>86</v>
      </c>
      <c r="S840" s="6"/>
      <c r="T840" s="5" t="str">
        <f>UPPER(IF(Tabla2[[#This Row],[FECHA DE MUESTREO ]]=0,"",TEXT(Tabla2[[#This Row],[FECHA DE MUESTREO ]],("MMMM"))))</f>
        <v>MARZO</v>
      </c>
      <c r="U840" s="6">
        <v>46087</v>
      </c>
      <c r="V840" s="5" t="s">
        <v>118</v>
      </c>
      <c r="W8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0" s="7">
        <f t="shared" si="30"/>
        <v>1</v>
      </c>
      <c r="Y840" s="5">
        <v>7</v>
      </c>
      <c r="Z840" s="5">
        <v>6.9</v>
      </c>
      <c r="AA840" s="5">
        <v>4.3</v>
      </c>
      <c r="AB840" s="5">
        <v>26.05</v>
      </c>
      <c r="AC840" s="5">
        <v>31.5</v>
      </c>
      <c r="AD840" s="5">
        <v>5.5</v>
      </c>
      <c r="AE840" s="5">
        <v>16.100000000000001</v>
      </c>
      <c r="AF840" s="5">
        <v>0.1</v>
      </c>
      <c r="AG840" s="5">
        <v>13.6</v>
      </c>
      <c r="AH840" s="5">
        <v>1.08</v>
      </c>
      <c r="AI840" s="5">
        <f t="shared" si="31"/>
        <v>32.400000000000006</v>
      </c>
      <c r="AJ840" s="5">
        <v>0.18</v>
      </c>
      <c r="AK840" s="5">
        <v>8.0000000000000002E-3</v>
      </c>
      <c r="AL840" s="5">
        <v>3.407</v>
      </c>
      <c r="AM840" s="5">
        <v>4.0000000000000001E-3</v>
      </c>
      <c r="AN840" s="5">
        <v>2E-3</v>
      </c>
      <c r="AO840" s="5">
        <v>5.3999999999999999E-2</v>
      </c>
      <c r="AP840" s="5">
        <v>1.9E-2</v>
      </c>
      <c r="AQ840" s="5">
        <v>0.05</v>
      </c>
      <c r="AR840" s="5">
        <v>0.03</v>
      </c>
      <c r="AS840" s="5">
        <v>10</v>
      </c>
      <c r="AT840" s="5">
        <v>0.01</v>
      </c>
      <c r="AU840" s="5">
        <v>1E-3</v>
      </c>
      <c r="AV840" s="5">
        <v>1.4999999999999999E-2</v>
      </c>
      <c r="AW840" s="5">
        <v>0.04</v>
      </c>
      <c r="AX840" s="5">
        <v>619.70000000000005</v>
      </c>
      <c r="AY840" s="5">
        <v>0.03</v>
      </c>
    </row>
    <row r="841" spans="1:51" x14ac:dyDescent="0.25">
      <c r="A841" s="5" t="s">
        <v>52</v>
      </c>
      <c r="B841" s="5" t="s">
        <v>76</v>
      </c>
      <c r="C841" s="5" t="s">
        <v>77</v>
      </c>
      <c r="D841" s="5">
        <v>2026</v>
      </c>
      <c r="F841" s="22" t="s">
        <v>299</v>
      </c>
      <c r="G841" s="5" t="s">
        <v>61</v>
      </c>
      <c r="H841" s="5" t="s">
        <v>247</v>
      </c>
      <c r="I841" s="5">
        <v>106</v>
      </c>
      <c r="J841" s="5" t="str">
        <f>IFERROR(VLOOKUP(I841,[1]INFO_LOCALES!$B:$C,2,FALSE),"")</f>
        <v>LOS MOLLES</v>
      </c>
      <c r="K841" s="5" t="str">
        <f>IFERROR(VLOOKUP(Tabla2[[#This Row],[TIENDA]],[1]INFO_LOCALES!$B:$D,3,FALSE),"")</f>
        <v>I - Tarapacá</v>
      </c>
      <c r="L841" s="5" t="str">
        <f>IFERROR(VLOOKUP(I841,[1]INFO_LOCALES!$B:$I,8,FALSE),"")</f>
        <v>Iquique</v>
      </c>
      <c r="M841" s="5" t="str">
        <f>IFERROR(VLOOKUP(I841,[1]INFO_LOCALES!$B:$H,7,FALSE),"")</f>
        <v>Santiago Polanco 2251</v>
      </c>
      <c r="N841" s="5">
        <f>IFERROR(VLOOKUP(I841,[1]INFO_LOCALES!$B:$E,4,FALSE),"")</f>
        <v>4050</v>
      </c>
      <c r="O841" s="5" t="str">
        <f>VLOOKUP(Tabla2[[#This Row],[TIENDA]],[1]INFO_LOCALES!$B:$J,9,0)</f>
        <v>CONVENIO</v>
      </c>
      <c r="P841" s="5" t="str">
        <f>IFERROR(VLOOKUP(I841,[1]INFO_LOCALES!$B:$F,5,FALSE),"")</f>
        <v>AGUAS DEL ALTIPLANO S.A.</v>
      </c>
      <c r="Q841" s="5" t="s">
        <v>85</v>
      </c>
      <c r="R841" s="5" t="s">
        <v>86</v>
      </c>
      <c r="S841" s="6"/>
      <c r="T841" s="5" t="str">
        <f>UPPER(IF(Tabla2[[#This Row],[FECHA DE MUESTREO ]]=0,"",TEXT(Tabla2[[#This Row],[FECHA DE MUESTREO ]],("MMMM"))))</f>
        <v>MARZO</v>
      </c>
      <c r="U841" s="6">
        <v>46086</v>
      </c>
      <c r="V841" s="5" t="s">
        <v>59</v>
      </c>
      <c r="W8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41" s="7">
        <f t="shared" si="30"/>
        <v>2</v>
      </c>
      <c r="Y841" s="5">
        <v>16.100000000000001</v>
      </c>
      <c r="Z841" s="5">
        <v>6.93</v>
      </c>
      <c r="AA841" s="5">
        <v>8.3000000000000007</v>
      </c>
      <c r="AB841" s="5">
        <v>26.48</v>
      </c>
      <c r="AC841" s="5">
        <v>309.60000000000002</v>
      </c>
      <c r="AD841" s="5">
        <v>5.5</v>
      </c>
      <c r="AE841" s="5">
        <v>16.2</v>
      </c>
      <c r="AF841" s="5">
        <v>0.8</v>
      </c>
      <c r="AG841" s="5">
        <v>63</v>
      </c>
      <c r="AH841" s="5">
        <v>1.04</v>
      </c>
      <c r="AI841" s="5">
        <f t="shared" si="31"/>
        <v>31.200000000000003</v>
      </c>
    </row>
    <row r="842" spans="1:51" x14ac:dyDescent="0.25">
      <c r="A842" s="5" t="s">
        <v>52</v>
      </c>
      <c r="B842" s="5" t="s">
        <v>103</v>
      </c>
      <c r="C842" s="5" t="s">
        <v>77</v>
      </c>
      <c r="D842" s="5">
        <v>2026</v>
      </c>
      <c r="F842" s="22" t="s">
        <v>299</v>
      </c>
      <c r="G842" s="5" t="s">
        <v>61</v>
      </c>
      <c r="H842" s="5" t="s">
        <v>57</v>
      </c>
      <c r="I842" s="5">
        <v>111</v>
      </c>
      <c r="J842" s="5" t="str">
        <f>IFERROR(VLOOKUP(I842,[1]INFO_LOCALES!$B:$C,2,FALSE),"")</f>
        <v>CALAMA II</v>
      </c>
      <c r="K842" s="5" t="str">
        <f>IFERROR(VLOOKUP(Tabla2[[#This Row],[TIENDA]],[1]INFO_LOCALES!$B:$D,3,FALSE),"")</f>
        <v>II - Antofagasta</v>
      </c>
      <c r="L842" s="5" t="str">
        <f>IFERROR(VLOOKUP(I842,[1]INFO_LOCALES!$B:$I,8,FALSE),"")</f>
        <v>Calama</v>
      </c>
      <c r="M842" s="5" t="str">
        <f>IFERROR(VLOOKUP(I842,[1]INFO_LOCALES!$B:$H,7,FALSE),"")</f>
        <v>Aconcagua 2588</v>
      </c>
      <c r="N842" s="5">
        <f>IFERROR(VLOOKUP(I842,[1]INFO_LOCALES!$B:$E,4,FALSE),"")</f>
        <v>2966</v>
      </c>
      <c r="O842" s="5" t="str">
        <f>VLOOKUP(Tabla2[[#This Row],[TIENDA]],[1]INFO_LOCALES!$B:$J,9,0)</f>
        <v>SIN CONVENIO</v>
      </c>
      <c r="P842" s="5" t="str">
        <f>IFERROR(VLOOKUP(I842,[1]INFO_LOCALES!$B:$F,5,FALSE),"")</f>
        <v>AGUAS DE ANTOFAGASTA S A</v>
      </c>
      <c r="Q842" s="5" t="s">
        <v>85</v>
      </c>
      <c r="R842" s="5" t="s">
        <v>86</v>
      </c>
      <c r="S842" s="6"/>
      <c r="T842" s="5" t="str">
        <f>UPPER(IF(Tabla2[[#This Row],[FECHA DE MUESTREO ]]=0,"",TEXT(Tabla2[[#This Row],[FECHA DE MUESTREO ]],("MMMM"))))</f>
        <v>MARZO</v>
      </c>
      <c r="U842" s="6">
        <v>46094</v>
      </c>
      <c r="V842" s="5" t="s">
        <v>59</v>
      </c>
      <c r="W8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2" s="7">
        <f t="shared" si="30"/>
        <v>1</v>
      </c>
      <c r="Y842" s="5">
        <v>26.1</v>
      </c>
      <c r="Z842" s="5">
        <v>7.99</v>
      </c>
      <c r="AA842" s="5">
        <v>4.3</v>
      </c>
      <c r="AB842" s="5">
        <v>21.74</v>
      </c>
      <c r="AC842" s="5">
        <v>253.8</v>
      </c>
      <c r="AD842" s="5">
        <v>12.1</v>
      </c>
      <c r="AE842" s="5">
        <v>16.8</v>
      </c>
      <c r="AF842" s="5">
        <v>2</v>
      </c>
      <c r="AG842" s="5">
        <v>94</v>
      </c>
      <c r="AH842" s="5">
        <v>0.6</v>
      </c>
      <c r="AI842" s="5">
        <f t="shared" si="31"/>
        <v>18</v>
      </c>
    </row>
    <row r="843" spans="1:51" x14ac:dyDescent="0.25">
      <c r="A843" s="5" t="s">
        <v>52</v>
      </c>
      <c r="B843" s="5" t="s">
        <v>53</v>
      </c>
      <c r="C843" s="5" t="s">
        <v>54</v>
      </c>
      <c r="D843" s="5">
        <v>2026</v>
      </c>
      <c r="F843" s="22" t="s">
        <v>299</v>
      </c>
      <c r="G843" s="10" t="s">
        <v>241</v>
      </c>
      <c r="I843" s="5">
        <v>344</v>
      </c>
      <c r="J843" s="5" t="str">
        <f>IFERROR(VLOOKUP(I843,[1]INFO_LOCALES!$B:$C,2,FALSE),"")</f>
        <v>CURICO ALAMEDA</v>
      </c>
      <c r="K843" s="5" t="str">
        <f>IFERROR(VLOOKUP(Tabla2[[#This Row],[TIENDA]],[1]INFO_LOCALES!$B:$D,3,FALSE),"")</f>
        <v>VII - Maule</v>
      </c>
      <c r="L843" s="5" t="str">
        <f>IFERROR(VLOOKUP(I843,[1]INFO_LOCALES!$B:$I,8,FALSE),"")</f>
        <v>Curicó</v>
      </c>
      <c r="M843" s="5" t="str">
        <f>IFERROR(VLOOKUP(I843,[1]INFO_LOCALES!$B:$H,7,FALSE),"")</f>
        <v>Estado 43</v>
      </c>
      <c r="N843" s="5">
        <f>IFERROR(VLOOKUP(I843,[1]INFO_LOCALES!$B:$E,4,FALSE),"")</f>
        <v>4530</v>
      </c>
      <c r="O843" s="5" t="str">
        <f>VLOOKUP(Tabla2[[#This Row],[TIENDA]],[1]INFO_LOCALES!$B:$J,9,0)</f>
        <v>SIN CONVENIO</v>
      </c>
      <c r="P843" s="5" t="str">
        <f>IFERROR(VLOOKUP(I843,[1]INFO_LOCALES!$B:$F,5,FALSE),"")</f>
        <v>NUEVOSUR S.A.</v>
      </c>
      <c r="Q843" s="5" t="s">
        <v>85</v>
      </c>
      <c r="R843" s="5" t="s">
        <v>86</v>
      </c>
      <c r="S843" s="6"/>
      <c r="T843" s="5" t="str">
        <f>UPPER(IF(Tabla2[[#This Row],[FECHA DE MUESTREO ]]=0,"",TEXT(Tabla2[[#This Row],[FECHA DE MUESTREO ]],("MMMM"))))</f>
        <v/>
      </c>
      <c r="U843" s="6"/>
      <c r="V843" s="5" t="s">
        <v>59</v>
      </c>
      <c r="W8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3" s="7">
        <f t="shared" si="30"/>
        <v>1</v>
      </c>
      <c r="AH843" s="5">
        <f ca="1">Tabla2[[#This Row],[VOLUMEN DE DESCARGA MENSUAL (M3/M)]]*30</f>
        <v>0</v>
      </c>
      <c r="AI843" s="5">
        <f t="shared" ca="1" si="31"/>
        <v>0</v>
      </c>
    </row>
    <row r="844" spans="1:51" x14ac:dyDescent="0.25">
      <c r="A844" s="5" t="s">
        <v>52</v>
      </c>
      <c r="B844" s="5" t="s">
        <v>90</v>
      </c>
      <c r="C844" s="5" t="s">
        <v>81</v>
      </c>
      <c r="D844" s="5">
        <v>2026</v>
      </c>
      <c r="E844" s="5" t="s">
        <v>303</v>
      </c>
      <c r="F844" s="22" t="s">
        <v>299</v>
      </c>
      <c r="G844" s="5" t="s">
        <v>61</v>
      </c>
      <c r="H844" s="5" t="s">
        <v>57</v>
      </c>
      <c r="I844" s="5">
        <v>375</v>
      </c>
      <c r="J844" s="5" t="str">
        <f>IFERROR(VLOOKUP(I844,[1]INFO_LOCALES!$B:$C,2,FALSE),"")</f>
        <v>ARAUCO</v>
      </c>
      <c r="K844" s="5" t="str">
        <f>IFERROR(VLOOKUP(Tabla2[[#This Row],[TIENDA]],[1]INFO_LOCALES!$B:$D,3,FALSE),"")</f>
        <v>XIV - Los Ríos</v>
      </c>
      <c r="L844" s="5" t="str">
        <f>IFERROR(VLOOKUP(I844,[1]INFO_LOCALES!$B:$I,8,FALSE),"")</f>
        <v>Valdivia</v>
      </c>
      <c r="M844" s="5" t="str">
        <f>IFERROR(VLOOKUP(I844,[1]INFO_LOCALES!$B:$H,7,FALSE),"")</f>
        <v>Arauco 697</v>
      </c>
      <c r="N844" s="5">
        <f>IFERROR(VLOOKUP(I844,[1]INFO_LOCALES!$B:$E,4,FALSE),"")</f>
        <v>3420</v>
      </c>
      <c r="O844" s="5" t="str">
        <f>VLOOKUP(Tabla2[[#This Row],[TIENDA]],[1]INFO_LOCALES!$B:$J,9,0)</f>
        <v>CONVENIO</v>
      </c>
      <c r="P844" s="5" t="str">
        <f>IFERROR(VLOOKUP(I844,[1]INFO_LOCALES!$B:$F,5,FALSE),"")</f>
        <v>AGUAS DECIMA S A</v>
      </c>
      <c r="Q844" s="5" t="s">
        <v>85</v>
      </c>
      <c r="R844" s="5" t="s">
        <v>86</v>
      </c>
      <c r="S844" s="6"/>
      <c r="T844" s="5" t="str">
        <f>UPPER(IF(Tabla2[[#This Row],[FECHA DE MUESTREO ]]=0,"",TEXT(Tabla2[[#This Row],[FECHA DE MUESTREO ]],("MMMM"))))</f>
        <v>MARZO</v>
      </c>
      <c r="U844" s="6">
        <v>46110</v>
      </c>
      <c r="V844" s="5" t="s">
        <v>59</v>
      </c>
      <c r="W8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4" s="7">
        <f t="shared" si="30"/>
        <v>1</v>
      </c>
      <c r="Y844" s="5">
        <v>17</v>
      </c>
      <c r="Z844" s="5">
        <v>7.15</v>
      </c>
      <c r="AA844" s="5">
        <v>6.3</v>
      </c>
      <c r="AB844" s="5">
        <v>16.600000000000001</v>
      </c>
      <c r="AC844" s="5">
        <v>248.8</v>
      </c>
      <c r="AD844" s="5">
        <v>14</v>
      </c>
      <c r="AE844" s="5">
        <v>27.9</v>
      </c>
      <c r="AF844" s="5">
        <v>2</v>
      </c>
      <c r="AG844" s="5">
        <v>68</v>
      </c>
      <c r="AH844" s="5">
        <v>7</v>
      </c>
      <c r="AI844" s="5">
        <f t="shared" si="31"/>
        <v>210</v>
      </c>
    </row>
    <row r="845" spans="1:51" x14ac:dyDescent="0.25">
      <c r="A845" s="5" t="s">
        <v>52</v>
      </c>
      <c r="B845" s="5" t="s">
        <v>90</v>
      </c>
      <c r="C845" s="5" t="s">
        <v>81</v>
      </c>
      <c r="D845" s="5">
        <v>2026</v>
      </c>
      <c r="E845" s="5" t="s">
        <v>304</v>
      </c>
      <c r="F845" s="22" t="s">
        <v>299</v>
      </c>
      <c r="G845" s="5" t="s">
        <v>61</v>
      </c>
      <c r="H845" s="5" t="s">
        <v>57</v>
      </c>
      <c r="I845" s="5">
        <v>375</v>
      </c>
      <c r="J845" s="5" t="str">
        <f>IFERROR(VLOOKUP(I845,[1]INFO_LOCALES!$B:$C,2,FALSE),"")</f>
        <v>ARAUCO</v>
      </c>
      <c r="K845" s="5" t="str">
        <f>IFERROR(VLOOKUP(Tabla2[[#This Row],[TIENDA]],[1]INFO_LOCALES!$B:$D,3,FALSE),"")</f>
        <v>XIV - Los Ríos</v>
      </c>
      <c r="L845" s="5" t="str">
        <f>IFERROR(VLOOKUP(I845,[1]INFO_LOCALES!$B:$I,8,FALSE),"")</f>
        <v>Valdivia</v>
      </c>
      <c r="M845" s="5" t="str">
        <f>IFERROR(VLOOKUP(I845,[1]INFO_LOCALES!$B:$H,7,FALSE),"")</f>
        <v>Arauco 697</v>
      </c>
      <c r="N845" s="5">
        <f>IFERROR(VLOOKUP(I845,[1]INFO_LOCALES!$B:$E,4,FALSE),"")</f>
        <v>3420</v>
      </c>
      <c r="O845" s="5" t="str">
        <f>VLOOKUP(Tabla2[[#This Row],[TIENDA]],[1]INFO_LOCALES!$B:$J,9,0)</f>
        <v>CONVENIO</v>
      </c>
      <c r="P845" s="5" t="str">
        <f>IFERROR(VLOOKUP(I845,[1]INFO_LOCALES!$B:$F,5,FALSE),"")</f>
        <v>AGUAS DECIMA S A</v>
      </c>
      <c r="Q845" s="5" t="s">
        <v>85</v>
      </c>
      <c r="R845" s="5" t="s">
        <v>86</v>
      </c>
      <c r="S845" s="6"/>
      <c r="T845" s="5" t="str">
        <f>UPPER(IF(Tabla2[[#This Row],[FECHA DE MUESTREO ]]=0,"",TEXT(Tabla2[[#This Row],[FECHA DE MUESTREO ]],("MMMM"))))</f>
        <v>MARZO</v>
      </c>
      <c r="U845" s="6">
        <v>46112</v>
      </c>
      <c r="V845" s="5" t="s">
        <v>59</v>
      </c>
      <c r="W8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5" s="7">
        <f t="shared" si="30"/>
        <v>1</v>
      </c>
      <c r="Y845" s="5">
        <v>8.6</v>
      </c>
      <c r="Z845" s="5">
        <v>7.06</v>
      </c>
      <c r="AA845" s="5">
        <v>2</v>
      </c>
      <c r="AB845" s="5">
        <v>17.13</v>
      </c>
      <c r="AC845" s="5">
        <v>87.1</v>
      </c>
      <c r="AD845" s="5">
        <v>3.3</v>
      </c>
      <c r="AE845" s="5">
        <v>12.3</v>
      </c>
      <c r="AF845" s="5">
        <v>1</v>
      </c>
      <c r="AG845" s="5">
        <v>14.8</v>
      </c>
      <c r="AH845" s="5">
        <v>7</v>
      </c>
      <c r="AI845" s="5">
        <f t="shared" si="31"/>
        <v>210</v>
      </c>
    </row>
    <row r="846" spans="1:51" x14ac:dyDescent="0.25">
      <c r="A846" s="5" t="s">
        <v>52</v>
      </c>
      <c r="B846" s="5" t="s">
        <v>74</v>
      </c>
      <c r="C846" s="5" t="s">
        <v>74</v>
      </c>
      <c r="D846" s="5">
        <v>2026</v>
      </c>
      <c r="E846" s="5" t="s">
        <v>305</v>
      </c>
      <c r="F846" s="22" t="s">
        <v>299</v>
      </c>
      <c r="G846" s="5" t="s">
        <v>61</v>
      </c>
      <c r="H846" s="5" t="s">
        <v>306</v>
      </c>
      <c r="I846" s="5">
        <v>465</v>
      </c>
      <c r="J846" s="5" t="str">
        <f>IFERROR(VLOOKUP(I846,[1]INFO_LOCALES!$B:$C,2,FALSE),"")</f>
        <v>PUERTO NATALES</v>
      </c>
      <c r="K846" s="5" t="str">
        <f>IFERROR(VLOOKUP(Tabla2[[#This Row],[TIENDA]],[1]INFO_LOCALES!$B:$D,3,FALSE),"")</f>
        <v>XII - Magallanes</v>
      </c>
      <c r="L846" s="5" t="str">
        <f>IFERROR(VLOOKUP(I846,[1]INFO_LOCALES!$B:$I,8,FALSE),"")</f>
        <v>Puerto Natales</v>
      </c>
      <c r="M846" s="5" t="str">
        <f>IFERROR(VLOOKUP(I846,[1]INFO_LOCALES!$B:$H,7,FALSE),"")</f>
        <v>Bulnes 742</v>
      </c>
      <c r="N846" s="5">
        <f>IFERROR(VLOOKUP(I846,[1]INFO_LOCALES!$B:$E,4,FALSE),"")</f>
        <v>1133</v>
      </c>
      <c r="O846" s="5" t="str">
        <f>VLOOKUP(Tabla2[[#This Row],[TIENDA]],[1]INFO_LOCALES!$B:$J,9,0)</f>
        <v>SIN CONVENIO</v>
      </c>
      <c r="P846" s="5" t="str">
        <f>IFERROR(VLOOKUP(I846,[1]INFO_LOCALES!$B:$F,5,FALSE),"")</f>
        <v>AGUAS MAGALLANES S.A.</v>
      </c>
      <c r="Q846" s="5" t="s">
        <v>291</v>
      </c>
      <c r="R846" s="5" t="s">
        <v>86</v>
      </c>
      <c r="S846" s="6"/>
      <c r="T846" s="5" t="str">
        <f>UPPER(IF(Tabla2[[#This Row],[FECHA DE MUESTREO ]]=0,"",TEXT(Tabla2[[#This Row],[FECHA DE MUESTREO ]],("MMMM"))))</f>
        <v/>
      </c>
      <c r="U846" s="6"/>
      <c r="V846" s="5" t="s">
        <v>135</v>
      </c>
      <c r="W8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6" s="7">
        <f t="shared" si="30"/>
        <v>1</v>
      </c>
      <c r="AH846" s="5">
        <f ca="1">Tabla2[[#This Row],[VOLUMEN DE DESCARGA MENSUAL (M3/M)]]*30</f>
        <v>0</v>
      </c>
      <c r="AI846" s="5">
        <f t="shared" ca="1" si="31"/>
        <v>0</v>
      </c>
    </row>
    <row r="847" spans="1:51" x14ac:dyDescent="0.25">
      <c r="A847" s="5" t="s">
        <v>52</v>
      </c>
      <c r="B847" s="5" t="s">
        <v>74</v>
      </c>
      <c r="C847" s="5" t="s">
        <v>74</v>
      </c>
      <c r="D847" s="5">
        <v>2026</v>
      </c>
      <c r="F847" s="22" t="s">
        <v>299</v>
      </c>
      <c r="G847" s="10" t="s">
        <v>241</v>
      </c>
      <c r="I847" s="5">
        <v>458</v>
      </c>
      <c r="J847" s="5" t="str">
        <f>IFERROR(VLOOKUP(I847,[1]INFO_LOCALES!$B:$C,2,FALSE),"")</f>
        <v>ESPAÑA AUSTRAL</v>
      </c>
      <c r="K847" s="5" t="str">
        <f>IFERROR(VLOOKUP(Tabla2[[#This Row],[TIENDA]],[1]INFO_LOCALES!$B:$D,3,FALSE),"")</f>
        <v>XII - Magallanes</v>
      </c>
      <c r="L847" s="5" t="str">
        <f>IFERROR(VLOOKUP(I847,[1]INFO_LOCALES!$B:$I,8,FALSE),"")</f>
        <v>Punta Arenas</v>
      </c>
      <c r="M847" s="5" t="str">
        <f>IFERROR(VLOOKUP(I847,[1]INFO_LOCALES!$B:$H,7,FALSE),"")</f>
        <v>Av. España 01375</v>
      </c>
      <c r="N847" s="5">
        <f>IFERROR(VLOOKUP(I847,[1]INFO_LOCALES!$B:$E,4,FALSE),"")</f>
        <v>1306</v>
      </c>
      <c r="O847" s="5" t="str">
        <f>VLOOKUP(Tabla2[[#This Row],[TIENDA]],[1]INFO_LOCALES!$B:$J,9,0)</f>
        <v>SIN CONVENIO</v>
      </c>
      <c r="P847" s="5" t="str">
        <f>IFERROR(VLOOKUP(I847,[1]INFO_LOCALES!$B:$F,5,FALSE),"")</f>
        <v>AGUAS MAGALLANES S.A.</v>
      </c>
      <c r="Q847" s="5" t="s">
        <v>85</v>
      </c>
      <c r="R847" s="5" t="s">
        <v>86</v>
      </c>
      <c r="S847" s="6"/>
      <c r="T847" s="5" t="str">
        <f>UPPER(IF(Tabla2[[#This Row],[FECHA DE MUESTREO ]]=0,"",TEXT(Tabla2[[#This Row],[FECHA DE MUESTREO ]],("MMMM"))))</f>
        <v/>
      </c>
      <c r="U847" s="6"/>
      <c r="V847" s="5" t="s">
        <v>59</v>
      </c>
      <c r="W8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7" s="7">
        <f t="shared" si="30"/>
        <v>1</v>
      </c>
      <c r="AH847" s="5">
        <f ca="1">Tabla2[[#This Row],[VOLUMEN DE DESCARGA MENSUAL (M3/M)]]*30</f>
        <v>0</v>
      </c>
      <c r="AI847" s="5">
        <f t="shared" ca="1" si="31"/>
        <v>0</v>
      </c>
    </row>
    <row r="848" spans="1:51" x14ac:dyDescent="0.25">
      <c r="A848" s="5" t="s">
        <v>52</v>
      </c>
      <c r="B848" s="5" t="s">
        <v>74</v>
      </c>
      <c r="C848" s="5" t="s">
        <v>74</v>
      </c>
      <c r="D848" s="5">
        <v>2026</v>
      </c>
      <c r="F848" s="22" t="s">
        <v>299</v>
      </c>
      <c r="G848" s="10" t="s">
        <v>241</v>
      </c>
      <c r="I848" s="5">
        <v>459</v>
      </c>
      <c r="J848" s="5" t="str">
        <f>IFERROR(VLOOKUP(I848,[1]INFO_LOCALES!$B:$C,2,FALSE),"")</f>
        <v>ALLENDE AUSTRAL</v>
      </c>
      <c r="K848" s="5" t="str">
        <f>IFERROR(VLOOKUP(Tabla2[[#This Row],[TIENDA]],[1]INFO_LOCALES!$B:$D,3,FALSE),"")</f>
        <v>XII - Magallanes</v>
      </c>
      <c r="L848" s="5" t="str">
        <f>IFERROR(VLOOKUP(I848,[1]INFO_LOCALES!$B:$I,8,FALSE),"")</f>
        <v>Punta Arenas</v>
      </c>
      <c r="M848" s="5" t="str">
        <f>IFERROR(VLOOKUP(I848,[1]INFO_LOCALES!$B:$H,7,FALSE),"")</f>
        <v>Salvador Allende 0399</v>
      </c>
      <c r="N848" s="5">
        <f>IFERROR(VLOOKUP(I848,[1]INFO_LOCALES!$B:$E,4,FALSE),"")</f>
        <v>3735</v>
      </c>
      <c r="O848" s="5" t="str">
        <f>VLOOKUP(Tabla2[[#This Row],[TIENDA]],[1]INFO_LOCALES!$B:$J,9,0)</f>
        <v>SIN CONVENIO</v>
      </c>
      <c r="P848" s="5" t="str">
        <f>IFERROR(VLOOKUP(I848,[1]INFO_LOCALES!$B:$F,5,FALSE),"")</f>
        <v>AGUAS MAGALLANES S.A.</v>
      </c>
      <c r="Q848" s="5" t="s">
        <v>85</v>
      </c>
      <c r="R848" s="5" t="s">
        <v>86</v>
      </c>
      <c r="S848" s="6"/>
      <c r="T848" s="5" t="str">
        <f>UPPER(IF(Tabla2[[#This Row],[FECHA DE MUESTREO ]]=0,"",TEXT(Tabla2[[#This Row],[FECHA DE MUESTREO ]],("MMMM"))))</f>
        <v/>
      </c>
      <c r="U848" s="6"/>
      <c r="V848" s="5" t="s">
        <v>59</v>
      </c>
      <c r="W8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8" s="7">
        <f t="shared" si="30"/>
        <v>1</v>
      </c>
      <c r="AH848" s="5">
        <f ca="1">Tabla2[[#This Row],[VOLUMEN DE DESCARGA MENSUAL (M3/M)]]*30</f>
        <v>0</v>
      </c>
      <c r="AI848" s="5">
        <f t="shared" ca="1" si="31"/>
        <v>0</v>
      </c>
    </row>
    <row r="849" spans="1:51" x14ac:dyDescent="0.25">
      <c r="A849" s="5" t="s">
        <v>52</v>
      </c>
      <c r="B849" s="5" t="s">
        <v>74</v>
      </c>
      <c r="C849" s="5" t="s">
        <v>74</v>
      </c>
      <c r="D849" s="5">
        <v>2026</v>
      </c>
      <c r="F849" s="22" t="s">
        <v>299</v>
      </c>
      <c r="G849" s="10" t="s">
        <v>241</v>
      </c>
      <c r="I849" s="5">
        <v>461</v>
      </c>
      <c r="J849" s="5" t="str">
        <f>IFERROR(VLOOKUP(I849,[1]INFO_LOCALES!$B:$C,2,FALSE),"")</f>
        <v>ZENTENO AUSTRAL</v>
      </c>
      <c r="K849" s="5" t="str">
        <f>IFERROR(VLOOKUP(Tabla2[[#This Row],[TIENDA]],[1]INFO_LOCALES!$B:$D,3,FALSE),"")</f>
        <v>XII - Magallanes</v>
      </c>
      <c r="L849" s="5" t="str">
        <f>IFERROR(VLOOKUP(I849,[1]INFO_LOCALES!$B:$I,8,FALSE),"")</f>
        <v>Punta Arenas</v>
      </c>
      <c r="M849" s="5" t="str">
        <f>IFERROR(VLOOKUP(I849,[1]INFO_LOCALES!$B:$H,7,FALSE),"")</f>
        <v>Capitan Guillermo 05</v>
      </c>
      <c r="N849" s="5">
        <f>IFERROR(VLOOKUP(I849,[1]INFO_LOCALES!$B:$E,4,FALSE),"")</f>
        <v>3736</v>
      </c>
      <c r="O849" s="5" t="str">
        <f>VLOOKUP(Tabla2[[#This Row],[TIENDA]],[1]INFO_LOCALES!$B:$J,9,0)</f>
        <v>SIN CONVENIO</v>
      </c>
      <c r="P849" s="5" t="str">
        <f>IFERROR(VLOOKUP(I849,[1]INFO_LOCALES!$B:$F,5,FALSE),"")</f>
        <v>AGUAS MAGALLANES S.A.</v>
      </c>
      <c r="Q849" s="5" t="s">
        <v>85</v>
      </c>
      <c r="R849" s="5" t="s">
        <v>86</v>
      </c>
      <c r="S849" s="6"/>
      <c r="T849" s="5" t="str">
        <f>UPPER(IF(Tabla2[[#This Row],[FECHA DE MUESTREO ]]=0,"",TEXT(Tabla2[[#This Row],[FECHA DE MUESTREO ]],("MMMM"))))</f>
        <v/>
      </c>
      <c r="U849" s="6"/>
      <c r="V849" s="5" t="s">
        <v>59</v>
      </c>
      <c r="W8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49" s="7">
        <f t="shared" si="30"/>
        <v>1</v>
      </c>
      <c r="AH849" s="5">
        <f ca="1">Tabla2[[#This Row],[VOLUMEN DE DESCARGA MENSUAL (M3/M)]]*30</f>
        <v>0</v>
      </c>
      <c r="AI849" s="5">
        <f t="shared" ca="1" si="31"/>
        <v>0</v>
      </c>
    </row>
    <row r="850" spans="1:51" x14ac:dyDescent="0.25">
      <c r="A850" s="5" t="s">
        <v>52</v>
      </c>
      <c r="B850" s="5" t="s">
        <v>74</v>
      </c>
      <c r="C850" s="5" t="s">
        <v>74</v>
      </c>
      <c r="D850" s="5">
        <v>2026</v>
      </c>
      <c r="F850" s="22" t="s">
        <v>299</v>
      </c>
      <c r="G850" s="10" t="s">
        <v>241</v>
      </c>
      <c r="I850" s="5">
        <v>463</v>
      </c>
      <c r="J850" s="5" t="str">
        <f>IFERROR(VLOOKUP(I850,[1]INFO_LOCALES!$B:$C,2,FALSE),"")</f>
        <v>BORIES AUSTRAL</v>
      </c>
      <c r="K850" s="5" t="str">
        <f>IFERROR(VLOOKUP(Tabla2[[#This Row],[TIENDA]],[1]INFO_LOCALES!$B:$D,3,FALSE),"")</f>
        <v>XII - Magallanes</v>
      </c>
      <c r="L850" s="5" t="str">
        <f>IFERROR(VLOOKUP(I850,[1]INFO_LOCALES!$B:$I,8,FALSE),"")</f>
        <v>Punta Arenas</v>
      </c>
      <c r="M850" s="5" t="str">
        <f>IFERROR(VLOOKUP(I850,[1]INFO_LOCALES!$B:$H,7,FALSE),"")</f>
        <v>Gobernador Bories 647</v>
      </c>
      <c r="N850" s="5">
        <f>IFERROR(VLOOKUP(I850,[1]INFO_LOCALES!$B:$E,4,FALSE),"")</f>
        <v>3739</v>
      </c>
      <c r="O850" s="5" t="str">
        <f>VLOOKUP(Tabla2[[#This Row],[TIENDA]],[1]INFO_LOCALES!$B:$J,9,0)</f>
        <v>SIN CONVENIO</v>
      </c>
      <c r="P850" s="5" t="str">
        <f>IFERROR(VLOOKUP(I850,[1]INFO_LOCALES!$B:$F,5,FALSE),"")</f>
        <v>AGUAS MAGALLANES S.A.</v>
      </c>
      <c r="Q850" s="5" t="s">
        <v>85</v>
      </c>
      <c r="R850" s="5" t="s">
        <v>86</v>
      </c>
      <c r="S850" s="6"/>
      <c r="T850" s="5" t="str">
        <f>UPPER(IF(Tabla2[[#This Row],[FECHA DE MUESTREO ]]=0,"",TEXT(Tabla2[[#This Row],[FECHA DE MUESTREO ]],("MMMM"))))</f>
        <v/>
      </c>
      <c r="U850" s="6"/>
      <c r="V850" s="5" t="s">
        <v>59</v>
      </c>
      <c r="W8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50" s="7">
        <f t="shared" si="30"/>
        <v>1</v>
      </c>
      <c r="AH850" s="5">
        <f ca="1">Tabla2[[#This Row],[VOLUMEN DE DESCARGA MENSUAL (M3/M)]]*30</f>
        <v>0</v>
      </c>
      <c r="AI850" s="5">
        <f t="shared" ca="1" si="31"/>
        <v>0</v>
      </c>
    </row>
    <row r="851" spans="1:51" x14ac:dyDescent="0.25">
      <c r="A851" s="5" t="s">
        <v>52</v>
      </c>
      <c r="B851" s="5" t="s">
        <v>82</v>
      </c>
      <c r="C851" s="5" t="s">
        <v>77</v>
      </c>
      <c r="D851" s="5">
        <v>2026</v>
      </c>
      <c r="E851" s="5" t="s">
        <v>301</v>
      </c>
      <c r="F851" s="22" t="s">
        <v>299</v>
      </c>
      <c r="G851" s="5" t="s">
        <v>258</v>
      </c>
      <c r="H851" s="5" t="s">
        <v>57</v>
      </c>
      <c r="I851" s="5">
        <v>472</v>
      </c>
      <c r="J851" s="5" t="str">
        <f>IFERROR(VLOOKUP(I851,[1]INFO_LOCALES!$B:$C,2,FALSE),"")</f>
        <v>CALDERA I</v>
      </c>
      <c r="K851" s="5" t="str">
        <f>IFERROR(VLOOKUP(Tabla2[[#This Row],[TIENDA]],[1]INFO_LOCALES!$B:$D,3,FALSE),"")</f>
        <v>III - Atacama</v>
      </c>
      <c r="L851" s="5" t="str">
        <f>IFERROR(VLOOKUP(I851,[1]INFO_LOCALES!$B:$I,8,FALSE),"")</f>
        <v>Caldera</v>
      </c>
      <c r="M851" s="5" t="str">
        <f>IFERROR(VLOOKUP(I851,[1]INFO_LOCALES!$B:$H,7,FALSE),"")</f>
        <v>Batallon Atacama 319</v>
      </c>
      <c r="N851" s="5">
        <f>IFERROR(VLOOKUP(I851,[1]INFO_LOCALES!$B:$E,4,FALSE),"")</f>
        <v>0</v>
      </c>
      <c r="O851" s="5" t="str">
        <f>VLOOKUP(Tabla2[[#This Row],[TIENDA]],[1]INFO_LOCALES!$B:$J,9,0)</f>
        <v>CONVENIO</v>
      </c>
      <c r="P851" s="5" t="str">
        <f>IFERROR(VLOOKUP(I851,[1]INFO_LOCALES!$B:$F,5,FALSE),"")</f>
        <v>NUEVA ATACAMA</v>
      </c>
      <c r="Q851" s="5" t="s">
        <v>85</v>
      </c>
      <c r="R851" s="5" t="s">
        <v>86</v>
      </c>
      <c r="S851" s="6"/>
      <c r="T851" s="5" t="str">
        <f>UPPER(IF(Tabla2[[#This Row],[FECHA DE MUESTREO ]]=0,"",TEXT(Tabla2[[#This Row],[FECHA DE MUESTREO ]],("MMMM"))))</f>
        <v>MARZO</v>
      </c>
      <c r="U851" s="6">
        <v>46097</v>
      </c>
      <c r="V851" s="5" t="s">
        <v>59</v>
      </c>
      <c r="W8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51" s="7">
        <f t="shared" si="30"/>
        <v>1</v>
      </c>
      <c r="Y851" s="5">
        <v>20.6</v>
      </c>
      <c r="Z851" s="5">
        <v>6.8</v>
      </c>
      <c r="AA851" s="5">
        <v>4.3</v>
      </c>
      <c r="AB851" s="5">
        <v>17.739999999999998</v>
      </c>
      <c r="AC851" s="5">
        <v>180</v>
      </c>
      <c r="AD851" s="5">
        <v>6.6</v>
      </c>
      <c r="AE851" s="5">
        <v>16.600000000000001</v>
      </c>
      <c r="AF851" s="5">
        <v>0.1</v>
      </c>
      <c r="AG851" s="5">
        <v>69</v>
      </c>
      <c r="AH851" s="5">
        <f ca="1">Tabla2[[#This Row],[VOLUMEN DE DESCARGA MENSUAL (M3/M)]]*30</f>
        <v>0</v>
      </c>
      <c r="AI851" s="5">
        <f t="shared" ca="1" si="31"/>
        <v>0</v>
      </c>
    </row>
    <row r="852" spans="1:51" x14ac:dyDescent="0.25">
      <c r="A852" s="5" t="s">
        <v>52</v>
      </c>
      <c r="B852" s="5" t="s">
        <v>93</v>
      </c>
      <c r="C852" s="5" t="s">
        <v>81</v>
      </c>
      <c r="D852" s="5">
        <v>2026</v>
      </c>
      <c r="F852" s="22" t="s">
        <v>299</v>
      </c>
      <c r="G852" s="10" t="s">
        <v>241</v>
      </c>
      <c r="I852" s="5">
        <v>576</v>
      </c>
      <c r="J852" s="5" t="str">
        <f>IFERROR(VLOOKUP(I852,[1]INFO_LOCALES!$B:$C,2,FALSE),"")</f>
        <v>CASTRO I</v>
      </c>
      <c r="K852" s="5" t="str">
        <f>IFERROR(VLOOKUP(Tabla2[[#This Row],[TIENDA]],[1]INFO_LOCALES!$B:$D,3,FALSE),"")</f>
        <v>X - Los Lagos</v>
      </c>
      <c r="L852" s="5" t="str">
        <f>IFERROR(VLOOKUP(I852,[1]INFO_LOCALES!$B:$I,8,FALSE),"")</f>
        <v>Castro</v>
      </c>
      <c r="M852" s="5" t="str">
        <f>IFERROR(VLOOKUP(I852,[1]INFO_LOCALES!$B:$H,7,FALSE),"")</f>
        <v>O'Higgins 711</v>
      </c>
      <c r="N852" s="5">
        <f>IFERROR(VLOOKUP(I852,[1]INFO_LOCALES!$B:$E,4,FALSE),"")</f>
        <v>3875</v>
      </c>
      <c r="O852" s="5" t="str">
        <f>VLOOKUP(Tabla2[[#This Row],[TIENDA]],[1]INFO_LOCALES!$B:$J,9,0)</f>
        <v>SIN CONVENIO</v>
      </c>
      <c r="P852" s="5" t="str">
        <f>IFERROR(VLOOKUP(I852,[1]INFO_LOCALES!$B:$F,5,FALSE),"")</f>
        <v>SURALIS</v>
      </c>
      <c r="Q852" s="5" t="s">
        <v>85</v>
      </c>
      <c r="R852" s="5" t="s">
        <v>86</v>
      </c>
      <c r="S852" s="6"/>
      <c r="T852" s="5" t="str">
        <f>UPPER(IF(Tabla2[[#This Row],[FECHA DE MUESTREO ]]=0,"",TEXT(Tabla2[[#This Row],[FECHA DE MUESTREO ]],("MMMM"))))</f>
        <v/>
      </c>
      <c r="U852" s="6"/>
      <c r="V852" s="5" t="s">
        <v>59</v>
      </c>
      <c r="W8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52" s="7">
        <f t="shared" si="30"/>
        <v>1</v>
      </c>
      <c r="AH852" s="5">
        <f ca="1">Tabla2[[#This Row],[VOLUMEN DE DESCARGA MENSUAL (M3/M)]]*30</f>
        <v>0</v>
      </c>
      <c r="AI852" s="5">
        <f t="shared" ca="1" si="31"/>
        <v>0</v>
      </c>
    </row>
    <row r="853" spans="1:51" x14ac:dyDescent="0.25">
      <c r="A853" s="5" t="s">
        <v>52</v>
      </c>
      <c r="B853" s="5" t="s">
        <v>104</v>
      </c>
      <c r="C853" s="5" t="s">
        <v>54</v>
      </c>
      <c r="D853" s="5">
        <v>2026</v>
      </c>
      <c r="F853" s="22" t="s">
        <v>299</v>
      </c>
      <c r="G853" s="5" t="s">
        <v>61</v>
      </c>
      <c r="H853" s="5" t="s">
        <v>57</v>
      </c>
      <c r="I853" s="5">
        <v>645</v>
      </c>
      <c r="J853" s="5" t="str">
        <f>IFERROR(VLOOKUP(I853,[1]INFO_LOCALES!$B:$C,2,FALSE),"")</f>
        <v>MEMBRILLAR</v>
      </c>
      <c r="K853" s="5" t="str">
        <f>IFERROR(VLOOKUP(Tabla2[[#This Row],[TIENDA]],[1]INFO_LOCALES!$B:$D,3,FALSE),"")</f>
        <v>VI - O'Higgins</v>
      </c>
      <c r="L853" s="5" t="str">
        <f>IFERROR(VLOOKUP(I853,[1]INFO_LOCALES!$B:$I,8,FALSE),"")</f>
        <v>Rancagua</v>
      </c>
      <c r="M853" s="5" t="str">
        <f>IFERROR(VLOOKUP(I853,[1]INFO_LOCALES!$B:$H,7,FALSE),"")</f>
        <v>Av. Membrillar 10</v>
      </c>
      <c r="N853" s="5">
        <f>IFERROR(VLOOKUP(I853,[1]INFO_LOCALES!$B:$E,4,FALSE),"")</f>
        <v>84</v>
      </c>
      <c r="O853" s="5" t="str">
        <f>VLOOKUP(Tabla2[[#This Row],[TIENDA]],[1]INFO_LOCALES!$B:$J,9,0)</f>
        <v>SIN CONVENIO</v>
      </c>
      <c r="P853" s="5" t="str">
        <f>IFERROR(VLOOKUP(I853,[1]INFO_LOCALES!$B:$F,5,FALSE),"")</f>
        <v>ESSBIO S.A.</v>
      </c>
      <c r="Q853" s="5" t="s">
        <v>85</v>
      </c>
      <c r="R853" s="5" t="s">
        <v>86</v>
      </c>
      <c r="S853" s="6"/>
      <c r="T853" s="5" t="str">
        <f>UPPER(IF(Tabla2[[#This Row],[FECHA DE MUESTREO ]]=0,"",TEXT(Tabla2[[#This Row],[FECHA DE MUESTREO ]],("MMMM"))))</f>
        <v>MARZO</v>
      </c>
      <c r="U853" s="6">
        <v>46094</v>
      </c>
      <c r="V853" s="5" t="s">
        <v>59</v>
      </c>
      <c r="W8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53" s="7">
        <f t="shared" si="30"/>
        <v>2</v>
      </c>
      <c r="Y853" s="5">
        <v>30.1</v>
      </c>
      <c r="Z853" s="5">
        <v>7.58</v>
      </c>
      <c r="AA853" s="5">
        <v>6.3</v>
      </c>
      <c r="AB853" s="5">
        <v>20.25</v>
      </c>
      <c r="AC853" s="5">
        <v>298.3</v>
      </c>
      <c r="AD853" s="5">
        <v>5.3</v>
      </c>
      <c r="AE853" s="5">
        <v>7.8</v>
      </c>
      <c r="AF853" s="5">
        <v>1</v>
      </c>
      <c r="AG853" s="5">
        <v>358</v>
      </c>
      <c r="AH853" s="5">
        <v>0.65</v>
      </c>
      <c r="AI853" s="5">
        <f t="shared" si="31"/>
        <v>19.5</v>
      </c>
    </row>
    <row r="854" spans="1:51" x14ac:dyDescent="0.25">
      <c r="A854" s="5" t="s">
        <v>52</v>
      </c>
      <c r="B854" s="5" t="s">
        <v>149</v>
      </c>
      <c r="C854" s="5" t="s">
        <v>81</v>
      </c>
      <c r="D854" s="5">
        <v>2026</v>
      </c>
      <c r="F854" s="22" t="s">
        <v>299</v>
      </c>
      <c r="G854" s="5" t="s">
        <v>61</v>
      </c>
      <c r="H854" s="5" t="s">
        <v>57</v>
      </c>
      <c r="I854" s="5">
        <v>771</v>
      </c>
      <c r="J854" s="5" t="str">
        <f>IFERROR(VLOOKUP(I854,[1]INFO_LOCALES!$B:$C,2,FALSE),"")</f>
        <v>MIRASOL</v>
      </c>
      <c r="K854" s="5" t="str">
        <f>IFERROR(VLOOKUP(Tabla2[[#This Row],[TIENDA]],[1]INFO_LOCALES!$B:$D,3,FALSE),"")</f>
        <v>X - Los Lagos</v>
      </c>
      <c r="L854" s="5" t="str">
        <f>IFERROR(VLOOKUP(I854,[1]INFO_LOCALES!$B:$I,8,FALSE),"")</f>
        <v>Puerto Montt</v>
      </c>
      <c r="M854" s="5" t="str">
        <f>IFERROR(VLOOKUP(I854,[1]INFO_LOCALES!$B:$H,7,FALSE),"")</f>
        <v>Av. La Cruz 2006</v>
      </c>
      <c r="N854" s="5">
        <f>IFERROR(VLOOKUP(I854,[1]INFO_LOCALES!$B:$E,4,FALSE),"")</f>
        <v>3723</v>
      </c>
      <c r="O854" s="5" t="str">
        <f>VLOOKUP(Tabla2[[#This Row],[TIENDA]],[1]INFO_LOCALES!$B:$J,9,0)</f>
        <v>SIN CONVENIO</v>
      </c>
      <c r="P854" s="5" t="str">
        <f>IFERROR(VLOOKUP(I854,[1]INFO_LOCALES!$B:$F,5,FALSE),"")</f>
        <v>SURALIS</v>
      </c>
      <c r="Q854" s="5" t="s">
        <v>85</v>
      </c>
      <c r="R854" s="5" t="s">
        <v>86</v>
      </c>
      <c r="S854" s="6"/>
      <c r="T854" s="5" t="str">
        <f>UPPER(IF(Tabla2[[#This Row],[FECHA DE MUESTREO ]]=0,"",TEXT(Tabla2[[#This Row],[FECHA DE MUESTREO ]],("MMMM"))))</f>
        <v>MARZO</v>
      </c>
      <c r="U854" s="6">
        <v>46100</v>
      </c>
      <c r="V854" s="5" t="s">
        <v>59</v>
      </c>
      <c r="W8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54" s="7">
        <f t="shared" si="30"/>
        <v>1</v>
      </c>
      <c r="Y854" s="5">
        <v>12.6</v>
      </c>
      <c r="Z854" s="5">
        <v>6.63</v>
      </c>
      <c r="AA854" s="5">
        <v>2.2999999999999998</v>
      </c>
      <c r="AB854" s="5">
        <v>11.55</v>
      </c>
      <c r="AC854" s="5">
        <v>62.1</v>
      </c>
      <c r="AD854" s="5">
        <v>2.2000000000000002</v>
      </c>
      <c r="AE854" s="5">
        <v>7.8</v>
      </c>
      <c r="AF854" s="5">
        <v>1</v>
      </c>
      <c r="AG854" s="5">
        <v>66</v>
      </c>
      <c r="AH854" s="5">
        <v>1</v>
      </c>
      <c r="AI854" s="5">
        <f t="shared" si="31"/>
        <v>30</v>
      </c>
    </row>
    <row r="855" spans="1:51" x14ac:dyDescent="0.25">
      <c r="A855" s="5" t="s">
        <v>52</v>
      </c>
      <c r="B855" s="5" t="s">
        <v>90</v>
      </c>
      <c r="C855" s="5" t="s">
        <v>81</v>
      </c>
      <c r="D855" s="5">
        <v>2026</v>
      </c>
      <c r="E855" s="5" t="s">
        <v>307</v>
      </c>
      <c r="F855" s="22" t="s">
        <v>299</v>
      </c>
      <c r="G855" s="5" t="s">
        <v>56</v>
      </c>
      <c r="H855" s="5" t="s">
        <v>249</v>
      </c>
      <c r="I855" s="5">
        <v>777</v>
      </c>
      <c r="J855" s="5" t="str">
        <f>IFERROR(VLOOKUP(I855,[1]INFO_LOCALES!$B:$C,2,FALSE),"")</f>
        <v>CENTRAL</v>
      </c>
      <c r="K855" s="5" t="str">
        <f>IFERROR(VLOOKUP(Tabla2[[#This Row],[TIENDA]],[1]INFO_LOCALES!$B:$D,3,FALSE),"")</f>
        <v>X - Los Lagos</v>
      </c>
      <c r="L855" s="5" t="str">
        <f>IFERROR(VLOOKUP(I855,[1]INFO_LOCALES!$B:$I,8,FALSE),"")</f>
        <v>Osorno</v>
      </c>
      <c r="M855" s="5" t="str">
        <f>IFERROR(VLOOKUP(I855,[1]INFO_LOCALES!$B:$H,7,FALSE),"")</f>
        <v>Patricio Lynch 1278</v>
      </c>
      <c r="N855" s="5">
        <f>IFERROR(VLOOKUP(I855,[1]INFO_LOCALES!$B:$E,4,FALSE),"")</f>
        <v>3684</v>
      </c>
      <c r="O855" s="5" t="str">
        <f>VLOOKUP(Tabla2[[#This Row],[TIENDA]],[1]INFO_LOCALES!$B:$J,9,0)</f>
        <v>CONVENIO</v>
      </c>
      <c r="P855" s="5" t="str">
        <f>IFERROR(VLOOKUP(I855,[1]INFO_LOCALES!$B:$F,5,FALSE),"")</f>
        <v>SURALIS</v>
      </c>
      <c r="Q855" s="5" t="s">
        <v>85</v>
      </c>
      <c r="R855" s="5" t="s">
        <v>86</v>
      </c>
      <c r="S855" s="6"/>
      <c r="T855" s="5" t="str">
        <f>UPPER(IF(Tabla2[[#This Row],[FECHA DE MUESTREO ]]=0,"",TEXT(Tabla2[[#This Row],[FECHA DE MUESTREO ]],("MMMM"))))</f>
        <v>MARZO</v>
      </c>
      <c r="U855" s="6">
        <v>46100</v>
      </c>
      <c r="V855" s="5" t="s">
        <v>59</v>
      </c>
      <c r="W8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55" s="7">
        <f t="shared" si="30"/>
        <v>2</v>
      </c>
      <c r="Y855" s="5">
        <v>16.2</v>
      </c>
      <c r="Z855" s="5">
        <v>6.78</v>
      </c>
      <c r="AA855" s="5">
        <v>9.3000000000000007</v>
      </c>
      <c r="AB855" s="5">
        <v>19.059999999999999</v>
      </c>
      <c r="AC855" s="5">
        <v>334</v>
      </c>
      <c r="AD855" s="5">
        <v>16.3</v>
      </c>
      <c r="AE855" s="5">
        <v>13.4</v>
      </c>
      <c r="AF855" s="5">
        <v>0.5</v>
      </c>
      <c r="AG855" s="5">
        <v>101</v>
      </c>
      <c r="AH855" s="5">
        <v>1</v>
      </c>
      <c r="AI855" s="5">
        <f t="shared" si="31"/>
        <v>30</v>
      </c>
    </row>
    <row r="856" spans="1:51" x14ac:dyDescent="0.25">
      <c r="A856" s="5" t="s">
        <v>52</v>
      </c>
      <c r="B856" s="5" t="s">
        <v>90</v>
      </c>
      <c r="C856" s="5" t="s">
        <v>81</v>
      </c>
      <c r="D856" s="5">
        <v>2026</v>
      </c>
      <c r="F856" s="22" t="s">
        <v>299</v>
      </c>
      <c r="G856" s="5" t="s">
        <v>61</v>
      </c>
      <c r="H856" s="5" t="s">
        <v>57</v>
      </c>
      <c r="I856" s="5">
        <v>778</v>
      </c>
      <c r="J856" s="5" t="str">
        <f>IFERROR(VLOOKUP(I856,[1]INFO_LOCALES!$B:$C,2,FALSE),"")</f>
        <v>ORIENTE</v>
      </c>
      <c r="K856" s="5" t="str">
        <f>IFERROR(VLOOKUP(Tabla2[[#This Row],[TIENDA]],[1]INFO_LOCALES!$B:$D,3,FALSE),"")</f>
        <v>X - Los Lagos</v>
      </c>
      <c r="L856" s="5" t="str">
        <f>IFERROR(VLOOKUP(I856,[1]INFO_LOCALES!$B:$I,8,FALSE),"")</f>
        <v>Osorno</v>
      </c>
      <c r="M856" s="5" t="str">
        <f>IFERROR(VLOOKUP(I856,[1]INFO_LOCALES!$B:$H,7,FALSE),"")</f>
        <v>Julio Buschman 2223</v>
      </c>
      <c r="N856" s="5">
        <f>IFERROR(VLOOKUP(I856,[1]INFO_LOCALES!$B:$E,4,FALSE),"")</f>
        <v>2867</v>
      </c>
      <c r="O856" s="5" t="str">
        <f>VLOOKUP(Tabla2[[#This Row],[TIENDA]],[1]INFO_LOCALES!$B:$J,9,0)</f>
        <v>CONVENIO</v>
      </c>
      <c r="P856" s="5" t="str">
        <f>IFERROR(VLOOKUP(I856,[1]INFO_LOCALES!$B:$F,5,FALSE),"")</f>
        <v>SURALIS</v>
      </c>
      <c r="Q856" s="5" t="s">
        <v>85</v>
      </c>
      <c r="R856" s="5" t="s">
        <v>86</v>
      </c>
      <c r="S856" s="6"/>
      <c r="T856" s="5" t="str">
        <f>UPPER(IF(Tabla2[[#This Row],[FECHA DE MUESTREO ]]=0,"",TEXT(Tabla2[[#This Row],[FECHA DE MUESTREO ]],("MMMM"))))</f>
        <v>MARZO</v>
      </c>
      <c r="U856" s="6">
        <v>46100</v>
      </c>
      <c r="V856" s="5" t="s">
        <v>59</v>
      </c>
      <c r="W8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56" s="7">
        <f t="shared" si="30"/>
        <v>1</v>
      </c>
      <c r="Y856" s="5">
        <v>16.100000000000001</v>
      </c>
      <c r="Z856" s="5">
        <v>7.59</v>
      </c>
      <c r="AA856" s="5">
        <v>5.3</v>
      </c>
      <c r="AB856" s="5">
        <v>20.39</v>
      </c>
      <c r="AC856" s="5">
        <v>203.3</v>
      </c>
      <c r="AD856" s="5">
        <v>9.1999999999999993</v>
      </c>
      <c r="AE856" s="5">
        <v>10.8</v>
      </c>
      <c r="AF856" s="5">
        <v>4</v>
      </c>
      <c r="AG856" s="5">
        <v>135</v>
      </c>
      <c r="AH856" s="5">
        <v>2</v>
      </c>
      <c r="AI856" s="5">
        <f t="shared" si="31"/>
        <v>60</v>
      </c>
    </row>
    <row r="857" spans="1:51" x14ac:dyDescent="0.25">
      <c r="A857" s="5" t="s">
        <v>52</v>
      </c>
      <c r="B857" s="5" t="s">
        <v>90</v>
      </c>
      <c r="C857" s="5" t="s">
        <v>81</v>
      </c>
      <c r="D857" s="5">
        <v>2026</v>
      </c>
      <c r="F857" s="22" t="s">
        <v>299</v>
      </c>
      <c r="G857" s="5" t="s">
        <v>61</v>
      </c>
      <c r="H857" s="5" t="s">
        <v>57</v>
      </c>
      <c r="I857" s="5">
        <v>780</v>
      </c>
      <c r="J857" s="5" t="str">
        <f>IFERROR(VLOOKUP(I857,[1]INFO_LOCALES!$B:$C,2,FALSE),"")</f>
        <v>VICTORIA</v>
      </c>
      <c r="K857" s="5" t="str">
        <f>IFERROR(VLOOKUP(Tabla2[[#This Row],[TIENDA]],[1]INFO_LOCALES!$B:$D,3,FALSE),"")</f>
        <v>X - Los Lagos</v>
      </c>
      <c r="L857" s="5" t="str">
        <f>IFERROR(VLOOKUP(I857,[1]INFO_LOCALES!$B:$I,8,FALSE),"")</f>
        <v>Osorno</v>
      </c>
      <c r="M857" s="5" t="str">
        <f>IFERROR(VLOOKUP(I857,[1]INFO_LOCALES!$B:$H,7,FALSE),"")</f>
        <v>Victoria 367 Rahue Bajo</v>
      </c>
      <c r="N857" s="5">
        <f>IFERROR(VLOOKUP(I857,[1]INFO_LOCALES!$B:$E,4,FALSE),"")</f>
        <v>1362</v>
      </c>
      <c r="O857" s="5" t="str">
        <f>VLOOKUP(Tabla2[[#This Row],[TIENDA]],[1]INFO_LOCALES!$B:$J,9,0)</f>
        <v>SIN CONVENIO</v>
      </c>
      <c r="P857" s="5" t="str">
        <f>IFERROR(VLOOKUP(I857,[1]INFO_LOCALES!$B:$F,5,FALSE),"")</f>
        <v>SURALIS</v>
      </c>
      <c r="Q857" s="5" t="s">
        <v>85</v>
      </c>
      <c r="R857" s="5" t="s">
        <v>86</v>
      </c>
      <c r="S857" s="6"/>
      <c r="T857" s="5" t="str">
        <f>UPPER(IF(Tabla2[[#This Row],[FECHA DE MUESTREO ]]=0,"",TEXT(Tabla2[[#This Row],[FECHA DE MUESTREO ]],("MMMM"))))</f>
        <v>MARZO</v>
      </c>
      <c r="U857" s="6">
        <v>46107</v>
      </c>
      <c r="V857" s="5" t="s">
        <v>59</v>
      </c>
      <c r="W8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57" s="7">
        <f t="shared" si="30"/>
        <v>1</v>
      </c>
      <c r="Y857" s="5">
        <v>6.9</v>
      </c>
      <c r="Z857" s="5">
        <v>7.55</v>
      </c>
      <c r="AA857" s="5">
        <v>2</v>
      </c>
      <c r="AB857" s="5">
        <v>19.16</v>
      </c>
      <c r="AC857" s="5">
        <v>134.9</v>
      </c>
      <c r="AD857" s="5">
        <v>0.9</v>
      </c>
      <c r="AE857" s="5">
        <v>13.8</v>
      </c>
      <c r="AF857" s="5">
        <v>6</v>
      </c>
      <c r="AG857" s="5">
        <v>154</v>
      </c>
      <c r="AH857" s="5">
        <v>1</v>
      </c>
      <c r="AI857" s="5">
        <f t="shared" si="31"/>
        <v>30</v>
      </c>
    </row>
    <row r="858" spans="1:51" x14ac:dyDescent="0.25">
      <c r="A858" s="5" t="s">
        <v>152</v>
      </c>
      <c r="B858" s="5" t="e">
        <v>#N/A</v>
      </c>
      <c r="C858" s="5" t="e">
        <v>#N/A</v>
      </c>
      <c r="D858" s="5">
        <v>2026</v>
      </c>
      <c r="F858" s="22" t="s">
        <v>299</v>
      </c>
      <c r="G858" s="5" t="s">
        <v>61</v>
      </c>
      <c r="H858" s="5" t="s">
        <v>57</v>
      </c>
      <c r="I858" s="5">
        <v>3014</v>
      </c>
      <c r="J858" s="5" t="str">
        <f>IFERROR(VLOOKUP(I858,[1]INFO_LOCALES!$B:$C,2,FALSE),"")</f>
        <v>M10 SAN FERNANDO</v>
      </c>
      <c r="K858" s="5" t="str">
        <f>IFERROR(VLOOKUP(Tabla2[[#This Row],[TIENDA]],[1]INFO_LOCALES!$B:$D,3,FALSE),"")</f>
        <v>VI - O'Higgins</v>
      </c>
      <c r="L858" s="5" t="str">
        <f>IFERROR(VLOOKUP(I858,[1]INFO_LOCALES!$B:$I,8,FALSE),"")</f>
        <v>San Fernando</v>
      </c>
      <c r="M858" s="5" t="str">
        <f>IFERROR(VLOOKUP(I858,[1]INFO_LOCALES!$B:$H,7,FALSE),"")</f>
        <v>Chillan 745</v>
      </c>
      <c r="N858" s="5">
        <f>IFERROR(VLOOKUP(I858,[1]INFO_LOCALES!$B:$E,4,FALSE),"")</f>
        <v>1298</v>
      </c>
      <c r="O858" s="5" t="str">
        <f>VLOOKUP(Tabla2[[#This Row],[TIENDA]],[1]INFO_LOCALES!$B:$J,9,0)</f>
        <v>TERMINADO</v>
      </c>
      <c r="P858" s="5" t="str">
        <f>IFERROR(VLOOKUP(I858,[1]INFO_LOCALES!$B:$F,5,FALSE),"")</f>
        <v>ESSBIO S.A.</v>
      </c>
      <c r="Q858" s="5" t="s">
        <v>85</v>
      </c>
      <c r="R858" s="5" t="s">
        <v>86</v>
      </c>
      <c r="S858" s="6"/>
      <c r="T858" s="5" t="str">
        <f>UPPER(IF(Tabla2[[#This Row],[FECHA DE MUESTREO ]]=0,"",TEXT(Tabla2[[#This Row],[FECHA DE MUESTREO ]],("MMMM"))))</f>
        <v>MARZO</v>
      </c>
      <c r="U858" s="6">
        <v>46083</v>
      </c>
      <c r="V858" s="5" t="s">
        <v>59</v>
      </c>
      <c r="W8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58" s="7">
        <f t="shared" si="30"/>
        <v>2</v>
      </c>
      <c r="Y858" s="5">
        <v>17.8</v>
      </c>
      <c r="Z858" s="5">
        <v>7.51</v>
      </c>
      <c r="AA858" s="5">
        <v>7.3</v>
      </c>
      <c r="AB858" s="5">
        <v>22.95</v>
      </c>
      <c r="AC858" s="5">
        <v>71.5</v>
      </c>
      <c r="AD858" s="5">
        <v>11.2</v>
      </c>
      <c r="AE858" s="5">
        <v>7.3</v>
      </c>
      <c r="AF858" s="5">
        <v>2</v>
      </c>
      <c r="AG858" s="5">
        <v>109</v>
      </c>
      <c r="AH858" s="5">
        <v>2.79</v>
      </c>
      <c r="AI858" s="5">
        <f t="shared" si="31"/>
        <v>83.7</v>
      </c>
    </row>
    <row r="859" spans="1:51" x14ac:dyDescent="0.25">
      <c r="A859" s="5" t="s">
        <v>60</v>
      </c>
      <c r="B859" s="5" t="e">
        <v>#N/A</v>
      </c>
      <c r="C859" s="5" t="e">
        <v>#N/A</v>
      </c>
      <c r="D859" s="5">
        <v>2026</v>
      </c>
      <c r="E859" s="5" t="s">
        <v>300</v>
      </c>
      <c r="F859" s="22" t="s">
        <v>299</v>
      </c>
      <c r="G859" s="5" t="s">
        <v>241</v>
      </c>
      <c r="H859" s="5" t="s">
        <v>277</v>
      </c>
      <c r="I859" s="5">
        <v>3022</v>
      </c>
      <c r="J859" s="5" t="str">
        <f>IFERROR(VLOOKUP(I859,[1]INFO_LOCALES!$B:$C,2,FALSE),"")</f>
        <v>M10 TEMUCO II</v>
      </c>
      <c r="K859" s="5" t="str">
        <f>IFERROR(VLOOKUP(Tabla2[[#This Row],[TIENDA]],[1]INFO_LOCALES!$B:$D,3,FALSE),"")</f>
        <v>IX - Araucanía</v>
      </c>
      <c r="L859" s="5" t="str">
        <f>IFERROR(VLOOKUP(I859,[1]INFO_LOCALES!$B:$I,8,FALSE),"")</f>
        <v>Temuco</v>
      </c>
      <c r="M859" s="5" t="str">
        <f>IFERROR(VLOOKUP(I859,[1]INFO_LOCALES!$B:$H,7,FALSE),"")</f>
        <v>Pedro De Valdivia 2285</v>
      </c>
      <c r="N859" s="5">
        <f>IFERROR(VLOOKUP(I859,[1]INFO_LOCALES!$B:$E,4,FALSE),"")</f>
        <v>3721</v>
      </c>
      <c r="O859" s="5" t="str">
        <f>VLOOKUP(Tabla2[[#This Row],[TIENDA]],[1]INFO_LOCALES!$B:$J,9,0)</f>
        <v>CONVENIO</v>
      </c>
      <c r="P859" s="5" t="str">
        <f>IFERROR(VLOOKUP(I859,[1]INFO_LOCALES!$B:$F,5,FALSE),"")</f>
        <v>AGUAS ARAUCANIA S A</v>
      </c>
      <c r="Q859" s="5" t="s">
        <v>85</v>
      </c>
      <c r="R859" s="5" t="s">
        <v>86</v>
      </c>
      <c r="S859" s="6"/>
      <c r="T859" s="5" t="str">
        <f>UPPER(IF(Tabla2[[#This Row],[FECHA DE MUESTREO ]]=0,"",TEXT(Tabla2[[#This Row],[FECHA DE MUESTREO ]],("MMMM"))))</f>
        <v>MARZO</v>
      </c>
      <c r="U859" s="6">
        <v>46100</v>
      </c>
      <c r="V859" s="5" t="s">
        <v>118</v>
      </c>
      <c r="W8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59" s="7">
        <f t="shared" si="30"/>
        <v>1</v>
      </c>
      <c r="Y859" s="5">
        <v>12.1</v>
      </c>
      <c r="Z859" s="5">
        <v>7.31</v>
      </c>
      <c r="AA859" s="5">
        <v>4.3</v>
      </c>
      <c r="AB859" s="5">
        <v>18.59</v>
      </c>
      <c r="AC859" s="5">
        <v>149.5</v>
      </c>
      <c r="AD859" s="5">
        <v>5.2</v>
      </c>
      <c r="AE859" s="5">
        <v>14.3</v>
      </c>
      <c r="AF859" s="5">
        <v>0.1</v>
      </c>
      <c r="AG859" s="5">
        <v>76</v>
      </c>
      <c r="AH859" s="5">
        <f ca="1">Tabla2[[#This Row],[VOLUMEN DE DESCARGA MENSUAL (M3/M)]]*30</f>
        <v>0</v>
      </c>
      <c r="AI859" s="5">
        <f t="shared" ca="1" si="31"/>
        <v>0</v>
      </c>
      <c r="AJ859" s="5">
        <v>0.33</v>
      </c>
      <c r="AK859" s="5">
        <v>3.0000000000000001E-3</v>
      </c>
      <c r="AL859" s="5">
        <v>0.05</v>
      </c>
      <c r="AM859" s="5">
        <v>4.0000000000000001E-3</v>
      </c>
      <c r="AN859" s="5">
        <v>2E-3</v>
      </c>
      <c r="AO859" s="5">
        <v>0.04</v>
      </c>
      <c r="AP859" s="5">
        <v>2.7E-2</v>
      </c>
      <c r="AQ859" s="5">
        <v>0.05</v>
      </c>
      <c r="AR859" s="5">
        <v>0.03</v>
      </c>
      <c r="AS859" s="5">
        <v>2.12</v>
      </c>
      <c r="AT859" s="5">
        <v>4.4999999999999998E-2</v>
      </c>
      <c r="AU859" s="5">
        <v>1E-3</v>
      </c>
      <c r="AV859" s="5">
        <v>1.4999999999999999E-2</v>
      </c>
      <c r="AW859" s="5">
        <v>0.04</v>
      </c>
      <c r="AX859" s="5">
        <v>111.5</v>
      </c>
      <c r="AY859" s="5">
        <v>0.03</v>
      </c>
    </row>
    <row r="860" spans="1:51" x14ac:dyDescent="0.25">
      <c r="A860" s="5" t="s">
        <v>152</v>
      </c>
      <c r="B860" s="5" t="e">
        <v>#N/A</v>
      </c>
      <c r="C860" s="5" t="e">
        <v>#N/A</v>
      </c>
      <c r="D860" s="5">
        <v>2026</v>
      </c>
      <c r="F860" s="22" t="s">
        <v>299</v>
      </c>
      <c r="G860" s="5" t="s">
        <v>61</v>
      </c>
      <c r="H860" s="5" t="s">
        <v>277</v>
      </c>
      <c r="I860" s="5">
        <v>3197</v>
      </c>
      <c r="J860" s="5" t="str">
        <f>IFERROR(VLOOKUP(I860,[1]INFO_LOCALES!$B:$C,2,FALSE),"")</f>
        <v>ALVI PICARTE VALDIVIA</v>
      </c>
      <c r="K860" s="5" t="str">
        <f>IFERROR(VLOOKUP(Tabla2[[#This Row],[TIENDA]],[1]INFO_LOCALES!$B:$D,3,FALSE),"")</f>
        <v>XIV - Los Ríos</v>
      </c>
      <c r="L860" s="5" t="str">
        <f>IFERROR(VLOOKUP(I860,[1]INFO_LOCALES!$B:$I,8,FALSE),"")</f>
        <v>Valdivia</v>
      </c>
      <c r="M860" s="5" t="str">
        <f>IFERROR(VLOOKUP(I860,[1]INFO_LOCALES!$B:$H,7,FALSE),"")</f>
        <v>Av. Ramon Picarte 2593</v>
      </c>
      <c r="N860" s="5">
        <f>IFERROR(VLOOKUP(I860,[1]INFO_LOCALES!$B:$E,4,FALSE),"")</f>
        <v>1961</v>
      </c>
      <c r="O860" s="5" t="str">
        <f>VLOOKUP(Tabla2[[#This Row],[TIENDA]],[1]INFO_LOCALES!$B:$J,9,0)</f>
        <v>CONVENIO</v>
      </c>
      <c r="P860" s="5" t="str">
        <f>IFERROR(VLOOKUP(I860,[1]INFO_LOCALES!$B:$F,5,FALSE),"")</f>
        <v>AGUAS DECIMA S A</v>
      </c>
      <c r="Q860" s="5" t="s">
        <v>85</v>
      </c>
      <c r="R860" s="5" t="s">
        <v>86</v>
      </c>
      <c r="S860" s="6"/>
      <c r="T860" s="5" t="str">
        <f>UPPER(IF(Tabla2[[#This Row],[FECHA DE MUESTREO ]]=0,"",TEXT(Tabla2[[#This Row],[FECHA DE MUESTREO ]],("MMMM"))))</f>
        <v>MARZO</v>
      </c>
      <c r="U860" s="6">
        <v>46112</v>
      </c>
      <c r="V860" s="5" t="s">
        <v>59</v>
      </c>
      <c r="W8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60" s="7">
        <f t="shared" si="30"/>
        <v>1</v>
      </c>
      <c r="Y860" s="5">
        <v>20.100000000000001</v>
      </c>
      <c r="Z860" s="5">
        <v>6.86</v>
      </c>
      <c r="AA860" s="5">
        <v>2</v>
      </c>
      <c r="AB860" s="5">
        <v>14.95</v>
      </c>
      <c r="AC860" s="5">
        <v>198.8</v>
      </c>
      <c r="AD860" s="5">
        <v>8.3000000000000007</v>
      </c>
      <c r="AE860" s="5">
        <v>13.4</v>
      </c>
      <c r="AF860" s="5">
        <v>0.5</v>
      </c>
      <c r="AG860" s="5">
        <v>72</v>
      </c>
      <c r="AH860" s="5">
        <v>4</v>
      </c>
      <c r="AI860" s="5">
        <f t="shared" si="31"/>
        <v>120</v>
      </c>
    </row>
    <row r="861" spans="1:51" x14ac:dyDescent="0.25">
      <c r="A861" s="5" t="s">
        <v>152</v>
      </c>
      <c r="B861" s="5" t="e">
        <v>#N/A</v>
      </c>
      <c r="C861" s="5" t="e">
        <v>#N/A</v>
      </c>
      <c r="D861" s="5">
        <v>2026</v>
      </c>
      <c r="E861" s="16" t="s">
        <v>276</v>
      </c>
      <c r="F861" s="22" t="s">
        <v>299</v>
      </c>
      <c r="G861" s="5" t="s">
        <v>61</v>
      </c>
      <c r="H861" s="5" t="s">
        <v>57</v>
      </c>
      <c r="I861" s="5">
        <v>3143</v>
      </c>
      <c r="J861" s="5" t="str">
        <f>IFERROR(VLOOKUP(I861,[1]INFO_LOCALES!$B:$C,2,FALSE),"")</f>
        <v>M10 TEMUCO IV</v>
      </c>
      <c r="K861" s="5" t="str">
        <f>IFERROR(VLOOKUP(Tabla2[[#This Row],[TIENDA]],[1]INFO_LOCALES!$B:$D,3,FALSE),"")</f>
        <v>IX - Araucanía</v>
      </c>
      <c r="L861" s="5" t="str">
        <f>IFERROR(VLOOKUP(I861,[1]INFO_LOCALES!$B:$I,8,FALSE),"")</f>
        <v>Temuco</v>
      </c>
      <c r="M861" s="5" t="str">
        <f>IFERROR(VLOOKUP(I861,[1]INFO_LOCALES!$B:$H,7,FALSE),"")</f>
        <v>Francisco Salazar 01650</v>
      </c>
      <c r="N861" s="5">
        <f>IFERROR(VLOOKUP(I861,[1]INFO_LOCALES!$B:$E,4,FALSE),"")</f>
        <v>4422</v>
      </c>
      <c r="O861" s="5" t="str">
        <f>VLOOKUP(Tabla2[[#This Row],[TIENDA]],[1]INFO_LOCALES!$B:$J,9,0)</f>
        <v>CONVENIO</v>
      </c>
      <c r="P861" s="5" t="str">
        <f>IFERROR(VLOOKUP(I861,[1]INFO_LOCALES!$B:$F,5,FALSE),"")</f>
        <v>AGUAS ARAUCANIA S A</v>
      </c>
      <c r="Q861" s="5" t="s">
        <v>85</v>
      </c>
      <c r="R861" s="5" t="s">
        <v>86</v>
      </c>
      <c r="S861" s="6"/>
      <c r="T861" s="5" t="str">
        <f>UPPER(IF(Tabla2[[#This Row],[FECHA DE MUESTREO ]]=0,"",TEXT(Tabla2[[#This Row],[FECHA DE MUESTREO ]],("MMMM"))))</f>
        <v>MARZO</v>
      </c>
      <c r="U861" s="6">
        <v>46090</v>
      </c>
      <c r="V861" s="5" t="s">
        <v>59</v>
      </c>
      <c r="W8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61" s="7">
        <f t="shared" si="30"/>
        <v>1</v>
      </c>
      <c r="Y861" s="5">
        <v>16.100000000000001</v>
      </c>
      <c r="Z861" s="5">
        <v>6.71</v>
      </c>
      <c r="AA861" s="5">
        <v>2.2999999999999998</v>
      </c>
      <c r="AB861" s="5">
        <v>19.809999999999999</v>
      </c>
      <c r="AC861" s="5">
        <v>92.4</v>
      </c>
      <c r="AD861" s="5">
        <v>2.1</v>
      </c>
      <c r="AE861" s="5">
        <v>9.1999999999999993</v>
      </c>
      <c r="AF861" s="5">
        <v>10</v>
      </c>
      <c r="AG861" s="5">
        <v>42.2</v>
      </c>
      <c r="AH861" s="5">
        <v>4</v>
      </c>
      <c r="AI861" s="5">
        <f t="shared" si="31"/>
        <v>120</v>
      </c>
    </row>
    <row r="862" spans="1:51" x14ac:dyDescent="0.25">
      <c r="A862" s="5" t="s">
        <v>210</v>
      </c>
      <c r="B862" s="5" t="e">
        <v>#N/A</v>
      </c>
      <c r="C862" s="5" t="e">
        <v>#N/A</v>
      </c>
      <c r="D862" s="5">
        <v>2026</v>
      </c>
      <c r="F862" s="22" t="s">
        <v>299</v>
      </c>
      <c r="G862" s="5" t="s">
        <v>65</v>
      </c>
      <c r="H862" s="5" t="s">
        <v>57</v>
      </c>
      <c r="I862" s="5">
        <v>9051</v>
      </c>
      <c r="J862" s="5" t="str">
        <f>IFERROR(VLOOKUP(I862,[1]INFO_LOCALES!$B:$C,2,FALSE),"")</f>
        <v>CD NUEVO COQUIMBO</v>
      </c>
      <c r="K862" s="5" t="str">
        <f>IFERROR(VLOOKUP(Tabla2[[#This Row],[TIENDA]],[1]INFO_LOCALES!$B:$D,3,FALSE),"")</f>
        <v>IV - Coquimbo</v>
      </c>
      <c r="L862" s="5" t="str">
        <f>IFERROR(VLOOKUP(I862,[1]INFO_LOCALES!$B:$I,8,FALSE),"")</f>
        <v>Coquimbo</v>
      </c>
      <c r="M862" s="5" t="str">
        <f>IFERROR(VLOOKUP(I862,[1]INFO_LOCALES!$B:$H,7,FALSE),"")</f>
        <v>PAN DE AZUCAR S/N</v>
      </c>
      <c r="N862" s="5">
        <f>IFERROR(VLOOKUP(I862,[1]INFO_LOCALES!$B:$E,4,FALSE),"")</f>
        <v>0</v>
      </c>
      <c r="O862" s="5" t="str">
        <f>VLOOKUP(Tabla2[[#This Row],[TIENDA]],[1]INFO_LOCALES!$B:$J,9,0)</f>
        <v>SIN CONVENIO</v>
      </c>
      <c r="P862" s="5" t="str">
        <f>IFERROR(VLOOKUP(I862,[1]INFO_LOCALES!$B:$F,5,FALSE),"")</f>
        <v>RENTAS COQUIMBO SPA</v>
      </c>
      <c r="Q862" s="5" t="s">
        <v>85</v>
      </c>
      <c r="R862" s="5" t="s">
        <v>86</v>
      </c>
      <c r="S862" s="6"/>
      <c r="T862" s="5" t="str">
        <f>UPPER(IF(Tabla2[[#This Row],[FECHA DE MUESTREO ]]=0,"",TEXT(Tabla2[[#This Row],[FECHA DE MUESTREO ]],("MMMM"))))</f>
        <v>MARZO</v>
      </c>
      <c r="U862" s="6">
        <v>46097</v>
      </c>
      <c r="V862" s="5" t="s">
        <v>118</v>
      </c>
      <c r="W8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62" s="7">
        <f t="shared" si="30"/>
        <v>1</v>
      </c>
      <c r="Y862" s="5">
        <v>7.6</v>
      </c>
      <c r="Z862" s="5">
        <v>7.9</v>
      </c>
      <c r="AA862" s="5">
        <v>2</v>
      </c>
      <c r="AB862" s="5">
        <v>24.3</v>
      </c>
      <c r="AC862" s="5">
        <v>10.199999999999999</v>
      </c>
      <c r="AD862" s="5">
        <v>7.2</v>
      </c>
      <c r="AE862" s="5">
        <v>6.3</v>
      </c>
      <c r="AG862" s="5">
        <v>18</v>
      </c>
      <c r="AH862" s="5">
        <f ca="1">Tabla2[[#This Row],[VOLUMEN DE DESCARGA MENSUAL (M3/M)]]*30</f>
        <v>0</v>
      </c>
      <c r="AI862" s="5">
        <f t="shared" ca="1" si="31"/>
        <v>0</v>
      </c>
      <c r="AJ862" s="5">
        <v>0.17</v>
      </c>
      <c r="AK862" s="5">
        <v>3.0000000000000001E-3</v>
      </c>
      <c r="AL862" s="5">
        <v>0.28499999999999998</v>
      </c>
      <c r="AM862" s="5">
        <v>4.0000000000000001E-3</v>
      </c>
      <c r="AN862" s="5">
        <v>2E-3</v>
      </c>
      <c r="AO862" s="5">
        <v>0.1</v>
      </c>
      <c r="AP862" s="5">
        <v>1.2999999999999999E-2</v>
      </c>
      <c r="AR862" s="5">
        <v>0.03</v>
      </c>
      <c r="AS862" s="5">
        <v>2</v>
      </c>
      <c r="AT862" s="5">
        <v>1.9E-2</v>
      </c>
      <c r="AU862" s="5">
        <v>1E-3</v>
      </c>
      <c r="AV862" s="5">
        <v>1.4999999999999999E-2</v>
      </c>
      <c r="AW862" s="5">
        <v>0.04</v>
      </c>
      <c r="AX862" s="5">
        <v>249</v>
      </c>
      <c r="AY862" s="5">
        <v>0.03</v>
      </c>
    </row>
    <row r="863" spans="1:51" x14ac:dyDescent="0.25">
      <c r="A863" s="5" t="s">
        <v>210</v>
      </c>
      <c r="B863" s="5" t="e">
        <v>#N/A</v>
      </c>
      <c r="C863" s="5" t="e">
        <v>#N/A</v>
      </c>
      <c r="D863" s="5">
        <v>2026</v>
      </c>
      <c r="F863" s="22" t="s">
        <v>299</v>
      </c>
      <c r="G863" s="5" t="s">
        <v>61</v>
      </c>
      <c r="H863" s="5" t="s">
        <v>57</v>
      </c>
      <c r="I863" s="5">
        <v>9139</v>
      </c>
      <c r="J863" s="5" t="str">
        <f>IFERROR(VLOOKUP(I863,[1]INFO_LOCALES!$B:$C,2,FALSE),"")</f>
        <v>CD LO AGUIRRE</v>
      </c>
      <c r="K863" s="5" t="str">
        <f>IFERROR(VLOOKUP(Tabla2[[#This Row],[TIENDA]],[1]INFO_LOCALES!$B:$D,3,FALSE),"")</f>
        <v>RM - Santiago</v>
      </c>
      <c r="L863" s="5" t="str">
        <f>IFERROR(VLOOKUP(I863,[1]INFO_LOCALES!$B:$I,8,FALSE),"")</f>
        <v>Pudahuel</v>
      </c>
      <c r="M863" s="5" t="str">
        <f>IFERROR(VLOOKUP(I863,[1]INFO_LOCALES!$B:$H,7,FALSE),"")</f>
        <v>CAMINO LO AGUIRRE SUR 537</v>
      </c>
      <c r="N863" s="5">
        <f>IFERROR(VLOOKUP(I863,[1]INFO_LOCALES!$B:$E,4,FALSE),"")</f>
        <v>3552</v>
      </c>
      <c r="O863" s="5" t="str">
        <f>VLOOKUP(Tabla2[[#This Row],[TIENDA]],[1]INFO_LOCALES!$B:$J,9,0)</f>
        <v>SIN CONVENIO</v>
      </c>
      <c r="P863" s="5" t="str">
        <f>IFERROR(VLOOKUP(I863,[1]INFO_LOCALES!$B:$F,5,FALSE),"")</f>
        <v>AGUAS IZARRA</v>
      </c>
      <c r="Q863" s="5" t="s">
        <v>85</v>
      </c>
      <c r="R863" s="5" t="s">
        <v>86</v>
      </c>
      <c r="S863" s="6"/>
      <c r="T863" s="5" t="str">
        <f>UPPER(IF(Tabla2[[#This Row],[FECHA DE MUESTREO ]]=0,"",TEXT(Tabla2[[#This Row],[FECHA DE MUESTREO ]],("MMMM"))))</f>
        <v>MARZO</v>
      </c>
      <c r="U863" s="6">
        <v>46097</v>
      </c>
      <c r="V863" s="5" t="s">
        <v>118</v>
      </c>
      <c r="W8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63" s="7">
        <f t="shared" si="30"/>
        <v>1</v>
      </c>
      <c r="Y863" s="5">
        <v>2.1</v>
      </c>
      <c r="Z863" s="5">
        <v>6.74</v>
      </c>
      <c r="AA863" s="5">
        <v>2</v>
      </c>
      <c r="AB863" s="5">
        <v>19.690000000000001</v>
      </c>
      <c r="AC863" s="5">
        <v>3.6</v>
      </c>
      <c r="AD863" s="5">
        <v>1</v>
      </c>
      <c r="AE863" s="5">
        <v>3.2</v>
      </c>
      <c r="AF863" s="5">
        <v>0.1</v>
      </c>
      <c r="AG863" s="5">
        <v>8.9</v>
      </c>
      <c r="AH863" s="5">
        <v>1.58</v>
      </c>
      <c r="AI863" s="5">
        <f t="shared" si="31"/>
        <v>47.400000000000006</v>
      </c>
      <c r="AJ863" s="5">
        <v>0.16</v>
      </c>
      <c r="AK863" s="5">
        <v>6.0000000000000001E-3</v>
      </c>
      <c r="AL863" s="5">
        <v>0.14000000000000001</v>
      </c>
      <c r="AM863" s="5">
        <v>4.0000000000000001E-3</v>
      </c>
      <c r="AN863" s="5">
        <v>2E-3</v>
      </c>
      <c r="AO863" s="5">
        <v>0.14599999999999999</v>
      </c>
      <c r="AP863" s="5">
        <v>1.4999999999999999E-2</v>
      </c>
      <c r="AQ863" s="5">
        <v>0.05</v>
      </c>
      <c r="AR863" s="5">
        <v>0.03</v>
      </c>
      <c r="AS863" s="5">
        <v>2</v>
      </c>
      <c r="AT863" s="5">
        <v>7.0000000000000001E-3</v>
      </c>
      <c r="AU863" s="5">
        <v>1E-3</v>
      </c>
      <c r="AV863" s="5">
        <v>1.4999999999999999E-2</v>
      </c>
      <c r="AW863" s="5">
        <v>0.04</v>
      </c>
      <c r="AX863" s="5">
        <v>121.6</v>
      </c>
      <c r="AY863" s="5">
        <v>0.03</v>
      </c>
    </row>
    <row r="864" spans="1:51" x14ac:dyDescent="0.25">
      <c r="A864" s="5" t="s">
        <v>52</v>
      </c>
      <c r="B864" s="5" t="s">
        <v>73</v>
      </c>
      <c r="C864" s="5" t="s">
        <v>74</v>
      </c>
      <c r="D864" s="5">
        <v>2026</v>
      </c>
      <c r="F864" s="22" t="s">
        <v>299</v>
      </c>
      <c r="G864" s="5" t="s">
        <v>61</v>
      </c>
      <c r="H864" s="5" t="s">
        <v>57</v>
      </c>
      <c r="I864" s="5">
        <v>442</v>
      </c>
      <c r="J864" s="5" t="str">
        <f>IFERROR(VLOOKUP(I864,[1]INFO_LOCALES!$B:$C,2,FALSE),"")</f>
        <v>COYHAIQUE</v>
      </c>
      <c r="K864" s="5" t="str">
        <f>IFERROR(VLOOKUP(Tabla2[[#This Row],[TIENDA]],[1]INFO_LOCALES!$B:$D,3,FALSE),"")</f>
        <v>XI - Aysén</v>
      </c>
      <c r="L864" s="5" t="str">
        <f>IFERROR(VLOOKUP(I864,[1]INFO_LOCALES!$B:$I,8,FALSE),"")</f>
        <v>Coyhaique</v>
      </c>
      <c r="M864" s="5" t="str">
        <f>IFERROR(VLOOKUP(I864,[1]INFO_LOCALES!$B:$H,7,FALSE),"")</f>
        <v>Lautaro 331</v>
      </c>
      <c r="N864" s="5">
        <f>IFERROR(VLOOKUP(I864,[1]INFO_LOCALES!$B:$E,4,FALSE),"")</f>
        <v>1320</v>
      </c>
      <c r="O864" s="5" t="str">
        <f>VLOOKUP(Tabla2[[#This Row],[TIENDA]],[1]INFO_LOCALES!$B:$J,9,0)</f>
        <v>SIN CONVENIO</v>
      </c>
      <c r="P864" s="5" t="str">
        <f>IFERROR(VLOOKUP(I864,[1]INFO_LOCALES!$B:$F,5,FALSE),"")</f>
        <v>AGUAS PATAGONIA</v>
      </c>
      <c r="Q864" s="5" t="s">
        <v>144</v>
      </c>
      <c r="R864" s="5" t="s">
        <v>86</v>
      </c>
      <c r="S864" s="6"/>
      <c r="T864" s="5" t="str">
        <f>UPPER(IF(Tabla2[[#This Row],[FECHA DE MUESTREO ]]=0,"",TEXT(Tabla2[[#This Row],[FECHA DE MUESTREO ]],("MMMM"))))</f>
        <v>MARZO</v>
      </c>
      <c r="U864" s="6">
        <v>46112</v>
      </c>
      <c r="V864" s="5" t="s">
        <v>118</v>
      </c>
      <c r="W8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64" s="7">
        <f t="shared" si="30"/>
        <v>2</v>
      </c>
      <c r="Y864" s="5">
        <v>1</v>
      </c>
      <c r="Z864" s="5">
        <v>8.4</v>
      </c>
      <c r="AA864" s="5">
        <v>2</v>
      </c>
      <c r="AB864" s="5">
        <v>11.4</v>
      </c>
      <c r="AC864" s="5">
        <v>292</v>
      </c>
      <c r="AD864" s="5">
        <v>20.100000000000001</v>
      </c>
      <c r="AE864" s="5">
        <v>60</v>
      </c>
      <c r="AF864" s="5">
        <v>2</v>
      </c>
      <c r="AG864" s="5">
        <v>187</v>
      </c>
      <c r="AH864" s="5">
        <v>14.124000000000001</v>
      </c>
      <c r="AI864" s="5">
        <f t="shared" si="31"/>
        <v>423.72</v>
      </c>
      <c r="AJ864" s="5">
        <v>0.437</v>
      </c>
      <c r="AK864" s="5">
        <v>6.0000000000000001E-3</v>
      </c>
      <c r="AL864" s="5">
        <v>5.6000000000000001E-2</v>
      </c>
      <c r="AM864" s="5">
        <v>2E-3</v>
      </c>
      <c r="AN864" s="5">
        <v>0.02</v>
      </c>
      <c r="AO864" s="5">
        <v>0.20499999999999999</v>
      </c>
      <c r="AP864" s="5">
        <v>4.5999999999999999E-2</v>
      </c>
      <c r="AQ864" s="5">
        <v>5.0000000000000001E-3</v>
      </c>
      <c r="AR864" s="5">
        <v>0.02</v>
      </c>
      <c r="AS864" s="5">
        <v>1</v>
      </c>
      <c r="AT864" s="5">
        <v>0.13200000000000001</v>
      </c>
      <c r="AU864" s="5">
        <v>5.0000000000000001E-4</v>
      </c>
      <c r="AV864" s="5">
        <v>0.01</v>
      </c>
      <c r="AW864" s="5">
        <v>0.02</v>
      </c>
      <c r="AX864" s="5">
        <v>49.4</v>
      </c>
      <c r="AY864" s="5">
        <v>0.12</v>
      </c>
    </row>
    <row r="865" spans="1:35" x14ac:dyDescent="0.25">
      <c r="A865" s="5" t="s">
        <v>52</v>
      </c>
      <c r="B865" s="5" t="s">
        <v>90</v>
      </c>
      <c r="C865" s="5" t="s">
        <v>81</v>
      </c>
      <c r="D865" s="5">
        <v>2026</v>
      </c>
      <c r="E865" s="18" t="s">
        <v>308</v>
      </c>
      <c r="F865" s="5" t="s">
        <v>58</v>
      </c>
      <c r="G865" s="5" t="s">
        <v>56</v>
      </c>
      <c r="H865" s="5" t="s">
        <v>249</v>
      </c>
      <c r="I865" s="5">
        <v>777</v>
      </c>
      <c r="J865" s="5" t="str">
        <f>IFERROR(VLOOKUP(I865,[1]INFO_LOCALES!$B:$C,2,FALSE),"")</f>
        <v>CENTRAL</v>
      </c>
      <c r="K865" s="5" t="str">
        <f>IFERROR(VLOOKUP(Tabla2[[#This Row],[TIENDA]],[1]INFO_LOCALES!$B:$D,3,FALSE),"")</f>
        <v>X - Los Lagos</v>
      </c>
      <c r="L865" s="5" t="str">
        <f>IFERROR(VLOOKUP(I865,[1]INFO_LOCALES!$B:$I,8,FALSE),"")</f>
        <v>Osorno</v>
      </c>
      <c r="M865" s="5" t="str">
        <f>IFERROR(VLOOKUP(I865,[1]INFO_LOCALES!$B:$H,7,FALSE),"")</f>
        <v>Patricio Lynch 1278</v>
      </c>
      <c r="N865" s="5">
        <f>IFERROR(VLOOKUP(I865,[1]INFO_LOCALES!$B:$E,4,FALSE),"")</f>
        <v>3684</v>
      </c>
      <c r="O865" s="5" t="str">
        <f>VLOOKUP(Tabla2[[#This Row],[TIENDA]],[1]INFO_LOCALES!$B:$J,9,0)</f>
        <v>CONVENIO</v>
      </c>
      <c r="P865" s="5" t="str">
        <f>IFERROR(VLOOKUP(I865,[1]INFO_LOCALES!$B:$F,5,FALSE),"")</f>
        <v>SURALIS</v>
      </c>
      <c r="Q865" s="5" t="s">
        <v>105</v>
      </c>
      <c r="R865" s="5" t="s">
        <v>58</v>
      </c>
      <c r="S865" s="6"/>
      <c r="T865" s="5" t="str">
        <f>UPPER(IF(Tabla2[[#This Row],[FECHA DE MUESTREO ]]=0,"",TEXT(Tabla2[[#This Row],[FECHA DE MUESTREO ]],("MMMM"))))</f>
        <v>ENERO</v>
      </c>
      <c r="U865" s="6">
        <v>46049</v>
      </c>
      <c r="V865" s="5" t="s">
        <v>59</v>
      </c>
      <c r="W8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65" s="7">
        <f t="shared" si="30"/>
        <v>3</v>
      </c>
      <c r="Y865" s="5">
        <v>14</v>
      </c>
      <c r="Z865" s="5">
        <v>7.19</v>
      </c>
      <c r="AA865" s="5">
        <v>16</v>
      </c>
      <c r="AB865" s="5">
        <v>15.1</v>
      </c>
      <c r="AC865" s="5">
        <v>241</v>
      </c>
      <c r="AD865" s="5">
        <v>6</v>
      </c>
      <c r="AE865" s="5">
        <v>7.71</v>
      </c>
      <c r="AF865" s="5">
        <v>0.5</v>
      </c>
      <c r="AG865" s="5">
        <v>40</v>
      </c>
      <c r="AH865" s="5">
        <v>3</v>
      </c>
      <c r="AI865" s="5">
        <f t="shared" si="31"/>
        <v>90</v>
      </c>
    </row>
    <row r="866" spans="1:35" x14ac:dyDescent="0.25">
      <c r="A866" s="5" t="s">
        <v>52</v>
      </c>
      <c r="B866" s="5" t="s">
        <v>90</v>
      </c>
      <c r="C866" s="5" t="s">
        <v>81</v>
      </c>
      <c r="D866" s="5">
        <v>2026</v>
      </c>
      <c r="F866" s="5" t="s">
        <v>58</v>
      </c>
      <c r="G866" s="5" t="s">
        <v>229</v>
      </c>
      <c r="H866" s="5" t="s">
        <v>57</v>
      </c>
      <c r="I866" s="5">
        <v>778</v>
      </c>
      <c r="J866" s="5" t="str">
        <f>IFERROR(VLOOKUP(I866,[1]INFO_LOCALES!$B:$C,2,FALSE),"")</f>
        <v>ORIENTE</v>
      </c>
      <c r="K866" s="5" t="str">
        <f>IFERROR(VLOOKUP(Tabla2[[#This Row],[TIENDA]],[1]INFO_LOCALES!$B:$D,3,FALSE),"")</f>
        <v>X - Los Lagos</v>
      </c>
      <c r="L866" s="5" t="str">
        <f>IFERROR(VLOOKUP(I866,[1]INFO_LOCALES!$B:$I,8,FALSE),"")</f>
        <v>Osorno</v>
      </c>
      <c r="M866" s="5" t="str">
        <f>IFERROR(VLOOKUP(I866,[1]INFO_LOCALES!$B:$H,7,FALSE),"")</f>
        <v>Julio Buschman 2223</v>
      </c>
      <c r="N866" s="5">
        <f>IFERROR(VLOOKUP(I866,[1]INFO_LOCALES!$B:$E,4,FALSE),"")</f>
        <v>2867</v>
      </c>
      <c r="O866" s="5" t="str">
        <f>VLOOKUP(Tabla2[[#This Row],[TIENDA]],[1]INFO_LOCALES!$B:$J,9,0)</f>
        <v>CONVENIO</v>
      </c>
      <c r="P866" s="5" t="str">
        <f>IFERROR(VLOOKUP(I866,[1]INFO_LOCALES!$B:$F,5,FALSE),"")</f>
        <v>SURALIS</v>
      </c>
      <c r="Q866" s="5" t="s">
        <v>105</v>
      </c>
      <c r="R866" s="5" t="s">
        <v>58</v>
      </c>
      <c r="S866" s="6"/>
      <c r="T866" s="5" t="str">
        <f>UPPER(IF(Tabla2[[#This Row],[FECHA DE MUESTREO ]]=0,"",TEXT(Tabla2[[#This Row],[FECHA DE MUESTREO ]],("MMMM"))))</f>
        <v>ENERO</v>
      </c>
      <c r="U866" s="6">
        <v>46042</v>
      </c>
      <c r="V866" s="5" t="s">
        <v>59</v>
      </c>
      <c r="W8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66" s="7">
        <f t="shared" si="30"/>
        <v>1</v>
      </c>
      <c r="Y866" s="5">
        <v>14</v>
      </c>
      <c r="Z866" s="5">
        <v>7.7</v>
      </c>
      <c r="AA866" s="5">
        <v>2</v>
      </c>
      <c r="AB866" s="5">
        <v>16.2</v>
      </c>
      <c r="AC866" s="5">
        <v>208</v>
      </c>
      <c r="AD866" s="5">
        <v>6.9</v>
      </c>
      <c r="AE866" s="5">
        <v>63.47</v>
      </c>
      <c r="AF866" s="5">
        <v>8</v>
      </c>
      <c r="AG866" s="5">
        <v>81</v>
      </c>
      <c r="AH866" s="5">
        <v>13</v>
      </c>
      <c r="AI866" s="5">
        <f t="shared" si="31"/>
        <v>390</v>
      </c>
    </row>
    <row r="867" spans="1:35" x14ac:dyDescent="0.25">
      <c r="A867" s="5" t="s">
        <v>52</v>
      </c>
      <c r="B867" s="5" t="s">
        <v>90</v>
      </c>
      <c r="C867" s="5" t="s">
        <v>81</v>
      </c>
      <c r="D867" s="5">
        <v>2026</v>
      </c>
      <c r="E867" s="5" t="s">
        <v>309</v>
      </c>
      <c r="F867" s="5" t="s">
        <v>58</v>
      </c>
      <c r="G867" s="5" t="s">
        <v>229</v>
      </c>
      <c r="H867" s="5" t="s">
        <v>57</v>
      </c>
      <c r="I867" s="5">
        <v>375</v>
      </c>
      <c r="J867" s="5" t="str">
        <f>IFERROR(VLOOKUP(I867,[1]INFO_LOCALES!$B:$C,2,FALSE),"")</f>
        <v>ARAUCO</v>
      </c>
      <c r="K867" s="5" t="str">
        <f>IFERROR(VLOOKUP(Tabla2[[#This Row],[TIENDA]],[1]INFO_LOCALES!$B:$D,3,FALSE),"")</f>
        <v>XIV - Los Ríos</v>
      </c>
      <c r="L867" s="5" t="str">
        <f>IFERROR(VLOOKUP(I867,[1]INFO_LOCALES!$B:$I,8,FALSE),"")</f>
        <v>Valdivia</v>
      </c>
      <c r="M867" s="5" t="str">
        <f>IFERROR(VLOOKUP(I867,[1]INFO_LOCALES!$B:$H,7,FALSE),"")</f>
        <v>Arauco 697</v>
      </c>
      <c r="N867" s="5">
        <f>IFERROR(VLOOKUP(I867,[1]INFO_LOCALES!$B:$E,4,FALSE),"")</f>
        <v>3420</v>
      </c>
      <c r="O867" s="5" t="str">
        <f>VLOOKUP(Tabla2[[#This Row],[TIENDA]],[1]INFO_LOCALES!$B:$J,9,0)</f>
        <v>CONVENIO</v>
      </c>
      <c r="P867" s="5" t="str">
        <f>IFERROR(VLOOKUP(I867,[1]INFO_LOCALES!$B:$F,5,FALSE),"")</f>
        <v>AGUAS DECIMA S A</v>
      </c>
      <c r="Q867" s="5" t="s">
        <v>105</v>
      </c>
      <c r="R867" s="5" t="s">
        <v>58</v>
      </c>
      <c r="S867" s="6"/>
      <c r="T867" s="5" t="str">
        <f>UPPER(IF(Tabla2[[#This Row],[FECHA DE MUESTREO ]]=0,"",TEXT(Tabla2[[#This Row],[FECHA DE MUESTREO ]],("MMMM"))))</f>
        <v>ENERO</v>
      </c>
      <c r="U867" s="6">
        <v>46028</v>
      </c>
      <c r="V867" s="5" t="s">
        <v>59</v>
      </c>
      <c r="W8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67" s="7">
        <f t="shared" si="30"/>
        <v>1</v>
      </c>
      <c r="Y867" s="5">
        <v>14</v>
      </c>
      <c r="Z867" s="5">
        <v>7.22</v>
      </c>
      <c r="AA867" s="5">
        <v>2</v>
      </c>
      <c r="AB867" s="5">
        <v>12</v>
      </c>
      <c r="AC867" s="5">
        <v>40</v>
      </c>
      <c r="AD867" s="5">
        <v>1.5</v>
      </c>
      <c r="AE867" s="5">
        <v>5.6</v>
      </c>
      <c r="AF867" s="5">
        <v>2</v>
      </c>
      <c r="AG867" s="5">
        <v>25</v>
      </c>
      <c r="AH867" s="5">
        <f ca="1">Tabla2[[#This Row],[VOLUMEN DE DESCARGA MENSUAL (M3/M)]]*30</f>
        <v>0</v>
      </c>
      <c r="AI867" s="5">
        <f t="shared" ca="1" si="31"/>
        <v>0</v>
      </c>
    </row>
    <row r="868" spans="1:35" x14ac:dyDescent="0.25">
      <c r="A868" s="5" t="s">
        <v>52</v>
      </c>
      <c r="B868" s="5" t="e">
        <v>#N/A</v>
      </c>
      <c r="C868" s="5" t="e">
        <v>#N/A</v>
      </c>
      <c r="D868" s="5">
        <v>2025</v>
      </c>
      <c r="F868" s="5" t="s">
        <v>58</v>
      </c>
      <c r="G868" s="5" t="s">
        <v>229</v>
      </c>
      <c r="H868" s="5" t="s">
        <v>57</v>
      </c>
      <c r="I868" s="5">
        <v>519</v>
      </c>
      <c r="J868" s="5" t="str">
        <f>IFERROR(VLOOKUP(I868,[1]INFO_LOCALES!$B:$C,2,FALSE),"")</f>
        <v>TRAIGUEN</v>
      </c>
      <c r="K868" s="5" t="str">
        <f>IFERROR(VLOOKUP(Tabla2[[#This Row],[TIENDA]],[1]INFO_LOCALES!$B:$D,3,FALSE),"")</f>
        <v>IX - Araucanía</v>
      </c>
      <c r="L868" s="5" t="str">
        <f>IFERROR(VLOOKUP(I868,[1]INFO_LOCALES!$B:$I,8,FALSE),"")</f>
        <v>Traiguén</v>
      </c>
      <c r="M868" s="5" t="str">
        <f>IFERROR(VLOOKUP(I868,[1]INFO_LOCALES!$B:$H,7,FALSE),"")</f>
        <v>Santa Cruz 1170</v>
      </c>
      <c r="N868" s="5">
        <f>IFERROR(VLOOKUP(I868,[1]INFO_LOCALES!$B:$E,4,FALSE),"")</f>
        <v>0</v>
      </c>
      <c r="O868" s="5" t="str">
        <f>VLOOKUP(Tabla2[[#This Row],[TIENDA]],[1]INFO_LOCALES!$B:$J,9,0)</f>
        <v>CONVENIO</v>
      </c>
      <c r="P868" s="5" t="str">
        <f>IFERROR(VLOOKUP(I868,[1]INFO_LOCALES!$B:$F,5,FALSE),"")</f>
        <v>AGUAS ARAUCANIA S A</v>
      </c>
      <c r="R868" s="5" t="s">
        <v>58</v>
      </c>
      <c r="S868" s="6"/>
      <c r="T868" s="5" t="str">
        <f>UPPER(IF(Tabla2[[#This Row],[FECHA DE MUESTREO ]]=0,"",TEXT(Tabla2[[#This Row],[FECHA DE MUESTREO ]],("MMMM"))))</f>
        <v>OCTUBRE</v>
      </c>
      <c r="U868" s="6">
        <v>45959</v>
      </c>
      <c r="V868" s="5" t="s">
        <v>59</v>
      </c>
      <c r="W8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68" s="7">
        <f t="shared" si="30"/>
        <v>1</v>
      </c>
      <c r="Y868" s="5">
        <v>15</v>
      </c>
      <c r="Z868" s="5">
        <v>6.68</v>
      </c>
      <c r="AA868" s="5">
        <v>1</v>
      </c>
      <c r="AB868" s="5">
        <v>15.9</v>
      </c>
      <c r="AC868" s="5">
        <v>154</v>
      </c>
      <c r="AD868" s="5">
        <v>6.74</v>
      </c>
      <c r="AE868" s="5">
        <v>60.9</v>
      </c>
      <c r="AF868" s="5">
        <v>0.1</v>
      </c>
      <c r="AG868" s="5">
        <v>64</v>
      </c>
      <c r="AH868" s="5">
        <v>4.5999999999999996</v>
      </c>
      <c r="AI868" s="5">
        <f t="shared" si="31"/>
        <v>138</v>
      </c>
    </row>
    <row r="869" spans="1:35" x14ac:dyDescent="0.25">
      <c r="A869" s="5" t="s">
        <v>52</v>
      </c>
      <c r="B869" s="5" t="e">
        <v>#N/A</v>
      </c>
      <c r="C869" s="5" t="e">
        <v>#N/A</v>
      </c>
      <c r="D869" s="5">
        <v>2025</v>
      </c>
      <c r="F869" s="5" t="s">
        <v>58</v>
      </c>
      <c r="G869" s="5" t="s">
        <v>229</v>
      </c>
      <c r="H869" s="5" t="s">
        <v>57</v>
      </c>
      <c r="I869" s="5">
        <v>519</v>
      </c>
      <c r="J869" s="5" t="str">
        <f>IFERROR(VLOOKUP(I869,[1]INFO_LOCALES!$B:$C,2,FALSE),"")</f>
        <v>TRAIGUEN</v>
      </c>
      <c r="K869" s="5" t="str">
        <f>IFERROR(VLOOKUP(Tabla2[[#This Row],[TIENDA]],[1]INFO_LOCALES!$B:$D,3,FALSE),"")</f>
        <v>IX - Araucanía</v>
      </c>
      <c r="L869" s="5" t="str">
        <f>IFERROR(VLOOKUP(I869,[1]INFO_LOCALES!$B:$I,8,FALSE),"")</f>
        <v>Traiguén</v>
      </c>
      <c r="M869" s="5" t="str">
        <f>IFERROR(VLOOKUP(I869,[1]INFO_LOCALES!$B:$H,7,FALSE),"")</f>
        <v>Santa Cruz 1170</v>
      </c>
      <c r="N869" s="5">
        <f>IFERROR(VLOOKUP(I869,[1]INFO_LOCALES!$B:$E,4,FALSE),"")</f>
        <v>0</v>
      </c>
      <c r="O869" s="5" t="str">
        <f>VLOOKUP(Tabla2[[#This Row],[TIENDA]],[1]INFO_LOCALES!$B:$J,9,0)</f>
        <v>CONVENIO</v>
      </c>
      <c r="P869" s="5" t="str">
        <f>IFERROR(VLOOKUP(I869,[1]INFO_LOCALES!$B:$F,5,FALSE),"")</f>
        <v>AGUAS ARAUCANIA S A</v>
      </c>
      <c r="R869" s="5" t="s">
        <v>58</v>
      </c>
      <c r="S869" s="6"/>
      <c r="T869" s="5" t="str">
        <f>UPPER(IF(Tabla2[[#This Row],[FECHA DE MUESTREO ]]=0,"",TEXT(Tabla2[[#This Row],[FECHA DE MUESTREO ]],("MMMM"))))</f>
        <v>OCTUBRE</v>
      </c>
      <c r="U869" s="6">
        <v>45950</v>
      </c>
      <c r="V869" s="5" t="s">
        <v>59</v>
      </c>
      <c r="W8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69" s="7">
        <f t="shared" ref="X869:X932" si="32">IF(W869="CUMPLE",1,IF(W869="CUMPLE CON TOLERANCIA",2,IF(W869="NO CUMPLE",3)))</f>
        <v>1</v>
      </c>
      <c r="Y869" s="5">
        <v>2</v>
      </c>
      <c r="Z869" s="5">
        <v>6.41</v>
      </c>
      <c r="AA869" s="5">
        <v>1</v>
      </c>
      <c r="AB869" s="5">
        <v>18.399999999999999</v>
      </c>
      <c r="AC869" s="5">
        <v>231</v>
      </c>
      <c r="AD869" s="5">
        <v>6.85</v>
      </c>
      <c r="AE869" s="5">
        <v>0.44</v>
      </c>
      <c r="AF869" s="5">
        <v>0.1</v>
      </c>
      <c r="AG869" s="5">
        <v>74</v>
      </c>
      <c r="AH869" s="5">
        <v>1</v>
      </c>
      <c r="AI869" s="5">
        <f t="shared" si="31"/>
        <v>30</v>
      </c>
    </row>
    <row r="870" spans="1:35" x14ac:dyDescent="0.25">
      <c r="A870" s="5" t="s">
        <v>52</v>
      </c>
      <c r="B870" s="5" t="e">
        <v>#N/A</v>
      </c>
      <c r="C870" s="5" t="e">
        <v>#N/A</v>
      </c>
      <c r="D870" s="5">
        <v>2026</v>
      </c>
      <c r="E870" s="5" t="s">
        <v>310</v>
      </c>
      <c r="F870" s="5" t="s">
        <v>58</v>
      </c>
      <c r="G870" s="5" t="s">
        <v>229</v>
      </c>
      <c r="H870" s="5" t="s">
        <v>277</v>
      </c>
      <c r="I870" s="5">
        <v>754</v>
      </c>
      <c r="J870" s="5" t="str">
        <f>IFERROR(VLOOKUP(I870,[1]INFO_LOCALES!$B:$C,2,FALSE),"")</f>
        <v>TEMUCO IV</v>
      </c>
      <c r="K870" s="5" t="str">
        <f>IFERROR(VLOOKUP(Tabla2[[#This Row],[TIENDA]],[1]INFO_LOCALES!$B:$D,3,FALSE),"")</f>
        <v>IX - Araucanía</v>
      </c>
      <c r="L870" s="5" t="str">
        <f>IFERROR(VLOOKUP(I870,[1]INFO_LOCALES!$B:$I,8,FALSE),"")</f>
        <v>Temuco</v>
      </c>
      <c r="M870" s="5" t="str">
        <f>IFERROR(VLOOKUP(I870,[1]INFO_LOCALES!$B:$H,7,FALSE),"")</f>
        <v>Avenida Javiera Carrera 1610</v>
      </c>
      <c r="N870" s="5">
        <f>IFERROR(VLOOKUP(I870,[1]INFO_LOCALES!$B:$E,4,FALSE),"")</f>
        <v>0</v>
      </c>
      <c r="O870" s="5" t="str">
        <f>VLOOKUP(Tabla2[[#This Row],[TIENDA]],[1]INFO_LOCALES!$B:$J,9,0)</f>
        <v>CONVENIO</v>
      </c>
      <c r="P870" s="5" t="str">
        <f>IFERROR(VLOOKUP(I870,[1]INFO_LOCALES!$B:$F,5,FALSE),"")</f>
        <v>AGUAS ARAUCANIA S A</v>
      </c>
      <c r="Q870" s="5" t="s">
        <v>214</v>
      </c>
      <c r="R870" s="5" t="s">
        <v>58</v>
      </c>
      <c r="S870" s="6">
        <v>46112</v>
      </c>
      <c r="T870" s="5" t="str">
        <f>UPPER(IF(Tabla2[[#This Row],[FECHA DE MUESTREO ]]=0,"",TEXT(Tabla2[[#This Row],[FECHA DE MUESTREO ]],("MMMM"))))</f>
        <v>OCTUBRE</v>
      </c>
      <c r="U870" s="6">
        <v>45946</v>
      </c>
      <c r="V870" s="5" t="s">
        <v>59</v>
      </c>
      <c r="W8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70" s="7">
        <f t="shared" si="32"/>
        <v>1</v>
      </c>
      <c r="Y870" s="5">
        <v>6.4</v>
      </c>
      <c r="Z870" s="5">
        <v>7.85</v>
      </c>
      <c r="AA870" s="5">
        <v>1</v>
      </c>
      <c r="AB870" s="5">
        <v>17.2</v>
      </c>
      <c r="AC870" s="5">
        <v>96.6</v>
      </c>
      <c r="AD870" s="5">
        <v>1.92</v>
      </c>
      <c r="AE870" s="5">
        <v>25.4</v>
      </c>
      <c r="AF870" s="5">
        <v>3</v>
      </c>
      <c r="AG870" s="5">
        <v>172</v>
      </c>
      <c r="AH870" s="5">
        <v>46</v>
      </c>
      <c r="AI870" s="5">
        <f t="shared" si="31"/>
        <v>1380</v>
      </c>
    </row>
    <row r="871" spans="1:35" x14ac:dyDescent="0.25">
      <c r="A871" s="5" t="s">
        <v>52</v>
      </c>
      <c r="B871" s="5" t="e">
        <v>#N/A</v>
      </c>
      <c r="C871" s="5" t="e">
        <v>#N/A</v>
      </c>
      <c r="D871" s="5">
        <v>2026</v>
      </c>
      <c r="F871" s="5" t="s">
        <v>58</v>
      </c>
      <c r="G871" s="5" t="s">
        <v>229</v>
      </c>
      <c r="H871" s="5" t="s">
        <v>57</v>
      </c>
      <c r="I871" s="5">
        <v>17</v>
      </c>
      <c r="J871" s="5" t="str">
        <f>IFERROR(VLOOKUP(I871,[1]INFO_LOCALES!$B:$C,2,FALSE),"")</f>
        <v>LOS ALAMOS</v>
      </c>
      <c r="K871" s="5" t="str">
        <f>IFERROR(VLOOKUP(Tabla2[[#This Row],[TIENDA]],[1]INFO_LOCALES!$B:$D,3,FALSE),"")</f>
        <v>IV - Coquimbo</v>
      </c>
      <c r="L871" s="5" t="str">
        <f>IFERROR(VLOOKUP(I871,[1]INFO_LOCALES!$B:$I,8,FALSE),"")</f>
        <v>Coquimbo</v>
      </c>
      <c r="M871" s="5" t="str">
        <f>IFERROR(VLOOKUP(I871,[1]INFO_LOCALES!$B:$H,7,FALSE),"")</f>
        <v>Los Alamos 580</v>
      </c>
      <c r="N871" s="5">
        <f>IFERROR(VLOOKUP(I871,[1]INFO_LOCALES!$B:$E,4,FALSE),"")</f>
        <v>2643</v>
      </c>
      <c r="O871" s="5" t="str">
        <f>VLOOKUP(Tabla2[[#This Row],[TIENDA]],[1]INFO_LOCALES!$B:$J,9,0)</f>
        <v>TERMINADO</v>
      </c>
      <c r="P871" s="5" t="str">
        <f>IFERROR(VLOOKUP(I871,[1]INFO_LOCALES!$B:$F,5,FALSE),"")</f>
        <v>AGUAS DEL VALLE S A</v>
      </c>
      <c r="Q871" s="5" t="s">
        <v>66</v>
      </c>
      <c r="R871" s="5" t="s">
        <v>58</v>
      </c>
      <c r="S871" s="6"/>
      <c r="T871" s="5" t="str">
        <f>UPPER(IF(Tabla2[[#This Row],[FECHA DE MUESTREO ]]=0,"",TEXT(Tabla2[[#This Row],[FECHA DE MUESTREO ]],("MMMM"))))</f>
        <v>ENERO</v>
      </c>
      <c r="U871" s="6">
        <v>46035</v>
      </c>
      <c r="V871" s="5" t="s">
        <v>59</v>
      </c>
      <c r="W8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71" s="7">
        <f t="shared" si="32"/>
        <v>2</v>
      </c>
      <c r="Y871" s="5">
        <v>4.59</v>
      </c>
      <c r="Z871" s="5">
        <v>8.1999999999999993</v>
      </c>
      <c r="AA871" s="5">
        <v>2</v>
      </c>
      <c r="AB871" s="5">
        <v>21.1</v>
      </c>
      <c r="AC871" s="5">
        <v>239</v>
      </c>
      <c r="AD871" s="5">
        <v>6.7</v>
      </c>
      <c r="AE871" s="5">
        <v>84.9</v>
      </c>
      <c r="AF871" s="5">
        <v>11</v>
      </c>
      <c r="AG871" s="5">
        <v>22.25</v>
      </c>
      <c r="AH871" s="5">
        <v>2.5499999999999998</v>
      </c>
      <c r="AI871" s="5">
        <f t="shared" si="31"/>
        <v>76.5</v>
      </c>
    </row>
    <row r="872" spans="1:35" x14ac:dyDescent="0.25">
      <c r="A872" s="5" t="s">
        <v>52</v>
      </c>
      <c r="B872" s="5" t="e">
        <v>#N/A</v>
      </c>
      <c r="C872" s="5" t="e">
        <v>#N/A</v>
      </c>
      <c r="D872" s="5">
        <v>2026</v>
      </c>
      <c r="E872" s="5" t="s">
        <v>311</v>
      </c>
      <c r="F872" s="5" t="s">
        <v>58</v>
      </c>
      <c r="G872" s="5" t="s">
        <v>56</v>
      </c>
      <c r="H872" s="5" t="s">
        <v>249</v>
      </c>
      <c r="I872" s="5">
        <v>641</v>
      </c>
      <c r="J872" s="5" t="str">
        <f>IFERROR(VLOOKUP(I872,[1]INFO_LOCALES!$B:$C,2,FALSE),"")</f>
        <v>VICUÑA</v>
      </c>
      <c r="K872" s="5" t="str">
        <f>IFERROR(VLOOKUP(Tabla2[[#This Row],[TIENDA]],[1]INFO_LOCALES!$B:$D,3,FALSE),"")</f>
        <v>IV - Coquimbo</v>
      </c>
      <c r="L872" s="5" t="str">
        <f>IFERROR(VLOOKUP(I872,[1]INFO_LOCALES!$B:$I,8,FALSE),"")</f>
        <v>Vicuña</v>
      </c>
      <c r="M872" s="5" t="str">
        <f>IFERROR(VLOOKUP(I872,[1]INFO_LOCALES!$B:$H,7,FALSE),"")</f>
        <v>Chacabuco 302</v>
      </c>
      <c r="N872" s="5">
        <f>IFERROR(VLOOKUP(I872,[1]INFO_LOCALES!$B:$E,4,FALSE),"")</f>
        <v>0</v>
      </c>
      <c r="O872" s="5" t="str">
        <f>VLOOKUP(Tabla2[[#This Row],[TIENDA]],[1]INFO_LOCALES!$B:$J,9,0)</f>
        <v>SIN CONVENIO</v>
      </c>
      <c r="P872" s="5" t="str">
        <f>IFERROR(VLOOKUP(I872,[1]INFO_LOCALES!$B:$F,5,FALSE),"")</f>
        <v>AGUAS DEL VALLE S A</v>
      </c>
      <c r="Q872" s="5" t="s">
        <v>66</v>
      </c>
      <c r="R872" s="5" t="s">
        <v>58</v>
      </c>
      <c r="S872" s="6">
        <v>46108</v>
      </c>
      <c r="T872" s="5" t="str">
        <f>UPPER(IF(Tabla2[[#This Row],[FECHA DE MUESTREO ]]=0,"",TEXT(Tabla2[[#This Row],[FECHA DE MUESTREO ]],("MMMM"))))</f>
        <v>ENERO</v>
      </c>
      <c r="U872" s="6">
        <v>46037</v>
      </c>
      <c r="V872" s="5" t="s">
        <v>59</v>
      </c>
      <c r="W8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72" s="7">
        <f t="shared" si="32"/>
        <v>3</v>
      </c>
      <c r="Y872" s="5">
        <v>2</v>
      </c>
      <c r="Z872" s="5">
        <v>8.2100000000000009</v>
      </c>
      <c r="AA872" s="5">
        <v>35.700000000000003</v>
      </c>
      <c r="AB872" s="5">
        <v>17.899999999999999</v>
      </c>
      <c r="AC872" s="5">
        <v>171</v>
      </c>
      <c r="AD872" s="5">
        <v>10.199999999999999</v>
      </c>
      <c r="AE872" s="5">
        <v>65</v>
      </c>
      <c r="AF872" s="5">
        <v>1</v>
      </c>
      <c r="AG872" s="5">
        <v>173</v>
      </c>
      <c r="AH872" s="5">
        <v>1.94</v>
      </c>
      <c r="AI872" s="5">
        <f t="shared" si="31"/>
        <v>58.199999999999996</v>
      </c>
    </row>
    <row r="873" spans="1:35" x14ac:dyDescent="0.25">
      <c r="A873" s="5" t="s">
        <v>52</v>
      </c>
      <c r="B873" s="5" t="e">
        <v>#N/A</v>
      </c>
      <c r="C873" s="5" t="e">
        <v>#N/A</v>
      </c>
      <c r="D873" s="5">
        <v>2026</v>
      </c>
      <c r="F873" s="5" t="s">
        <v>58</v>
      </c>
      <c r="G873" s="5" t="s">
        <v>229</v>
      </c>
      <c r="H873" s="5" t="s">
        <v>247</v>
      </c>
      <c r="I873" s="5">
        <v>33</v>
      </c>
      <c r="J873" s="5" t="str">
        <f>IFERROR(VLOOKUP(I873,[1]INFO_LOCALES!$B:$C,2,FALSE),"")</f>
        <v>COVIEFI</v>
      </c>
      <c r="K873" s="5" t="str">
        <f>IFERROR(VLOOKUP(Tabla2[[#This Row],[TIENDA]],[1]INFO_LOCALES!$B:$D,3,FALSE),"")</f>
        <v>II - Antofagasta</v>
      </c>
      <c r="L873" s="5" t="str">
        <f>IFERROR(VLOOKUP(I873,[1]INFO_LOCALES!$B:$I,8,FALSE),"")</f>
        <v>Antofagasta</v>
      </c>
      <c r="M873" s="5" t="str">
        <f>IFERROR(VLOOKUP(I873,[1]INFO_LOCALES!$B:$H,7,FALSE),"")</f>
        <v>Av. Argentina 1910</v>
      </c>
      <c r="N873" s="5">
        <f>IFERROR(VLOOKUP(I873,[1]INFO_LOCALES!$B:$E,4,FALSE),"")</f>
        <v>0</v>
      </c>
      <c r="O873" s="5" t="str">
        <f>VLOOKUP(Tabla2[[#This Row],[TIENDA]],[1]INFO_LOCALES!$B:$J,9,0)</f>
        <v>SIN CONVENIO</v>
      </c>
      <c r="P873" s="5" t="str">
        <f>IFERROR(VLOOKUP(I873,[1]INFO_LOCALES!$B:$F,5,FALSE),"")</f>
        <v>AGUAS DE ANTOFAGASTA S A</v>
      </c>
      <c r="Q873" s="5" t="s">
        <v>105</v>
      </c>
      <c r="R873" s="5" t="s">
        <v>58</v>
      </c>
      <c r="S873" s="6">
        <v>46126</v>
      </c>
      <c r="T873" s="5" t="str">
        <f>UPPER(IF(Tabla2[[#This Row],[FECHA DE MUESTREO ]]=0,"",TEXT(Tabla2[[#This Row],[FECHA DE MUESTREO ]],("MMMM"))))</f>
        <v>FEBRERO</v>
      </c>
      <c r="U873" s="6">
        <v>46079</v>
      </c>
      <c r="V873" s="5" t="s">
        <v>59</v>
      </c>
      <c r="W8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73" s="7">
        <f t="shared" si="32"/>
        <v>1</v>
      </c>
      <c r="Y873" s="5">
        <v>24</v>
      </c>
      <c r="Z873" s="5">
        <v>7.97</v>
      </c>
      <c r="AA873" s="5">
        <v>3</v>
      </c>
      <c r="AB873" s="5">
        <v>26.5</v>
      </c>
      <c r="AC873" s="5">
        <v>203</v>
      </c>
      <c r="AD873" s="5">
        <v>7.09</v>
      </c>
      <c r="AE873" s="5">
        <v>56.5</v>
      </c>
      <c r="AF873" s="5">
        <v>0.2</v>
      </c>
      <c r="AG873" s="5">
        <v>86</v>
      </c>
      <c r="AH873" s="5">
        <v>3.1989999999999998</v>
      </c>
      <c r="AI873" s="5">
        <f t="shared" si="31"/>
        <v>95.97</v>
      </c>
    </row>
    <row r="874" spans="1:35" x14ac:dyDescent="0.25">
      <c r="A874" s="5" t="s">
        <v>52</v>
      </c>
      <c r="B874" s="5" t="e">
        <v>#N/A</v>
      </c>
      <c r="C874" s="5" t="e">
        <v>#N/A</v>
      </c>
      <c r="D874" s="5">
        <v>2026</v>
      </c>
      <c r="E874" s="5" t="s">
        <v>312</v>
      </c>
      <c r="F874" s="5" t="s">
        <v>58</v>
      </c>
      <c r="G874" s="5" t="s">
        <v>56</v>
      </c>
      <c r="H874" s="5" t="s">
        <v>249</v>
      </c>
      <c r="I874" s="5">
        <v>789</v>
      </c>
      <c r="J874" s="5" t="str">
        <f>IFERROR(VLOOKUP(I874,[1]INFO_LOCALES!$B:$C,2,FALSE),"")</f>
        <v>FRUTILLAR III</v>
      </c>
      <c r="K874" s="5" t="str">
        <f>IFERROR(VLOOKUP(Tabla2[[#This Row],[TIENDA]],[1]INFO_LOCALES!$B:$D,3,FALSE),"")</f>
        <v>X - Los Lagos</v>
      </c>
      <c r="L874" s="5" t="str">
        <f>IFERROR(VLOOKUP(I874,[1]INFO_LOCALES!$B:$I,8,FALSE),"")</f>
        <v>Frutillar</v>
      </c>
      <c r="M874" s="5" t="str">
        <f>IFERROR(VLOOKUP(I874,[1]INFO_LOCALES!$B:$H,7,FALSE),"")</f>
        <v>Arturo Alessandri 381</v>
      </c>
      <c r="N874" s="5">
        <f>IFERROR(VLOOKUP(I874,[1]INFO_LOCALES!$B:$E,4,FALSE),"")</f>
        <v>0</v>
      </c>
      <c r="O874" s="5" t="str">
        <f>VLOOKUP(Tabla2[[#This Row],[TIENDA]],[1]INFO_LOCALES!$B:$J,9,0)</f>
        <v>SIN CONVENIO</v>
      </c>
      <c r="P874" s="5" t="str">
        <f>IFERROR(VLOOKUP(I874,[1]INFO_LOCALES!$B:$F,5,FALSE),"")</f>
        <v>SURALIS</v>
      </c>
      <c r="Q874" s="5" t="s">
        <v>105</v>
      </c>
      <c r="R874" s="5" t="s">
        <v>58</v>
      </c>
      <c r="S874" s="6"/>
      <c r="T874" s="5" t="str">
        <f>UPPER(IF(Tabla2[[#This Row],[FECHA DE MUESTREO ]]=0,"",TEXT(Tabla2[[#This Row],[FECHA DE MUESTREO ]],("MMMM"))))</f>
        <v>FEBRERO</v>
      </c>
      <c r="U874" s="6">
        <v>46063</v>
      </c>
      <c r="V874" s="5" t="s">
        <v>59</v>
      </c>
      <c r="W8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74" s="7">
        <f t="shared" si="32"/>
        <v>3</v>
      </c>
      <c r="Y874" s="5">
        <v>155</v>
      </c>
      <c r="Z874" s="5">
        <v>7.46</v>
      </c>
      <c r="AA874" s="5">
        <v>2</v>
      </c>
      <c r="AB874" s="5">
        <v>11.2</v>
      </c>
      <c r="AC874" s="5">
        <v>664</v>
      </c>
      <c r="AD874" s="5">
        <v>18.899999999999999</v>
      </c>
      <c r="AE874" s="5">
        <v>82.56</v>
      </c>
      <c r="AF874" s="5">
        <v>5.5</v>
      </c>
      <c r="AG874" s="5">
        <v>522</v>
      </c>
      <c r="AH874" s="5">
        <f ca="1">Tabla2[[#This Row],[VOLUMEN DE DESCARGA MENSUAL (M3/M)]]*30</f>
        <v>0</v>
      </c>
      <c r="AI874" s="5">
        <f t="shared" ca="1" si="31"/>
        <v>0</v>
      </c>
    </row>
    <row r="875" spans="1:35" x14ac:dyDescent="0.25">
      <c r="A875" s="5" t="s">
        <v>52</v>
      </c>
      <c r="B875" s="5" t="e">
        <v>#N/A</v>
      </c>
      <c r="C875" s="5" t="e">
        <v>#N/A</v>
      </c>
      <c r="D875" s="5">
        <v>2026</v>
      </c>
      <c r="E875" s="5" t="s">
        <v>312</v>
      </c>
      <c r="F875" s="5" t="s">
        <v>58</v>
      </c>
      <c r="G875" s="5" t="s">
        <v>56</v>
      </c>
      <c r="H875" s="5" t="s">
        <v>249</v>
      </c>
      <c r="I875" s="5">
        <v>778</v>
      </c>
      <c r="J875" s="5" t="str">
        <f>IFERROR(VLOOKUP(I875,[1]INFO_LOCALES!$B:$C,2,FALSE),"")</f>
        <v>ORIENTE</v>
      </c>
      <c r="K875" s="5" t="str">
        <f>IFERROR(VLOOKUP(Tabla2[[#This Row],[TIENDA]],[1]INFO_LOCALES!$B:$D,3,FALSE),"")</f>
        <v>X - Los Lagos</v>
      </c>
      <c r="L875" s="5" t="str">
        <f>IFERROR(VLOOKUP(I875,[1]INFO_LOCALES!$B:$I,8,FALSE),"")</f>
        <v>Osorno</v>
      </c>
      <c r="M875" s="5" t="str">
        <f>IFERROR(VLOOKUP(I875,[1]INFO_LOCALES!$B:$H,7,FALSE),"")</f>
        <v>Julio Buschman 2223</v>
      </c>
      <c r="N875" s="5">
        <f>IFERROR(VLOOKUP(I875,[1]INFO_LOCALES!$B:$E,4,FALSE),"")</f>
        <v>2867</v>
      </c>
      <c r="O875" s="5" t="str">
        <f>VLOOKUP(Tabla2[[#This Row],[TIENDA]],[1]INFO_LOCALES!$B:$J,9,0)</f>
        <v>CONVENIO</v>
      </c>
      <c r="P875" s="5" t="str">
        <f>IFERROR(VLOOKUP(I875,[1]INFO_LOCALES!$B:$F,5,FALSE),"")</f>
        <v>SURALIS</v>
      </c>
      <c r="Q875" s="5" t="s">
        <v>105</v>
      </c>
      <c r="R875" s="5" t="s">
        <v>58</v>
      </c>
      <c r="S875" s="6"/>
      <c r="T875" s="5" t="str">
        <f>UPPER(IF(Tabla2[[#This Row],[FECHA DE MUESTREO ]]=0,"",TEXT(Tabla2[[#This Row],[FECHA DE MUESTREO ]],("MMMM"))))</f>
        <v>FEBRERO</v>
      </c>
      <c r="U875" s="6">
        <v>46059</v>
      </c>
      <c r="V875" s="5" t="s">
        <v>59</v>
      </c>
      <c r="W8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75" s="7">
        <f t="shared" si="32"/>
        <v>3</v>
      </c>
      <c r="Y875" s="5">
        <v>14</v>
      </c>
      <c r="Z875" s="5">
        <v>7.15</v>
      </c>
      <c r="AA875" s="5">
        <v>2</v>
      </c>
      <c r="AB875" s="5">
        <v>19.5</v>
      </c>
      <c r="AC875" s="5">
        <v>225</v>
      </c>
      <c r="AD875" s="5">
        <v>8.9</v>
      </c>
      <c r="AE875" s="5">
        <v>59.21</v>
      </c>
      <c r="AF875" s="5">
        <v>45</v>
      </c>
      <c r="AG875" s="5">
        <v>67</v>
      </c>
      <c r="AH875" s="5">
        <v>16</v>
      </c>
      <c r="AI875" s="5">
        <f t="shared" si="31"/>
        <v>480</v>
      </c>
    </row>
    <row r="876" spans="1:35" x14ac:dyDescent="0.25">
      <c r="A876" s="5" t="s">
        <v>52</v>
      </c>
      <c r="B876" s="5" t="e">
        <v>#N/A</v>
      </c>
      <c r="C876" s="5" t="e">
        <v>#N/A</v>
      </c>
      <c r="D876" s="5">
        <v>2026</v>
      </c>
      <c r="F876" s="5" t="s">
        <v>58</v>
      </c>
      <c r="G876" s="5" t="s">
        <v>229</v>
      </c>
      <c r="H876" s="5" t="s">
        <v>57</v>
      </c>
      <c r="I876" s="5">
        <v>777</v>
      </c>
      <c r="J876" s="5" t="str">
        <f>IFERROR(VLOOKUP(I876,[1]INFO_LOCALES!$B:$C,2,FALSE),"")</f>
        <v>CENTRAL</v>
      </c>
      <c r="K876" s="5" t="str">
        <f>IFERROR(VLOOKUP(Tabla2[[#This Row],[TIENDA]],[1]INFO_LOCALES!$B:$D,3,FALSE),"")</f>
        <v>X - Los Lagos</v>
      </c>
      <c r="L876" s="5" t="str">
        <f>IFERROR(VLOOKUP(I876,[1]INFO_LOCALES!$B:$I,8,FALSE),"")</f>
        <v>Osorno</v>
      </c>
      <c r="M876" s="5" t="str">
        <f>IFERROR(VLOOKUP(I876,[1]INFO_LOCALES!$B:$H,7,FALSE),"")</f>
        <v>Patricio Lynch 1278</v>
      </c>
      <c r="N876" s="5">
        <f>IFERROR(VLOOKUP(I876,[1]INFO_LOCALES!$B:$E,4,FALSE),"")</f>
        <v>3684</v>
      </c>
      <c r="O876" s="5" t="str">
        <f>VLOOKUP(Tabla2[[#This Row],[TIENDA]],[1]INFO_LOCALES!$B:$J,9,0)</f>
        <v>CONVENIO</v>
      </c>
      <c r="P876" s="5" t="str">
        <f>IFERROR(VLOOKUP(I876,[1]INFO_LOCALES!$B:$F,5,FALSE),"")</f>
        <v>SURALIS</v>
      </c>
      <c r="Q876" s="5" t="s">
        <v>105</v>
      </c>
      <c r="R876" s="5" t="s">
        <v>58</v>
      </c>
      <c r="S876" s="6"/>
      <c r="T876" s="5" t="str">
        <f>UPPER(IF(Tabla2[[#This Row],[FECHA DE MUESTREO ]]=0,"",TEXT(Tabla2[[#This Row],[FECHA DE MUESTREO ]],("MMMM"))))</f>
        <v>FEBRERO</v>
      </c>
      <c r="U876" s="6">
        <v>46079</v>
      </c>
      <c r="V876" s="5" t="s">
        <v>59</v>
      </c>
      <c r="W8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76" s="7">
        <f t="shared" si="32"/>
        <v>2</v>
      </c>
      <c r="Y876" s="5">
        <v>14</v>
      </c>
      <c r="Z876" s="5">
        <v>7.8</v>
      </c>
      <c r="AA876" s="5">
        <v>8</v>
      </c>
      <c r="AB876" s="5">
        <v>16.100000000000001</v>
      </c>
      <c r="AC876" s="5">
        <v>73</v>
      </c>
      <c r="AD876" s="5">
        <v>3</v>
      </c>
      <c r="AE876" s="5">
        <v>1.9</v>
      </c>
      <c r="AF876" s="5">
        <v>0.5</v>
      </c>
      <c r="AG876" s="5">
        <v>42</v>
      </c>
      <c r="AH876" s="5">
        <v>3</v>
      </c>
      <c r="AI876" s="5">
        <f t="shared" si="31"/>
        <v>90</v>
      </c>
    </row>
    <row r="877" spans="1:35" x14ac:dyDescent="0.25">
      <c r="A877" s="5" t="s">
        <v>52</v>
      </c>
      <c r="B877" s="5" t="e">
        <v>#N/A</v>
      </c>
      <c r="C877" s="5" t="e">
        <v>#N/A</v>
      </c>
      <c r="D877" s="5">
        <v>2026</v>
      </c>
      <c r="F877" s="5" t="s">
        <v>58</v>
      </c>
      <c r="G877" s="5" t="s">
        <v>56</v>
      </c>
      <c r="H877" s="5" t="s">
        <v>249</v>
      </c>
      <c r="I877" s="5">
        <v>769</v>
      </c>
      <c r="J877" s="5" t="str">
        <f>IFERROR(VLOOKUP(I877,[1]INFO_LOCALES!$B:$C,2,FALSE),"")</f>
        <v>CALBUCO</v>
      </c>
      <c r="K877" s="5" t="str">
        <f>IFERROR(VLOOKUP(Tabla2[[#This Row],[TIENDA]],[1]INFO_LOCALES!$B:$D,3,FALSE),"")</f>
        <v>X - Los Lagos</v>
      </c>
      <c r="L877" s="5" t="str">
        <f>IFERROR(VLOOKUP(I877,[1]INFO_LOCALES!$B:$I,8,FALSE),"")</f>
        <v>Calbuco</v>
      </c>
      <c r="M877" s="5" t="str">
        <f>IFERROR(VLOOKUP(I877,[1]INFO_LOCALES!$B:$H,7,FALSE),"")</f>
        <v>Federico Errazuriz 211</v>
      </c>
      <c r="N877" s="5">
        <f>IFERROR(VLOOKUP(I877,[1]INFO_LOCALES!$B:$E,4,FALSE),"")</f>
        <v>0</v>
      </c>
      <c r="O877" s="5" t="str">
        <f>VLOOKUP(Tabla2[[#This Row],[TIENDA]],[1]INFO_LOCALES!$B:$J,9,0)</f>
        <v>SIN CONVENIO</v>
      </c>
      <c r="P877" s="5" t="str">
        <f>IFERROR(VLOOKUP(I877,[1]INFO_LOCALES!$B:$F,5,FALSE),"")</f>
        <v>SURALIS</v>
      </c>
      <c r="Q877" s="5" t="s">
        <v>105</v>
      </c>
      <c r="R877" s="5" t="s">
        <v>58</v>
      </c>
      <c r="S877" s="6"/>
      <c r="T877" s="5" t="str">
        <f>UPPER(IF(Tabla2[[#This Row],[FECHA DE MUESTREO ]]=0,"",TEXT(Tabla2[[#This Row],[FECHA DE MUESTREO ]],("MMMM"))))</f>
        <v>FEBRERO</v>
      </c>
      <c r="U877" s="6">
        <v>46077</v>
      </c>
      <c r="V877" s="5" t="s">
        <v>59</v>
      </c>
      <c r="W8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77" s="7">
        <f t="shared" si="32"/>
        <v>3</v>
      </c>
      <c r="Y877" s="5">
        <v>14</v>
      </c>
      <c r="Z877" s="5">
        <v>7.8</v>
      </c>
      <c r="AA877" s="5">
        <v>37</v>
      </c>
      <c r="AB877" s="5">
        <v>12.9</v>
      </c>
      <c r="AC877" s="5">
        <v>126</v>
      </c>
      <c r="AD877" s="5">
        <v>5.0999999999999996</v>
      </c>
      <c r="AE877" s="5">
        <v>8.8800000000000008</v>
      </c>
      <c r="AF877" s="5">
        <v>1.5</v>
      </c>
      <c r="AG877" s="5">
        <v>61</v>
      </c>
      <c r="AH877" s="5">
        <v>13</v>
      </c>
      <c r="AI877" s="5">
        <f t="shared" si="31"/>
        <v>390</v>
      </c>
    </row>
    <row r="878" spans="1:35" x14ac:dyDescent="0.25">
      <c r="A878" s="5" t="s">
        <v>152</v>
      </c>
      <c r="B878" s="5" t="e">
        <v>#N/A</v>
      </c>
      <c r="C878" s="5" t="e">
        <v>#N/A</v>
      </c>
      <c r="D878" s="5">
        <v>2026</v>
      </c>
      <c r="F878" s="5" t="s">
        <v>58</v>
      </c>
      <c r="G878" s="5" t="s">
        <v>229</v>
      </c>
      <c r="H878" s="5" t="s">
        <v>277</v>
      </c>
      <c r="I878" s="5">
        <v>3086</v>
      </c>
      <c r="J878" s="5" t="str">
        <f>IFERROR(VLOOKUP(I878,[1]INFO_LOCALES!$B:$C,2,FALSE),"")</f>
        <v>ALVI TEMUCO</v>
      </c>
      <c r="K878" s="5" t="str">
        <f>IFERROR(VLOOKUP(Tabla2[[#This Row],[TIENDA]],[1]INFO_LOCALES!$B:$D,3,FALSE),"")</f>
        <v>IX - Araucanía</v>
      </c>
      <c r="L878" s="5" t="str">
        <f>IFERROR(VLOOKUP(I878,[1]INFO_LOCALES!$B:$I,8,FALSE),"")</f>
        <v>Temuco</v>
      </c>
      <c r="M878" s="5" t="str">
        <f>IFERROR(VLOOKUP(I878,[1]INFO_LOCALES!$B:$H,7,FALSE),"")</f>
        <v>Av. Balmaceda 1531</v>
      </c>
      <c r="N878" s="5">
        <f>IFERROR(VLOOKUP(I878,[1]INFO_LOCALES!$B:$E,4,FALSE),"")</f>
        <v>0</v>
      </c>
      <c r="O878" s="5" t="str">
        <f>VLOOKUP(Tabla2[[#This Row],[TIENDA]],[1]INFO_LOCALES!$B:$J,9,0)</f>
        <v>SIN CONVENIO</v>
      </c>
      <c r="P878" s="5" t="str">
        <f>IFERROR(VLOOKUP(I878,[1]INFO_LOCALES!$B:$F,5,FALSE),"")</f>
        <v>AGUAS ARAUCANIA S A</v>
      </c>
      <c r="Q878" s="5" t="s">
        <v>313</v>
      </c>
      <c r="R878" s="5" t="s">
        <v>58</v>
      </c>
      <c r="S878" s="6"/>
      <c r="T878" s="5" t="str">
        <f>UPPER(IF(Tabla2[[#This Row],[FECHA DE MUESTREO ]]=0,"",TEXT(Tabla2[[#This Row],[FECHA DE MUESTREO ]],("MMMM"))))</f>
        <v>NOVIEMBRE</v>
      </c>
      <c r="U878" s="6">
        <v>45990</v>
      </c>
      <c r="V878" s="5" t="s">
        <v>59</v>
      </c>
      <c r="W8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78" s="7">
        <f t="shared" si="32"/>
        <v>1</v>
      </c>
      <c r="Y878" s="5">
        <v>7.5</v>
      </c>
      <c r="Z878" s="5">
        <v>7.46</v>
      </c>
      <c r="AA878" s="5">
        <v>2</v>
      </c>
      <c r="AB878" s="5">
        <v>17.559999999999999</v>
      </c>
      <c r="AC878" s="5">
        <v>48.5</v>
      </c>
      <c r="AD878" s="5">
        <v>1.35</v>
      </c>
      <c r="AE878" s="5">
        <v>13.6</v>
      </c>
      <c r="AF878" s="5">
        <v>1</v>
      </c>
      <c r="AG878" s="5">
        <v>34.700000000000003</v>
      </c>
      <c r="AH878" s="5">
        <v>3.2</v>
      </c>
      <c r="AI878" s="5">
        <f t="shared" si="31"/>
        <v>96</v>
      </c>
    </row>
    <row r="879" spans="1:35" x14ac:dyDescent="0.25">
      <c r="A879" s="5" t="s">
        <v>52</v>
      </c>
      <c r="B879" s="5" t="e">
        <v>#N/A</v>
      </c>
      <c r="C879" s="5" t="e">
        <v>#N/A</v>
      </c>
      <c r="D879" s="5">
        <v>2026</v>
      </c>
      <c r="E879" s="5" t="s">
        <v>314</v>
      </c>
      <c r="F879" s="5" t="s">
        <v>58</v>
      </c>
      <c r="G879" s="5" t="s">
        <v>229</v>
      </c>
      <c r="H879" s="5" t="s">
        <v>249</v>
      </c>
      <c r="I879" s="5">
        <v>9</v>
      </c>
      <c r="J879" s="5" t="str">
        <f>IFERROR(VLOOKUP(I879,[1]INFO_LOCALES!$B:$C,2,FALSE),"")</f>
        <v>COQUIMBO</v>
      </c>
      <c r="K879" s="5" t="str">
        <f>IFERROR(VLOOKUP(Tabla2[[#This Row],[TIENDA]],[1]INFO_LOCALES!$B:$D,3,FALSE),"")</f>
        <v>IV - Coquimbo</v>
      </c>
      <c r="L879" s="5" t="str">
        <f>IFERROR(VLOOKUP(I879,[1]INFO_LOCALES!$B:$I,8,FALSE),"")</f>
        <v>Coquimbo</v>
      </c>
      <c r="M879" s="5" t="str">
        <f>IFERROR(VLOOKUP(I879,[1]INFO_LOCALES!$B:$H,7,FALSE),"")</f>
        <v>Francisco Varela 1480</v>
      </c>
      <c r="N879" s="5">
        <f>IFERROR(VLOOKUP(I879,[1]INFO_LOCALES!$B:$E,4,FALSE),"")</f>
        <v>0</v>
      </c>
      <c r="O879" s="5" t="str">
        <f>VLOOKUP(Tabla2[[#This Row],[TIENDA]],[1]INFO_LOCALES!$B:$J,9,0)</f>
        <v>SIN CONVENIO</v>
      </c>
      <c r="P879" s="5" t="str">
        <f>IFERROR(VLOOKUP(I879,[1]INFO_LOCALES!$B:$F,5,FALSE),"")</f>
        <v>AGUAS DEL VALLE S A</v>
      </c>
      <c r="Q879" s="5" t="s">
        <v>66</v>
      </c>
      <c r="R879" s="5" t="s">
        <v>58</v>
      </c>
      <c r="S879" s="6"/>
      <c r="T879" s="5" t="str">
        <f>UPPER(IF(Tabla2[[#This Row],[FECHA DE MUESTREO ]]=0,"",TEXT(Tabla2[[#This Row],[FECHA DE MUESTREO ]],("MMMM"))))</f>
        <v>FEBRERO</v>
      </c>
      <c r="U879" s="6">
        <v>46057</v>
      </c>
      <c r="V879" s="5" t="s">
        <v>59</v>
      </c>
      <c r="W8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79" s="7">
        <f t="shared" si="32"/>
        <v>2</v>
      </c>
      <c r="Y879" s="5">
        <v>5.85</v>
      </c>
      <c r="Z879" s="5">
        <v>8.3000000000000007</v>
      </c>
      <c r="AA879" s="5">
        <v>7.7</v>
      </c>
      <c r="AB879" s="5">
        <v>24.4</v>
      </c>
      <c r="AC879" s="5">
        <v>53.3</v>
      </c>
      <c r="AD879" s="5">
        <v>2.1800000000000002</v>
      </c>
      <c r="AE879" s="5">
        <v>28.9</v>
      </c>
      <c r="AF879" s="5">
        <v>1</v>
      </c>
      <c r="AG879" s="5">
        <v>83.5</v>
      </c>
      <c r="AH879" s="5">
        <v>2.78</v>
      </c>
      <c r="AI879" s="5">
        <f t="shared" si="31"/>
        <v>83.399999999999991</v>
      </c>
    </row>
    <row r="880" spans="1:35" x14ac:dyDescent="0.25">
      <c r="A880" s="5" t="s">
        <v>52</v>
      </c>
      <c r="B880" s="5" t="e">
        <v>#N/A</v>
      </c>
      <c r="C880" s="5" t="e">
        <v>#N/A</v>
      </c>
      <c r="D880" s="5">
        <v>2026</v>
      </c>
      <c r="E880" s="5" t="s">
        <v>315</v>
      </c>
      <c r="F880" s="5" t="s">
        <v>58</v>
      </c>
      <c r="G880" s="5" t="s">
        <v>56</v>
      </c>
      <c r="H880" s="5" t="s">
        <v>249</v>
      </c>
      <c r="I880" s="5">
        <v>71</v>
      </c>
      <c r="J880" s="5" t="str">
        <f>IFERROR(VLOOKUP(I880,[1]INFO_LOCALES!$B:$C,2,FALSE),"")</f>
        <v>PENCO</v>
      </c>
      <c r="K880" s="5" t="str">
        <f>IFERROR(VLOOKUP(Tabla2[[#This Row],[TIENDA]],[1]INFO_LOCALES!$B:$D,3,FALSE),"")</f>
        <v>VIII - Biobío</v>
      </c>
      <c r="L880" s="5" t="str">
        <f>IFERROR(VLOOKUP(I880,[1]INFO_LOCALES!$B:$I,8,FALSE),"")</f>
        <v>Penco</v>
      </c>
      <c r="M880" s="5" t="str">
        <f>IFERROR(VLOOKUP(I880,[1]INFO_LOCALES!$B:$H,7,FALSE),"")</f>
        <v>Freire 699</v>
      </c>
      <c r="N880" s="5">
        <f>IFERROR(VLOOKUP(I880,[1]INFO_LOCALES!$B:$E,4,FALSE),"")</f>
        <v>0</v>
      </c>
      <c r="O880" s="5" t="str">
        <f>VLOOKUP(Tabla2[[#This Row],[TIENDA]],[1]INFO_LOCALES!$B:$J,9,0)</f>
        <v>SIN CONVENIO</v>
      </c>
      <c r="P880" s="5" t="str">
        <f>IFERROR(VLOOKUP(I880,[1]INFO_LOCALES!$B:$F,5,FALSE),"")</f>
        <v>ESSBIO S.A.</v>
      </c>
      <c r="Q880" s="5" t="s">
        <v>66</v>
      </c>
      <c r="R880" s="5" t="s">
        <v>58</v>
      </c>
      <c r="S880" s="6"/>
      <c r="T880" s="5" t="str">
        <f>UPPER(IF(Tabla2[[#This Row],[FECHA DE MUESTREO ]]=0,"",TEXT(Tabla2[[#This Row],[FECHA DE MUESTREO ]],("MMMM"))))</f>
        <v>ENERO</v>
      </c>
      <c r="U880" s="6">
        <v>46034</v>
      </c>
      <c r="V880" s="5" t="s">
        <v>59</v>
      </c>
      <c r="W8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80" s="7">
        <f t="shared" si="32"/>
        <v>3</v>
      </c>
      <c r="Y880" s="5">
        <v>2</v>
      </c>
      <c r="Z880" s="5">
        <v>6.89</v>
      </c>
      <c r="AA880" s="5">
        <v>15</v>
      </c>
      <c r="AB880" s="5">
        <v>15.4</v>
      </c>
      <c r="AC880" s="5">
        <v>312.2</v>
      </c>
      <c r="AD880" s="5">
        <v>0.5</v>
      </c>
      <c r="AE880" s="5">
        <v>1</v>
      </c>
      <c r="AF880" s="5">
        <v>1</v>
      </c>
      <c r="AG880" s="5">
        <v>11.6</v>
      </c>
      <c r="AH880" s="5">
        <f ca="1">Tabla2[[#This Row],[VOLUMEN DE DESCARGA MENSUAL (M3/M)]]*30</f>
        <v>0</v>
      </c>
      <c r="AI880" s="5">
        <f t="shared" ca="1" si="31"/>
        <v>0</v>
      </c>
    </row>
    <row r="881" spans="1:51" x14ac:dyDescent="0.25">
      <c r="A881" s="5" t="s">
        <v>52</v>
      </c>
      <c r="B881" s="5" t="e">
        <v>#N/A</v>
      </c>
      <c r="C881" s="5" t="e">
        <v>#N/A</v>
      </c>
      <c r="D881" s="5">
        <v>2026</v>
      </c>
      <c r="E881" s="5" t="s">
        <v>315</v>
      </c>
      <c r="F881" s="5" t="s">
        <v>58</v>
      </c>
      <c r="G881" s="5" t="s">
        <v>56</v>
      </c>
      <c r="H881" s="5" t="s">
        <v>249</v>
      </c>
      <c r="I881" s="5">
        <v>103</v>
      </c>
      <c r="J881" s="5" t="str">
        <f>IFERROR(VLOOKUP(I881,[1]INFO_LOCALES!$B:$C,2,FALSE),"")</f>
        <v>VIVAR</v>
      </c>
      <c r="K881" s="5" t="str">
        <f>IFERROR(VLOOKUP(Tabla2[[#This Row],[TIENDA]],[1]INFO_LOCALES!$B:$D,3,FALSE),"")</f>
        <v>I - Tarapacá</v>
      </c>
      <c r="L881" s="5" t="str">
        <f>IFERROR(VLOOKUP(I881,[1]INFO_LOCALES!$B:$I,8,FALSE),"")</f>
        <v>Iquique</v>
      </c>
      <c r="M881" s="5" t="str">
        <f>IFERROR(VLOOKUP(I881,[1]INFO_LOCALES!$B:$H,7,FALSE),"")</f>
        <v>Vivar 786</v>
      </c>
      <c r="N881" s="5">
        <f>IFERROR(VLOOKUP(I881,[1]INFO_LOCALES!$B:$E,4,FALSE),"")</f>
        <v>4420</v>
      </c>
      <c r="O881" s="5" t="str">
        <f>VLOOKUP(Tabla2[[#This Row],[TIENDA]],[1]INFO_LOCALES!$B:$J,9,0)</f>
        <v>CONVENIO</v>
      </c>
      <c r="P881" s="5" t="str">
        <f>IFERROR(VLOOKUP(I881,[1]INFO_LOCALES!$B:$F,5,FALSE),"")</f>
        <v>AGUAS DEL ALTIPLANO S.A.</v>
      </c>
      <c r="Q881" s="5" t="s">
        <v>71</v>
      </c>
      <c r="R881" s="5" t="s">
        <v>58</v>
      </c>
      <c r="S881" s="6"/>
      <c r="T881" s="5" t="str">
        <f>UPPER(IF(Tabla2[[#This Row],[FECHA DE MUESTREO ]]=0,"",TEXT(Tabla2[[#This Row],[FECHA DE MUESTREO ]],("MMMM"))))</f>
        <v>ENERO</v>
      </c>
      <c r="U881" s="6">
        <v>46043</v>
      </c>
      <c r="V881" s="5" t="s">
        <v>59</v>
      </c>
      <c r="W8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81" s="7">
        <f t="shared" si="32"/>
        <v>3</v>
      </c>
      <c r="Y881" s="5">
        <v>0.7</v>
      </c>
      <c r="Z881" s="5">
        <v>6.29</v>
      </c>
      <c r="AA881" s="5">
        <v>2</v>
      </c>
      <c r="AB881" s="5">
        <v>22.9</v>
      </c>
      <c r="AC881" s="5">
        <v>226</v>
      </c>
      <c r="AD881" s="5">
        <v>9.6999999999999993</v>
      </c>
      <c r="AE881" s="5">
        <v>40</v>
      </c>
      <c r="AF881" s="5">
        <v>43</v>
      </c>
      <c r="AG881" s="5">
        <v>303</v>
      </c>
      <c r="AH881" s="5">
        <f ca="1">Tabla2[[#This Row],[VOLUMEN DE DESCARGA MENSUAL (M3/M)]]*30</f>
        <v>0</v>
      </c>
      <c r="AI881" s="5">
        <f t="shared" ca="1" si="31"/>
        <v>0</v>
      </c>
    </row>
    <row r="882" spans="1:51" x14ac:dyDescent="0.25">
      <c r="A882" s="5" t="s">
        <v>52</v>
      </c>
      <c r="B882" s="5" t="e">
        <v>#N/A</v>
      </c>
      <c r="C882" s="5" t="e">
        <v>#N/A</v>
      </c>
      <c r="D882" s="5">
        <v>2026</v>
      </c>
      <c r="F882" s="23" t="s">
        <v>316</v>
      </c>
      <c r="G882" s="5" t="s">
        <v>65</v>
      </c>
      <c r="H882" s="5" t="s">
        <v>57</v>
      </c>
      <c r="I882" s="5">
        <v>7</v>
      </c>
      <c r="J882" s="5" t="str">
        <f>IFERROR(VLOOKUP(I882,[1]INFO_LOCALES!$B:$C,2,FALSE),"")</f>
        <v>VALLENAR I</v>
      </c>
      <c r="K882" s="5" t="str">
        <f>IFERROR(VLOOKUP(Tabla2[[#This Row],[TIENDA]],[1]INFO_LOCALES!$B:$D,3,FALSE),"")</f>
        <v>III - Atacama</v>
      </c>
      <c r="L882" s="5" t="str">
        <f>IFERROR(VLOOKUP(I882,[1]INFO_LOCALES!$B:$I,8,FALSE),"")</f>
        <v>Vallenar</v>
      </c>
      <c r="M882" s="5" t="str">
        <f>IFERROR(VLOOKUP(I882,[1]INFO_LOCALES!$B:$H,7,FALSE),"")</f>
        <v>Brasil 663</v>
      </c>
      <c r="N882" s="5">
        <f>IFERROR(VLOOKUP(I882,[1]INFO_LOCALES!$B:$E,4,FALSE),"")</f>
        <v>0</v>
      </c>
      <c r="O882" s="5" t="str">
        <f>VLOOKUP(Tabla2[[#This Row],[TIENDA]],[1]INFO_LOCALES!$B:$J,9,0)</f>
        <v>CONVENIO</v>
      </c>
      <c r="P882" s="5" t="str">
        <f>IFERROR(VLOOKUP(I882,[1]INFO_LOCALES!$B:$F,5,FALSE),"")</f>
        <v>NUEVA ATACAMA</v>
      </c>
      <c r="Q882" s="5" t="s">
        <v>85</v>
      </c>
      <c r="R882" s="5" t="s">
        <v>86</v>
      </c>
      <c r="S882" s="6"/>
      <c r="T882" s="5" t="str">
        <f>UPPER(IF(Tabla2[[#This Row],[FECHA DE MUESTREO ]]=0,"",TEXT(Tabla2[[#This Row],[FECHA DE MUESTREO ]],("MMMM"))))</f>
        <v>ABRIL</v>
      </c>
      <c r="U882" s="6">
        <v>46122</v>
      </c>
      <c r="V882" s="5" t="s">
        <v>59</v>
      </c>
      <c r="W8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82" s="7">
        <f t="shared" si="32"/>
        <v>2</v>
      </c>
      <c r="Y882" s="5">
        <v>16.100000000000001</v>
      </c>
      <c r="Z882" s="5">
        <v>6.61</v>
      </c>
      <c r="AA882" s="5">
        <v>13.3</v>
      </c>
      <c r="AB882" s="5">
        <v>20.260000000000002</v>
      </c>
      <c r="AC882" s="5">
        <v>435</v>
      </c>
      <c r="AD882" s="5">
        <v>7.6</v>
      </c>
      <c r="AE882" s="5">
        <v>16.2</v>
      </c>
      <c r="AF882" s="5">
        <v>0.8</v>
      </c>
      <c r="AG882" s="5">
        <v>62</v>
      </c>
      <c r="AH882" s="5">
        <v>4.5</v>
      </c>
      <c r="AI882" s="5">
        <f t="shared" si="31"/>
        <v>135</v>
      </c>
    </row>
    <row r="883" spans="1:51" x14ac:dyDescent="0.25">
      <c r="A883" s="5" t="s">
        <v>52</v>
      </c>
      <c r="B883" s="5" t="e">
        <v>#N/A</v>
      </c>
      <c r="C883" s="5" t="e">
        <v>#N/A</v>
      </c>
      <c r="D883" s="5">
        <v>2026</v>
      </c>
      <c r="F883" s="23" t="s">
        <v>316</v>
      </c>
      <c r="G883" s="5" t="s">
        <v>65</v>
      </c>
      <c r="H883" s="5" t="s">
        <v>57</v>
      </c>
      <c r="I883" s="5">
        <v>14</v>
      </c>
      <c r="J883" s="5" t="str">
        <f>IFERROR(VLOOKUP(I883,[1]INFO_LOCALES!$B:$C,2,FALSE),"")</f>
        <v>COPIAPO</v>
      </c>
      <c r="K883" s="5" t="str">
        <f>IFERROR(VLOOKUP(Tabla2[[#This Row],[TIENDA]],[1]INFO_LOCALES!$B:$D,3,FALSE),"")</f>
        <v>III - Atacama</v>
      </c>
      <c r="L883" s="5" t="str">
        <f>IFERROR(VLOOKUP(I883,[1]INFO_LOCALES!$B:$I,8,FALSE),"")</f>
        <v>Copiapó</v>
      </c>
      <c r="M883" s="5" t="str">
        <f>IFERROR(VLOOKUP(I883,[1]INFO_LOCALES!$B:$H,7,FALSE),"")</f>
        <v>Av. Henrriquez N° 523</v>
      </c>
      <c r="N883" s="5">
        <f>IFERROR(VLOOKUP(I883,[1]INFO_LOCALES!$B:$E,4,FALSE),"")</f>
        <v>0</v>
      </c>
      <c r="O883" s="5" t="str">
        <f>VLOOKUP(Tabla2[[#This Row],[TIENDA]],[1]INFO_LOCALES!$B:$J,9,0)</f>
        <v>CONVENIO</v>
      </c>
      <c r="P883" s="5" t="str">
        <f>IFERROR(VLOOKUP(I883,[1]INFO_LOCALES!$B:$F,5,FALSE),"")</f>
        <v>NUEVA ATACAMA</v>
      </c>
      <c r="Q883" s="5" t="s">
        <v>85</v>
      </c>
      <c r="R883" s="5" t="s">
        <v>86</v>
      </c>
      <c r="S883" s="6"/>
      <c r="T883" s="5" t="str">
        <f>UPPER(IF(Tabla2[[#This Row],[FECHA DE MUESTREO ]]=0,"",TEXT(Tabla2[[#This Row],[FECHA DE MUESTREO ]],("MMMM"))))</f>
        <v>ABRIL</v>
      </c>
      <c r="U883" s="6">
        <v>46125</v>
      </c>
      <c r="V883" s="5" t="s">
        <v>59</v>
      </c>
      <c r="W8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83" s="7">
        <f t="shared" si="32"/>
        <v>2</v>
      </c>
      <c r="Y883" s="5">
        <v>22.6</v>
      </c>
      <c r="Z883" s="5">
        <v>7.16</v>
      </c>
      <c r="AA883" s="5">
        <v>7.3</v>
      </c>
      <c r="AB883" s="5">
        <v>19.7</v>
      </c>
      <c r="AC883" s="5">
        <v>262.39999999999998</v>
      </c>
      <c r="AD883" s="5">
        <v>8.3000000000000007</v>
      </c>
      <c r="AE883" s="5">
        <v>21.3</v>
      </c>
      <c r="AF883" s="5">
        <v>0.1</v>
      </c>
      <c r="AG883" s="5">
        <v>54</v>
      </c>
      <c r="AH883" s="5">
        <v>3.06</v>
      </c>
      <c r="AI883" s="5">
        <f t="shared" si="31"/>
        <v>91.8</v>
      </c>
    </row>
    <row r="884" spans="1:51" x14ac:dyDescent="0.25">
      <c r="A884" s="5" t="s">
        <v>52</v>
      </c>
      <c r="B884" s="5" t="e">
        <v>#N/A</v>
      </c>
      <c r="C884" s="5" t="e">
        <v>#N/A</v>
      </c>
      <c r="D884" s="5">
        <v>2026</v>
      </c>
      <c r="F884" s="23" t="s">
        <v>316</v>
      </c>
      <c r="G884" s="5" t="s">
        <v>65</v>
      </c>
      <c r="H884" s="5" t="s">
        <v>57</v>
      </c>
      <c r="I884" s="5">
        <v>16</v>
      </c>
      <c r="J884" s="5" t="str">
        <f>IFERROR(VLOOKUP(I884,[1]INFO_LOCALES!$B:$C,2,FALSE),"")</f>
        <v>VALLENAR II</v>
      </c>
      <c r="K884" s="5" t="str">
        <f>IFERROR(VLOOKUP(Tabla2[[#This Row],[TIENDA]],[1]INFO_LOCALES!$B:$D,3,FALSE),"")</f>
        <v>III - Atacama</v>
      </c>
      <c r="L884" s="5" t="str">
        <f>IFERROR(VLOOKUP(I884,[1]INFO_LOCALES!$B:$I,8,FALSE),"")</f>
        <v>Vallenar</v>
      </c>
      <c r="M884" s="5" t="str">
        <f>IFERROR(VLOOKUP(I884,[1]INFO_LOCALES!$B:$H,7,FALSE),"")</f>
        <v>Arturo Prat 2350</v>
      </c>
      <c r="N884" s="5">
        <f>IFERROR(VLOOKUP(I884,[1]INFO_LOCALES!$B:$E,4,FALSE),"")</f>
        <v>0</v>
      </c>
      <c r="O884" s="5" t="str">
        <f>VLOOKUP(Tabla2[[#This Row],[TIENDA]],[1]INFO_LOCALES!$B:$J,9,0)</f>
        <v>TERMINADO</v>
      </c>
      <c r="P884" s="5" t="str">
        <f>IFERROR(VLOOKUP(I884,[1]INFO_LOCALES!$B:$F,5,FALSE),"")</f>
        <v>NUEVA ATACAMA</v>
      </c>
      <c r="Q884" s="5" t="s">
        <v>85</v>
      </c>
      <c r="R884" s="5" t="s">
        <v>86</v>
      </c>
      <c r="S884" s="6"/>
      <c r="T884" s="5" t="str">
        <f>UPPER(IF(Tabla2[[#This Row],[FECHA DE MUESTREO ]]=0,"",TEXT(Tabla2[[#This Row],[FECHA DE MUESTREO ]],("MMMM"))))</f>
        <v>ABRIL</v>
      </c>
      <c r="U884" s="6">
        <v>46123</v>
      </c>
      <c r="V884" s="5" t="s">
        <v>59</v>
      </c>
      <c r="W8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84" s="7">
        <f t="shared" si="32"/>
        <v>1</v>
      </c>
      <c r="Y884" s="5">
        <v>8.6</v>
      </c>
      <c r="Z884" s="5">
        <v>7.35</v>
      </c>
      <c r="AA884" s="5">
        <v>5.3</v>
      </c>
      <c r="AB884" s="5">
        <v>20.54</v>
      </c>
      <c r="AC884" s="5">
        <v>141.19999999999999</v>
      </c>
      <c r="AD884" s="5">
        <v>5.8</v>
      </c>
      <c r="AE884" s="5">
        <v>9.6</v>
      </c>
      <c r="AF884" s="5">
        <v>0.1</v>
      </c>
      <c r="AG884" s="5">
        <v>24.8</v>
      </c>
      <c r="AH884" s="5">
        <v>2.79</v>
      </c>
      <c r="AI884" s="5">
        <f t="shared" si="31"/>
        <v>83.7</v>
      </c>
    </row>
    <row r="885" spans="1:51" x14ac:dyDescent="0.25">
      <c r="A885" s="5" t="s">
        <v>52</v>
      </c>
      <c r="B885" s="5" t="e">
        <v>#N/A</v>
      </c>
      <c r="C885" s="5" t="e">
        <v>#N/A</v>
      </c>
      <c r="D885" s="5">
        <v>2026</v>
      </c>
      <c r="F885" s="23" t="s">
        <v>316</v>
      </c>
      <c r="G885" s="5" t="s">
        <v>61</v>
      </c>
      <c r="H885" s="5" t="s">
        <v>57</v>
      </c>
      <c r="I885" s="5">
        <v>22</v>
      </c>
      <c r="J885" s="5" t="str">
        <f>IFERROR(VLOOKUP(I885,[1]INFO_LOCALES!$B:$C,2,FALSE),"")</f>
        <v>ATACAMA</v>
      </c>
      <c r="K885" s="5" t="str">
        <f>IFERROR(VLOOKUP(Tabla2[[#This Row],[TIENDA]],[1]INFO_LOCALES!$B:$D,3,FALSE),"")</f>
        <v>III - Atacama</v>
      </c>
      <c r="L885" s="5" t="str">
        <f>IFERROR(VLOOKUP(I885,[1]INFO_LOCALES!$B:$I,8,FALSE),"")</f>
        <v>Copiapó</v>
      </c>
      <c r="M885" s="5" t="str">
        <f>IFERROR(VLOOKUP(I885,[1]INFO_LOCALES!$B:$H,7,FALSE),"")</f>
        <v>Los Carreras 2242</v>
      </c>
      <c r="N885" s="5">
        <f>IFERROR(VLOOKUP(I885,[1]INFO_LOCALES!$B:$E,4,FALSE),"")</f>
        <v>2666</v>
      </c>
      <c r="O885" s="5" t="str">
        <f>VLOOKUP(Tabla2[[#This Row],[TIENDA]],[1]INFO_LOCALES!$B:$J,9,0)</f>
        <v>CONVENIO</v>
      </c>
      <c r="P885" s="5" t="str">
        <f>IFERROR(VLOOKUP(I885,[1]INFO_LOCALES!$B:$F,5,FALSE),"")</f>
        <v>NUEVA ATACAMA</v>
      </c>
      <c r="Q885" s="5" t="s">
        <v>85</v>
      </c>
      <c r="R885" s="5" t="s">
        <v>86</v>
      </c>
      <c r="S885" s="6"/>
      <c r="T885" s="5" t="str">
        <f>UPPER(IF(Tabla2[[#This Row],[FECHA DE MUESTREO ]]=0,"",TEXT(Tabla2[[#This Row],[FECHA DE MUESTREO ]],("MMMM"))))</f>
        <v>ABRIL</v>
      </c>
      <c r="U885" s="6">
        <v>46126</v>
      </c>
      <c r="V885" s="5" t="s">
        <v>59</v>
      </c>
      <c r="W8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85" s="7">
        <f t="shared" si="32"/>
        <v>2</v>
      </c>
      <c r="Y885" s="5">
        <v>14.6</v>
      </c>
      <c r="Z885" s="5">
        <v>7.51</v>
      </c>
      <c r="AA885" s="5">
        <v>6.3</v>
      </c>
      <c r="AB885" s="5">
        <v>19.559999999999999</v>
      </c>
      <c r="AC885" s="5">
        <v>387</v>
      </c>
      <c r="AD885" s="5">
        <v>10.199999999999999</v>
      </c>
      <c r="AE885" s="5">
        <v>26.3</v>
      </c>
      <c r="AF885" s="5">
        <v>0.3</v>
      </c>
      <c r="AG885" s="5">
        <v>42</v>
      </c>
      <c r="AH885" s="5">
        <v>3.06</v>
      </c>
      <c r="AI885" s="5">
        <f t="shared" si="31"/>
        <v>91.8</v>
      </c>
    </row>
    <row r="886" spans="1:51" x14ac:dyDescent="0.25">
      <c r="A886" s="5" t="s">
        <v>52</v>
      </c>
      <c r="B886" s="5" t="e">
        <v>#N/A</v>
      </c>
      <c r="C886" s="5" t="e">
        <v>#N/A</v>
      </c>
      <c r="D886" s="5">
        <v>2026</v>
      </c>
      <c r="F886" s="23" t="s">
        <v>316</v>
      </c>
      <c r="G886" s="5" t="s">
        <v>65</v>
      </c>
      <c r="H886" s="5" t="s">
        <v>57</v>
      </c>
      <c r="I886" s="5">
        <v>23</v>
      </c>
      <c r="J886" s="5" t="str">
        <f>IFERROR(VLOOKUP(I886,[1]INFO_LOCALES!$B:$C,2,FALSE),"")</f>
        <v>LOS CARRERAS</v>
      </c>
      <c r="K886" s="5" t="str">
        <f>IFERROR(VLOOKUP(Tabla2[[#This Row],[TIENDA]],[1]INFO_LOCALES!$B:$D,3,FALSE),"")</f>
        <v>III - Atacama</v>
      </c>
      <c r="L886" s="5" t="str">
        <f>IFERROR(VLOOKUP(I886,[1]INFO_LOCALES!$B:$I,8,FALSE),"")</f>
        <v>Copiapó</v>
      </c>
      <c r="M886" s="5" t="str">
        <f>IFERROR(VLOOKUP(I886,[1]INFO_LOCALES!$B:$H,7,FALSE),"")</f>
        <v>Los Carrera 479</v>
      </c>
      <c r="N886" s="5">
        <f>IFERROR(VLOOKUP(I886,[1]INFO_LOCALES!$B:$E,4,FALSE),"")</f>
        <v>0</v>
      </c>
      <c r="O886" s="5" t="str">
        <f>VLOOKUP(Tabla2[[#This Row],[TIENDA]],[1]INFO_LOCALES!$B:$J,9,0)</f>
        <v>SIN CONVENIO</v>
      </c>
      <c r="P886" s="5" t="str">
        <f>IFERROR(VLOOKUP(I886,[1]INFO_LOCALES!$B:$F,5,FALSE),"")</f>
        <v>NUEVA ATACAMA</v>
      </c>
      <c r="Q886" s="5" t="s">
        <v>85</v>
      </c>
      <c r="R886" s="5" t="s">
        <v>86</v>
      </c>
      <c r="S886" s="6"/>
      <c r="T886" s="5" t="str">
        <f>UPPER(IF(Tabla2[[#This Row],[FECHA DE MUESTREO ]]=0,"",TEXT(Tabla2[[#This Row],[FECHA DE MUESTREO ]],("MMMM"))))</f>
        <v>ABRIL</v>
      </c>
      <c r="U886" s="6">
        <v>46140</v>
      </c>
      <c r="V886" s="5" t="s">
        <v>59</v>
      </c>
      <c r="W8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886" s="7">
        <f t="shared" si="32"/>
        <v>3</v>
      </c>
      <c r="Y886" s="5">
        <v>17.8</v>
      </c>
      <c r="Z886" s="5">
        <v>6.71</v>
      </c>
      <c r="AA886" s="5">
        <v>7.7</v>
      </c>
      <c r="AB886" s="5">
        <v>19.41</v>
      </c>
      <c r="AC886" s="5">
        <v>931.1</v>
      </c>
      <c r="AD886" s="5">
        <v>15.2</v>
      </c>
      <c r="AE886" s="5">
        <v>41.3</v>
      </c>
      <c r="AF886" s="5">
        <v>5</v>
      </c>
      <c r="AG886" s="5">
        <v>364</v>
      </c>
      <c r="AH886" s="5">
        <v>2.93</v>
      </c>
      <c r="AI886" s="5">
        <f t="shared" si="31"/>
        <v>87.9</v>
      </c>
    </row>
    <row r="887" spans="1:51" x14ac:dyDescent="0.25">
      <c r="A887" s="5" t="s">
        <v>52</v>
      </c>
      <c r="B887" s="5" t="e">
        <v>#N/A</v>
      </c>
      <c r="C887" s="5" t="e">
        <v>#N/A</v>
      </c>
      <c r="D887" s="5">
        <v>2026</v>
      </c>
      <c r="F887" s="23" t="s">
        <v>316</v>
      </c>
      <c r="G887" s="5" t="s">
        <v>65</v>
      </c>
      <c r="H887" s="5" t="s">
        <v>57</v>
      </c>
      <c r="I887" s="5">
        <v>24</v>
      </c>
      <c r="J887" s="5" t="str">
        <f>IFERROR(VLOOKUP(I887,[1]INFO_LOCALES!$B:$C,2,FALSE),"")</f>
        <v>CHACABUCO</v>
      </c>
      <c r="K887" s="5" t="str">
        <f>IFERROR(VLOOKUP(Tabla2[[#This Row],[TIENDA]],[1]INFO_LOCALES!$B:$D,3,FALSE),"")</f>
        <v>III - Atacama</v>
      </c>
      <c r="L887" s="5" t="str">
        <f>IFERROR(VLOOKUP(I887,[1]INFO_LOCALES!$B:$I,8,FALSE),"")</f>
        <v>Copiapó</v>
      </c>
      <c r="M887" s="5" t="str">
        <f>IFERROR(VLOOKUP(I887,[1]INFO_LOCALES!$B:$H,7,FALSE),"")</f>
        <v>Los Carreras  586</v>
      </c>
      <c r="N887" s="5">
        <f>IFERROR(VLOOKUP(I887,[1]INFO_LOCALES!$B:$E,4,FALSE),"")</f>
        <v>0</v>
      </c>
      <c r="O887" s="5" t="str">
        <f>VLOOKUP(Tabla2[[#This Row],[TIENDA]],[1]INFO_LOCALES!$B:$J,9,0)</f>
        <v>SIN CONVENIO</v>
      </c>
      <c r="P887" s="5" t="str">
        <f>IFERROR(VLOOKUP(I887,[1]INFO_LOCALES!$B:$F,5,FALSE),"")</f>
        <v>NUEVA ATACAMA</v>
      </c>
      <c r="Q887" s="5" t="s">
        <v>85</v>
      </c>
      <c r="R887" s="5" t="s">
        <v>86</v>
      </c>
      <c r="S887" s="6"/>
      <c r="T887" s="5" t="str">
        <f>UPPER(IF(Tabla2[[#This Row],[FECHA DE MUESTREO ]]=0,"",TEXT(Tabla2[[#This Row],[FECHA DE MUESTREO ]],("MMMM"))))</f>
        <v>ABRIL</v>
      </c>
      <c r="U887" s="6">
        <v>46139</v>
      </c>
      <c r="V887" s="5" t="s">
        <v>59</v>
      </c>
      <c r="W8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87" s="7">
        <f t="shared" si="32"/>
        <v>1</v>
      </c>
      <c r="Y887" s="5">
        <v>2.6</v>
      </c>
      <c r="Z887" s="5">
        <v>6.8</v>
      </c>
      <c r="AA887" s="5">
        <v>2</v>
      </c>
      <c r="AB887" s="5">
        <v>20.14</v>
      </c>
      <c r="AC887" s="5">
        <v>13.3</v>
      </c>
      <c r="AD887" s="5">
        <v>2.1</v>
      </c>
      <c r="AE887" s="5">
        <v>12.2</v>
      </c>
      <c r="AF887" s="5">
        <v>0.4</v>
      </c>
      <c r="AG887" s="5">
        <v>8.4</v>
      </c>
      <c r="AH887" s="5">
        <v>2.97</v>
      </c>
      <c r="AI887" s="5">
        <f t="shared" si="31"/>
        <v>89.100000000000009</v>
      </c>
    </row>
    <row r="888" spans="1:51" x14ac:dyDescent="0.25">
      <c r="A888" s="5" t="s">
        <v>52</v>
      </c>
      <c r="B888" s="5" t="e">
        <v>#N/A</v>
      </c>
      <c r="C888" s="5" t="e">
        <v>#N/A</v>
      </c>
      <c r="D888" s="5">
        <v>2026</v>
      </c>
      <c r="F888" s="23" t="s">
        <v>316</v>
      </c>
      <c r="G888" s="5" t="s">
        <v>61</v>
      </c>
      <c r="H888" s="5" t="s">
        <v>57</v>
      </c>
      <c r="I888" s="5">
        <v>25</v>
      </c>
      <c r="J888" s="5" t="str">
        <f>IFERROR(VLOOKUP(I888,[1]INFO_LOCALES!$B:$C,2,FALSE),"")</f>
        <v>EL PALOMAR</v>
      </c>
      <c r="K888" s="5" t="str">
        <f>IFERROR(VLOOKUP(Tabla2[[#This Row],[TIENDA]],[1]INFO_LOCALES!$B:$D,3,FALSE),"")</f>
        <v>III - Atacama</v>
      </c>
      <c r="L888" s="5" t="str">
        <f>IFERROR(VLOOKUP(I888,[1]INFO_LOCALES!$B:$I,8,FALSE),"")</f>
        <v>Copiapó</v>
      </c>
      <c r="M888" s="5" t="str">
        <f>IFERROR(VLOOKUP(I888,[1]INFO_LOCALES!$B:$H,7,FALSE),"")</f>
        <v>Av. Palomar 1525</v>
      </c>
      <c r="N888" s="5">
        <f>IFERROR(VLOOKUP(I888,[1]INFO_LOCALES!$B:$E,4,FALSE),"")</f>
        <v>3868</v>
      </c>
      <c r="O888" s="5" t="str">
        <f>VLOOKUP(Tabla2[[#This Row],[TIENDA]],[1]INFO_LOCALES!$B:$J,9,0)</f>
        <v>TERMINADO</v>
      </c>
      <c r="P888" s="5" t="str">
        <f>IFERROR(VLOOKUP(I888,[1]INFO_LOCALES!$B:$F,5,FALSE),"")</f>
        <v>NUEVA ATACAMA</v>
      </c>
      <c r="Q888" s="5" t="s">
        <v>85</v>
      </c>
      <c r="R888" s="5" t="s">
        <v>86</v>
      </c>
      <c r="S888" s="6"/>
      <c r="T888" s="5" t="str">
        <f>UPPER(IF(Tabla2[[#This Row],[FECHA DE MUESTREO ]]=0,"",TEXT(Tabla2[[#This Row],[FECHA DE MUESTREO ]],("MMMM"))))</f>
        <v>ABRIL</v>
      </c>
      <c r="U888" s="6">
        <v>46140</v>
      </c>
      <c r="V888" s="5" t="s">
        <v>59</v>
      </c>
      <c r="W8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88" s="7">
        <f t="shared" si="32"/>
        <v>1</v>
      </c>
      <c r="Y888" s="5">
        <v>21.2</v>
      </c>
      <c r="Z888" s="5">
        <v>6.75</v>
      </c>
      <c r="AA888" s="5">
        <v>4.3</v>
      </c>
      <c r="AB888" s="5">
        <v>20.190000000000001</v>
      </c>
      <c r="AC888" s="5">
        <v>58.7</v>
      </c>
      <c r="AD888" s="5">
        <v>3.3</v>
      </c>
      <c r="AE888" s="5">
        <v>6.7</v>
      </c>
      <c r="AF888" s="5">
        <v>0.5</v>
      </c>
      <c r="AG888" s="5">
        <v>19.2</v>
      </c>
      <c r="AH888" s="5">
        <v>2.93</v>
      </c>
      <c r="AI888" s="5">
        <f t="shared" si="31"/>
        <v>87.9</v>
      </c>
    </row>
    <row r="889" spans="1:51" x14ac:dyDescent="0.25">
      <c r="A889" s="5" t="s">
        <v>52</v>
      </c>
      <c r="B889" s="5" t="e">
        <v>#N/A</v>
      </c>
      <c r="C889" s="5" t="e">
        <v>#N/A</v>
      </c>
      <c r="D889" s="5">
        <v>2026</v>
      </c>
      <c r="F889" s="23" t="s">
        <v>316</v>
      </c>
      <c r="G889" s="5" t="s">
        <v>65</v>
      </c>
      <c r="H889" s="5" t="s">
        <v>57</v>
      </c>
      <c r="I889" s="5">
        <v>32</v>
      </c>
      <c r="J889" s="5" t="str">
        <f>IFERROR(VLOOKUP(I889,[1]INFO_LOCALES!$B:$C,2,FALSE),"")</f>
        <v>CHAÑARCILLO</v>
      </c>
      <c r="K889" s="5" t="str">
        <f>IFERROR(VLOOKUP(Tabla2[[#This Row],[TIENDA]],[1]INFO_LOCALES!$B:$D,3,FALSE),"")</f>
        <v>III - Atacama</v>
      </c>
      <c r="L889" s="5" t="str">
        <f>IFERROR(VLOOKUP(I889,[1]INFO_LOCALES!$B:$I,8,FALSE),"")</f>
        <v>Copiapó</v>
      </c>
      <c r="M889" s="5" t="str">
        <f>IFERROR(VLOOKUP(I889,[1]INFO_LOCALES!$B:$H,7,FALSE),"")</f>
        <v>Chacabuco Nº 231</v>
      </c>
      <c r="N889" s="5">
        <f>IFERROR(VLOOKUP(I889,[1]INFO_LOCALES!$B:$E,4,FALSE),"")</f>
        <v>0</v>
      </c>
      <c r="O889" s="5" t="str">
        <f>VLOOKUP(Tabla2[[#This Row],[TIENDA]],[1]INFO_LOCALES!$B:$J,9,0)</f>
        <v>CONVENIO</v>
      </c>
      <c r="P889" s="5" t="str">
        <f>IFERROR(VLOOKUP(I889,[1]INFO_LOCALES!$B:$F,5,FALSE),"")</f>
        <v>NUEVA ATACAMA</v>
      </c>
      <c r="Q889" s="5" t="s">
        <v>85</v>
      </c>
      <c r="R889" s="5" t="s">
        <v>86</v>
      </c>
      <c r="S889" s="6"/>
      <c r="T889" s="5" t="str">
        <f>UPPER(IF(Tabla2[[#This Row],[FECHA DE MUESTREO ]]=0,"",TEXT(Tabla2[[#This Row],[FECHA DE MUESTREO ]],("MMMM"))))</f>
        <v>ABRIL</v>
      </c>
      <c r="U889" s="6">
        <v>46140</v>
      </c>
      <c r="V889" s="5" t="s">
        <v>59</v>
      </c>
      <c r="W8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89" s="7">
        <f t="shared" si="32"/>
        <v>1</v>
      </c>
      <c r="Y889" s="5">
        <v>24.7</v>
      </c>
      <c r="Z889" s="5">
        <v>6.83</v>
      </c>
      <c r="AA889" s="5">
        <v>5.3</v>
      </c>
      <c r="AB889" s="5">
        <v>19.48</v>
      </c>
      <c r="AC889" s="5">
        <v>114.9</v>
      </c>
      <c r="AD889" s="5">
        <v>5.5</v>
      </c>
      <c r="AE889" s="5">
        <v>16.600000000000001</v>
      </c>
      <c r="AF889" s="5">
        <v>0.8</v>
      </c>
      <c r="AG889" s="5">
        <v>53</v>
      </c>
      <c r="AH889" s="5">
        <v>3.02</v>
      </c>
      <c r="AI889" s="5">
        <f t="shared" si="31"/>
        <v>90.6</v>
      </c>
    </row>
    <row r="890" spans="1:51" x14ac:dyDescent="0.25">
      <c r="A890" s="5" t="s">
        <v>52</v>
      </c>
      <c r="B890" s="5" t="e">
        <v>#N/A</v>
      </c>
      <c r="C890" s="5" t="e">
        <v>#N/A</v>
      </c>
      <c r="D890" s="5">
        <v>2026</v>
      </c>
      <c r="E890" s="5" t="s">
        <v>300</v>
      </c>
      <c r="F890" s="23" t="s">
        <v>316</v>
      </c>
      <c r="G890" s="5" t="s">
        <v>241</v>
      </c>
      <c r="H890" s="5" t="s">
        <v>57</v>
      </c>
      <c r="I890" s="5">
        <v>46</v>
      </c>
      <c r="J890" s="5" t="str">
        <f>IFERROR(VLOOKUP(I890,[1]INFO_LOCALES!$B:$C,2,FALSE),"")</f>
        <v>CALAMA I</v>
      </c>
      <c r="K890" s="5" t="str">
        <f>IFERROR(VLOOKUP(Tabla2[[#This Row],[TIENDA]],[1]INFO_LOCALES!$B:$D,3,FALSE),"")</f>
        <v>II - Antofagasta</v>
      </c>
      <c r="L890" s="5" t="str">
        <f>IFERROR(VLOOKUP(I890,[1]INFO_LOCALES!$B:$I,8,FALSE),"")</f>
        <v>Calama</v>
      </c>
      <c r="M890" s="5" t="str">
        <f>IFERROR(VLOOKUP(I890,[1]INFO_LOCALES!$B:$H,7,FALSE),"")</f>
        <v>Granaderos 3180</v>
      </c>
      <c r="N890" s="5">
        <f>IFERROR(VLOOKUP(I890,[1]INFO_LOCALES!$B:$E,4,FALSE),"")</f>
        <v>3035</v>
      </c>
      <c r="O890" s="5" t="str">
        <f>VLOOKUP(Tabla2[[#This Row],[TIENDA]],[1]INFO_LOCALES!$B:$J,9,0)</f>
        <v>SIN CONVENIO</v>
      </c>
      <c r="P890" s="5" t="str">
        <f>IFERROR(VLOOKUP(I890,[1]INFO_LOCALES!$B:$F,5,FALSE),"")</f>
        <v>AGUAS DE ANTOFAGASTA S A</v>
      </c>
      <c r="Q890" s="5" t="s">
        <v>85</v>
      </c>
      <c r="R890" s="5" t="s">
        <v>86</v>
      </c>
      <c r="S890" s="6"/>
      <c r="T890" s="5" t="str">
        <f>UPPER(IF(Tabla2[[#This Row],[FECHA DE MUESTREO ]]=0,"",TEXT(Tabla2[[#This Row],[FECHA DE MUESTREO ]],("MMMM"))))</f>
        <v>ABRIL</v>
      </c>
      <c r="U890" s="6">
        <v>46126</v>
      </c>
      <c r="V890" s="5" t="s">
        <v>59</v>
      </c>
      <c r="W8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90" s="7">
        <f t="shared" si="32"/>
        <v>1</v>
      </c>
      <c r="Y890" s="5">
        <v>22.9</v>
      </c>
      <c r="Z890" s="5">
        <v>7.93</v>
      </c>
      <c r="AA890" s="5">
        <v>2</v>
      </c>
      <c r="AB890" s="5">
        <v>22</v>
      </c>
      <c r="AC890" s="5">
        <v>276.39999999999998</v>
      </c>
      <c r="AD890" s="5">
        <v>2.8</v>
      </c>
      <c r="AE890" s="5">
        <v>9.8000000000000007</v>
      </c>
      <c r="AF890" s="5">
        <v>4</v>
      </c>
      <c r="AG890" s="5">
        <v>168</v>
      </c>
      <c r="AH890" s="5">
        <f ca="1">Tabla2[[#This Row],[VOLUMEN DE DESCARGA MENSUAL (M3/M)]]*30</f>
        <v>0</v>
      </c>
      <c r="AI890" s="5">
        <f t="shared" ca="1" si="31"/>
        <v>0</v>
      </c>
    </row>
    <row r="891" spans="1:51" x14ac:dyDescent="0.25">
      <c r="A891" s="5" t="s">
        <v>52</v>
      </c>
      <c r="B891" s="5" t="e">
        <v>#N/A</v>
      </c>
      <c r="C891" s="5" t="e">
        <v>#N/A</v>
      </c>
      <c r="D891" s="5">
        <v>2026</v>
      </c>
      <c r="F891" s="23" t="s">
        <v>316</v>
      </c>
      <c r="G891" s="5" t="s">
        <v>65</v>
      </c>
      <c r="H891" s="5" t="s">
        <v>57</v>
      </c>
      <c r="I891" s="5">
        <v>472</v>
      </c>
      <c r="J891" s="5" t="str">
        <f>IFERROR(VLOOKUP(I891,[1]INFO_LOCALES!$B:$C,2,FALSE),"")</f>
        <v>CALDERA I</v>
      </c>
      <c r="K891" s="5" t="str">
        <f>IFERROR(VLOOKUP(Tabla2[[#This Row],[TIENDA]],[1]INFO_LOCALES!$B:$D,3,FALSE),"")</f>
        <v>III - Atacama</v>
      </c>
      <c r="L891" s="5" t="str">
        <f>IFERROR(VLOOKUP(I891,[1]INFO_LOCALES!$B:$I,8,FALSE),"")</f>
        <v>Caldera</v>
      </c>
      <c r="M891" s="5" t="str">
        <f>IFERROR(VLOOKUP(I891,[1]INFO_LOCALES!$B:$H,7,FALSE),"")</f>
        <v>Batallon Atacama 319</v>
      </c>
      <c r="N891" s="5">
        <f>IFERROR(VLOOKUP(I891,[1]INFO_LOCALES!$B:$E,4,FALSE),"")</f>
        <v>0</v>
      </c>
      <c r="O891" s="5" t="str">
        <f>VLOOKUP(Tabla2[[#This Row],[TIENDA]],[1]INFO_LOCALES!$B:$J,9,0)</f>
        <v>CONVENIO</v>
      </c>
      <c r="P891" s="5" t="str">
        <f>IFERROR(VLOOKUP(I891,[1]INFO_LOCALES!$B:$F,5,FALSE),"")</f>
        <v>NUEVA ATACAMA</v>
      </c>
      <c r="Q891" s="5" t="s">
        <v>85</v>
      </c>
      <c r="R891" s="5" t="s">
        <v>86</v>
      </c>
      <c r="S891" s="6"/>
      <c r="T891" s="5" t="str">
        <f>UPPER(IF(Tabla2[[#This Row],[FECHA DE MUESTREO ]]=0,"",TEXT(Tabla2[[#This Row],[FECHA DE MUESTREO ]],("MMMM"))))</f>
        <v>ABRIL</v>
      </c>
      <c r="U891" s="6">
        <v>46137</v>
      </c>
      <c r="V891" s="5" t="s">
        <v>59</v>
      </c>
      <c r="W8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91" s="7">
        <f t="shared" si="32"/>
        <v>1</v>
      </c>
      <c r="Y891" s="5">
        <v>9.8000000000000007</v>
      </c>
      <c r="Z891" s="5">
        <v>6.83</v>
      </c>
      <c r="AA891" s="5">
        <v>2.2999999999999998</v>
      </c>
      <c r="AB891" s="5">
        <v>20.79</v>
      </c>
      <c r="AC891" s="5">
        <v>71.400000000000006</v>
      </c>
      <c r="AD891" s="5">
        <v>3.6</v>
      </c>
      <c r="AE891" s="5">
        <v>15.2</v>
      </c>
      <c r="AF891" s="5">
        <v>1</v>
      </c>
      <c r="AG891" s="5">
        <v>17.3</v>
      </c>
      <c r="AH891" s="5">
        <v>2.88</v>
      </c>
      <c r="AI891" s="5">
        <f t="shared" si="31"/>
        <v>86.399999999999991</v>
      </c>
    </row>
    <row r="892" spans="1:51" x14ac:dyDescent="0.25">
      <c r="A892" s="5" t="s">
        <v>52</v>
      </c>
      <c r="B892" s="5" t="e">
        <v>#N/A</v>
      </c>
      <c r="C892" s="5" t="e">
        <v>#N/A</v>
      </c>
      <c r="D892" s="5">
        <v>2026</v>
      </c>
      <c r="F892" s="23" t="s">
        <v>316</v>
      </c>
      <c r="G892" s="5" t="s">
        <v>61</v>
      </c>
      <c r="H892" s="5" t="s">
        <v>57</v>
      </c>
      <c r="I892" s="5">
        <v>477</v>
      </c>
      <c r="J892" s="5" t="str">
        <f>IFERROR(VLOOKUP(I892,[1]INFO_LOCALES!$B:$C,2,FALSE),"")</f>
        <v>CURAUMA</v>
      </c>
      <c r="K892" s="5" t="str">
        <f>IFERROR(VLOOKUP(Tabla2[[#This Row],[TIENDA]],[1]INFO_LOCALES!$B:$D,3,FALSE),"")</f>
        <v>V - Valparaiso</v>
      </c>
      <c r="L892" s="5" t="str">
        <f>IFERROR(VLOOKUP(I892,[1]INFO_LOCALES!$B:$I,8,FALSE),"")</f>
        <v>Valparaíso</v>
      </c>
      <c r="M892" s="5" t="str">
        <f>IFERROR(VLOOKUP(I892,[1]INFO_LOCALES!$B:$H,7,FALSE),"")</f>
        <v>Obispo Valdes 1170</v>
      </c>
      <c r="N892" s="5">
        <f>IFERROR(VLOOKUP(I892,[1]INFO_LOCALES!$B:$E,4,FALSE),"")</f>
        <v>2721</v>
      </c>
      <c r="O892" s="5" t="str">
        <f>VLOOKUP(Tabla2[[#This Row],[TIENDA]],[1]INFO_LOCALES!$B:$J,9,0)</f>
        <v>SIN CONVENIO</v>
      </c>
      <c r="P892" s="5" t="str">
        <f>IFERROR(VLOOKUP(I892,[1]INFO_LOCALES!$B:$F,5,FALSE),"")</f>
        <v>ESVAL S.A.</v>
      </c>
      <c r="Q892" s="5" t="s">
        <v>85</v>
      </c>
      <c r="R892" s="5" t="s">
        <v>86</v>
      </c>
      <c r="S892" s="6"/>
      <c r="T892" s="5" t="str">
        <f>UPPER(IF(Tabla2[[#This Row],[FECHA DE MUESTREO ]]=0,"",TEXT(Tabla2[[#This Row],[FECHA DE MUESTREO ]],("MMMM"))))</f>
        <v>ABRIL</v>
      </c>
      <c r="U892" s="6">
        <v>46119</v>
      </c>
      <c r="V892" s="5" t="s">
        <v>59</v>
      </c>
      <c r="W8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92" s="7">
        <f t="shared" si="32"/>
        <v>2</v>
      </c>
      <c r="Y892" s="5">
        <v>21.2</v>
      </c>
      <c r="Z892" s="5">
        <v>6.99</v>
      </c>
      <c r="AA892" s="5">
        <v>2</v>
      </c>
      <c r="AB892" s="5">
        <v>20.350000000000001</v>
      </c>
      <c r="AC892" s="5">
        <v>317.60000000000002</v>
      </c>
      <c r="AD892" s="5">
        <v>10.1</v>
      </c>
      <c r="AE892" s="5">
        <v>14.2</v>
      </c>
      <c r="AF892" s="5">
        <v>13</v>
      </c>
      <c r="AG892" s="5">
        <v>198</v>
      </c>
      <c r="AH892" s="5">
        <v>2.16</v>
      </c>
      <c r="AI892" s="5">
        <f t="shared" si="31"/>
        <v>64.800000000000011</v>
      </c>
    </row>
    <row r="893" spans="1:51" x14ac:dyDescent="0.25">
      <c r="A893" s="5" t="s">
        <v>52</v>
      </c>
      <c r="B893" s="5" t="e">
        <v>#N/A</v>
      </c>
      <c r="C893" s="5" t="e">
        <v>#N/A</v>
      </c>
      <c r="D893" s="5">
        <v>2026</v>
      </c>
      <c r="E893" s="5" t="s">
        <v>317</v>
      </c>
      <c r="F893" s="23" t="s">
        <v>316</v>
      </c>
      <c r="G893" s="5" t="s">
        <v>56</v>
      </c>
      <c r="H893" s="5" t="s">
        <v>249</v>
      </c>
      <c r="I893" s="5">
        <v>555</v>
      </c>
      <c r="J893" s="5" t="str">
        <f>IFERROR(VLOOKUP(I893,[1]INFO_LOCALES!$B:$C,2,FALSE),"")</f>
        <v>GRANEROS</v>
      </c>
      <c r="K893" s="5" t="str">
        <f>IFERROR(VLOOKUP(Tabla2[[#This Row],[TIENDA]],[1]INFO_LOCALES!$B:$D,3,FALSE),"")</f>
        <v>VI - O'Higgins</v>
      </c>
      <c r="L893" s="5" t="str">
        <f>IFERROR(VLOOKUP(I893,[1]INFO_LOCALES!$B:$I,8,FALSE),"")</f>
        <v>Graneros</v>
      </c>
      <c r="M893" s="5" t="str">
        <f>IFERROR(VLOOKUP(I893,[1]INFO_LOCALES!$B:$H,7,FALSE),"")</f>
        <v>Obispo Rafael Lira 042</v>
      </c>
      <c r="N893" s="5">
        <f>IFERROR(VLOOKUP(I893,[1]INFO_LOCALES!$B:$E,4,FALSE),"")</f>
        <v>4574</v>
      </c>
      <c r="O893" s="5" t="str">
        <f>VLOOKUP(Tabla2[[#This Row],[TIENDA]],[1]INFO_LOCALES!$B:$J,9,0)</f>
        <v>SIN CONVENIO</v>
      </c>
      <c r="P893" s="5" t="str">
        <f>IFERROR(VLOOKUP(I893,[1]INFO_LOCALES!$B:$F,5,FALSE),"")</f>
        <v>ESSBIO S.A.</v>
      </c>
      <c r="Q893" s="5" t="s">
        <v>85</v>
      </c>
      <c r="R893" s="5" t="s">
        <v>86</v>
      </c>
      <c r="S893" s="6"/>
      <c r="T893" s="5" t="str">
        <f>UPPER(IF(Tabla2[[#This Row],[FECHA DE MUESTREO ]]=0,"",TEXT(Tabla2[[#This Row],[FECHA DE MUESTREO ]],("MMMM"))))</f>
        <v>ABRIL</v>
      </c>
      <c r="U893" s="6">
        <v>46120</v>
      </c>
      <c r="V893" s="5" t="s">
        <v>118</v>
      </c>
      <c r="W8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93" s="7">
        <f t="shared" si="32"/>
        <v>2</v>
      </c>
      <c r="Y893" s="5">
        <v>22.6</v>
      </c>
      <c r="Z893" s="5">
        <v>7.06</v>
      </c>
      <c r="AA893" s="5">
        <v>4.3</v>
      </c>
      <c r="AB893" s="5">
        <v>19.53</v>
      </c>
      <c r="AC893" s="5">
        <v>309.10000000000002</v>
      </c>
      <c r="AD893" s="5">
        <v>8.8000000000000007</v>
      </c>
      <c r="AE893" s="5">
        <v>16.8</v>
      </c>
      <c r="AF893" s="5">
        <v>27</v>
      </c>
      <c r="AG893" s="5">
        <v>464</v>
      </c>
      <c r="AH893" s="5">
        <v>2.57</v>
      </c>
      <c r="AI893" s="5">
        <f t="shared" si="31"/>
        <v>77.099999999999994</v>
      </c>
      <c r="AJ893" s="5">
        <v>4.07</v>
      </c>
      <c r="AK893" s="5">
        <v>5.1000000000000004E-3</v>
      </c>
      <c r="AL893" s="5">
        <v>0.24</v>
      </c>
      <c r="AM893" s="5">
        <v>4.0000000000000001E-3</v>
      </c>
      <c r="AN893" s="5">
        <v>2E-3</v>
      </c>
      <c r="AO893" s="5">
        <v>1.4530000000000001</v>
      </c>
      <c r="AP893" s="5">
        <v>0.753</v>
      </c>
      <c r="AQ893" s="5">
        <v>0.05</v>
      </c>
      <c r="AR893" s="5">
        <v>0.03</v>
      </c>
      <c r="AS893" s="5">
        <v>2.0099999999999998</v>
      </c>
      <c r="AT893" s="5">
        <v>0.16400000000000001</v>
      </c>
      <c r="AU893" s="5">
        <v>1E-3</v>
      </c>
      <c r="AV893" s="5">
        <v>1.4999999999999999E-2</v>
      </c>
      <c r="AW893" s="5">
        <v>0.04</v>
      </c>
      <c r="AX893" s="5">
        <v>246.8</v>
      </c>
      <c r="AY893" s="5">
        <v>0.03</v>
      </c>
    </row>
    <row r="894" spans="1:51" x14ac:dyDescent="0.25">
      <c r="A894" s="5" t="s">
        <v>152</v>
      </c>
      <c r="B894" s="5" t="e">
        <v>#N/A</v>
      </c>
      <c r="C894" s="5" t="e">
        <v>#N/A</v>
      </c>
      <c r="D894" s="5">
        <v>2026</v>
      </c>
      <c r="E894" s="5" t="s">
        <v>317</v>
      </c>
      <c r="F894" s="23" t="s">
        <v>316</v>
      </c>
      <c r="G894" s="5" t="s">
        <v>56</v>
      </c>
      <c r="H894" s="5" t="s">
        <v>249</v>
      </c>
      <c r="I894" s="5">
        <v>3014</v>
      </c>
      <c r="J894" s="5" t="str">
        <f>IFERROR(VLOOKUP(I894,[1]INFO_LOCALES!$B:$C,2,FALSE),"")</f>
        <v>M10 SAN FERNANDO</v>
      </c>
      <c r="K894" s="5" t="str">
        <f>IFERROR(VLOOKUP(Tabla2[[#This Row],[TIENDA]],[1]INFO_LOCALES!$B:$D,3,FALSE),"")</f>
        <v>VI - O'Higgins</v>
      </c>
      <c r="L894" s="5" t="str">
        <f>IFERROR(VLOOKUP(I894,[1]INFO_LOCALES!$B:$I,8,FALSE),"")</f>
        <v>San Fernando</v>
      </c>
      <c r="M894" s="5" t="str">
        <f>IFERROR(VLOOKUP(I894,[1]INFO_LOCALES!$B:$H,7,FALSE),"")</f>
        <v>Chillan 745</v>
      </c>
      <c r="N894" s="5">
        <f>IFERROR(VLOOKUP(I894,[1]INFO_LOCALES!$B:$E,4,FALSE),"")</f>
        <v>1298</v>
      </c>
      <c r="O894" s="5" t="str">
        <f>VLOOKUP(Tabla2[[#This Row],[TIENDA]],[1]INFO_LOCALES!$B:$J,9,0)</f>
        <v>TERMINADO</v>
      </c>
      <c r="P894" s="5" t="str">
        <f>IFERROR(VLOOKUP(I894,[1]INFO_LOCALES!$B:$F,5,FALSE),"")</f>
        <v>ESSBIO S.A.</v>
      </c>
      <c r="Q894" s="5" t="s">
        <v>85</v>
      </c>
      <c r="R894" s="5" t="s">
        <v>86</v>
      </c>
      <c r="S894" s="6"/>
      <c r="T894" s="5" t="str">
        <f>UPPER(IF(Tabla2[[#This Row],[FECHA DE MUESTREO ]]=0,"",TEXT(Tabla2[[#This Row],[FECHA DE MUESTREO ]],("MMMM"))))</f>
        <v>ABRIL</v>
      </c>
      <c r="U894" s="6">
        <v>46118</v>
      </c>
      <c r="V894" s="5" t="s">
        <v>59</v>
      </c>
      <c r="W8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94" s="7">
        <f t="shared" si="32"/>
        <v>2</v>
      </c>
      <c r="Y894" s="5">
        <v>16.2</v>
      </c>
      <c r="Z894" s="5">
        <v>6.98</v>
      </c>
      <c r="AA894" s="5">
        <v>2.2999999999999998</v>
      </c>
      <c r="AB894" s="5">
        <v>17.940000000000001</v>
      </c>
      <c r="AC894" s="5">
        <v>569</v>
      </c>
      <c r="AD894" s="5">
        <v>2.8</v>
      </c>
      <c r="AE894" s="5">
        <v>7.6</v>
      </c>
      <c r="AF894" s="5">
        <v>0.1</v>
      </c>
      <c r="AG894" s="5">
        <v>372</v>
      </c>
      <c r="AH894" s="5">
        <v>3.2</v>
      </c>
      <c r="AI894" s="5">
        <f t="shared" si="31"/>
        <v>96</v>
      </c>
    </row>
    <row r="895" spans="1:51" x14ac:dyDescent="0.25">
      <c r="A895" s="5" t="s">
        <v>210</v>
      </c>
      <c r="B895" s="5" t="e">
        <v>#N/A</v>
      </c>
      <c r="C895" s="5" t="e">
        <v>#N/A</v>
      </c>
      <c r="D895" s="5">
        <v>2026</v>
      </c>
      <c r="F895" s="23" t="s">
        <v>316</v>
      </c>
      <c r="G895" s="5" t="s">
        <v>65</v>
      </c>
      <c r="H895" s="5" t="s">
        <v>57</v>
      </c>
      <c r="I895" s="5">
        <v>9051</v>
      </c>
      <c r="J895" s="5" t="str">
        <f>IFERROR(VLOOKUP(I895,[1]INFO_LOCALES!$B:$C,2,FALSE),"")</f>
        <v>CD NUEVO COQUIMBO</v>
      </c>
      <c r="K895" s="5" t="str">
        <f>IFERROR(VLOOKUP(Tabla2[[#This Row],[TIENDA]],[1]INFO_LOCALES!$B:$D,3,FALSE),"")</f>
        <v>IV - Coquimbo</v>
      </c>
      <c r="L895" s="5" t="str">
        <f>IFERROR(VLOOKUP(I895,[1]INFO_LOCALES!$B:$I,8,FALSE),"")</f>
        <v>Coquimbo</v>
      </c>
      <c r="M895" s="5" t="str">
        <f>IFERROR(VLOOKUP(I895,[1]INFO_LOCALES!$B:$H,7,FALSE),"")</f>
        <v>PAN DE AZUCAR S/N</v>
      </c>
      <c r="N895" s="5">
        <f>IFERROR(VLOOKUP(I895,[1]INFO_LOCALES!$B:$E,4,FALSE),"")</f>
        <v>0</v>
      </c>
      <c r="O895" s="5" t="str">
        <f>VLOOKUP(Tabla2[[#This Row],[TIENDA]],[1]INFO_LOCALES!$B:$J,9,0)</f>
        <v>SIN CONVENIO</v>
      </c>
      <c r="P895" s="5" t="str">
        <f>IFERROR(VLOOKUP(I895,[1]INFO_LOCALES!$B:$F,5,FALSE),"")</f>
        <v>RENTAS COQUIMBO SPA</v>
      </c>
      <c r="Q895" s="5" t="s">
        <v>85</v>
      </c>
      <c r="R895" s="5" t="s">
        <v>86</v>
      </c>
      <c r="S895" s="6"/>
      <c r="T895" s="5" t="str">
        <f>UPPER(IF(Tabla2[[#This Row],[FECHA DE MUESTREO ]]=0,"",TEXT(Tabla2[[#This Row],[FECHA DE MUESTREO ]],("MMMM"))))</f>
        <v>ABRIL</v>
      </c>
      <c r="U895" s="6">
        <v>46127</v>
      </c>
      <c r="V895" s="5" t="s">
        <v>118</v>
      </c>
      <c r="W8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95" s="7">
        <f t="shared" si="32"/>
        <v>1</v>
      </c>
      <c r="Y895" s="5">
        <v>9.8000000000000007</v>
      </c>
      <c r="Z895" s="5">
        <v>7.9</v>
      </c>
      <c r="AA895" s="5">
        <v>2</v>
      </c>
      <c r="AB895" s="5">
        <v>22.9</v>
      </c>
      <c r="AC895" s="5">
        <v>53.2</v>
      </c>
      <c r="AE895" s="5">
        <v>6.1</v>
      </c>
      <c r="AG895" s="5">
        <v>24</v>
      </c>
      <c r="AH895" s="5">
        <f ca="1">Tabla2[[#This Row],[VOLUMEN DE DESCARGA MENSUAL (M3/M)]]*30</f>
        <v>0</v>
      </c>
      <c r="AI895" s="5">
        <f t="shared" ca="1" si="31"/>
        <v>0</v>
      </c>
      <c r="AJ895" s="5">
        <v>0.17</v>
      </c>
      <c r="AK895" s="5">
        <v>3.0000000000000001E-3</v>
      </c>
      <c r="AL895" s="5">
        <v>0.23799999999999999</v>
      </c>
      <c r="AM895" s="5">
        <v>4.0000000000000001E-3</v>
      </c>
      <c r="AN895" s="5">
        <v>2E-3</v>
      </c>
      <c r="AO895" s="5">
        <v>6.4000000000000001E-2</v>
      </c>
      <c r="AP895" s="5">
        <v>8.9999999999999993E-3</v>
      </c>
      <c r="AR895" s="5">
        <v>0.03</v>
      </c>
      <c r="AS895" s="5">
        <v>2</v>
      </c>
      <c r="AT895" s="5">
        <v>2.8000000000000001E-2</v>
      </c>
      <c r="AU895" s="5">
        <v>1E-3</v>
      </c>
      <c r="AV895" s="5">
        <v>1.4999999999999999E-2</v>
      </c>
      <c r="AW895" s="5">
        <v>0.04</v>
      </c>
      <c r="AX895" s="5">
        <v>199.6</v>
      </c>
      <c r="AY895" s="5">
        <v>0.03</v>
      </c>
    </row>
    <row r="896" spans="1:51" x14ac:dyDescent="0.25">
      <c r="A896" s="5" t="s">
        <v>210</v>
      </c>
      <c r="B896" s="5" t="e">
        <v>#N/A</v>
      </c>
      <c r="C896" s="5" t="e">
        <v>#N/A</v>
      </c>
      <c r="D896" s="5">
        <v>2026</v>
      </c>
      <c r="E896" s="5" t="s">
        <v>318</v>
      </c>
      <c r="F896" s="23" t="s">
        <v>316</v>
      </c>
      <c r="G896" s="5" t="s">
        <v>61</v>
      </c>
      <c r="H896" s="5" t="s">
        <v>57</v>
      </c>
      <c r="I896" s="5">
        <v>9139</v>
      </c>
      <c r="J896" s="5" t="str">
        <f>IFERROR(VLOOKUP(I896,[1]INFO_LOCALES!$B:$C,2,FALSE),"")</f>
        <v>CD LO AGUIRRE</v>
      </c>
      <c r="K896" s="5" t="str">
        <f>IFERROR(VLOOKUP(Tabla2[[#This Row],[TIENDA]],[1]INFO_LOCALES!$B:$D,3,FALSE),"")</f>
        <v>RM - Santiago</v>
      </c>
      <c r="L896" s="5" t="str">
        <f>IFERROR(VLOOKUP(I896,[1]INFO_LOCALES!$B:$I,8,FALSE),"")</f>
        <v>Pudahuel</v>
      </c>
      <c r="M896" s="5" t="str">
        <f>IFERROR(VLOOKUP(I896,[1]INFO_LOCALES!$B:$H,7,FALSE),"")</f>
        <v>CAMINO LO AGUIRRE SUR 537</v>
      </c>
      <c r="N896" s="5">
        <f>IFERROR(VLOOKUP(I896,[1]INFO_LOCALES!$B:$E,4,FALSE),"")</f>
        <v>3552</v>
      </c>
      <c r="O896" s="5" t="str">
        <f>VLOOKUP(Tabla2[[#This Row],[TIENDA]],[1]INFO_LOCALES!$B:$J,9,0)</f>
        <v>SIN CONVENIO</v>
      </c>
      <c r="P896" s="5" t="str">
        <f>IFERROR(VLOOKUP(I896,[1]INFO_LOCALES!$B:$F,5,FALSE),"")</f>
        <v>AGUAS IZARRA</v>
      </c>
      <c r="Q896" s="5" t="s">
        <v>85</v>
      </c>
      <c r="R896" s="5" t="s">
        <v>86</v>
      </c>
      <c r="S896" s="6"/>
      <c r="T896" s="5" t="str">
        <f>UPPER(IF(Tabla2[[#This Row],[FECHA DE MUESTREO ]]=0,"",TEXT(Tabla2[[#This Row],[FECHA DE MUESTREO ]],("MMMM"))))</f>
        <v>ABRIL</v>
      </c>
      <c r="U896" s="6">
        <v>46120</v>
      </c>
      <c r="V896" s="5" t="s">
        <v>59</v>
      </c>
      <c r="W8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96" s="7">
        <f t="shared" si="32"/>
        <v>1</v>
      </c>
      <c r="Y896" s="5">
        <v>18.2</v>
      </c>
      <c r="Z896" s="5">
        <v>7.41</v>
      </c>
      <c r="AA896" s="5">
        <v>5.3</v>
      </c>
      <c r="AB896" s="5">
        <v>20.23</v>
      </c>
      <c r="AC896" s="5">
        <v>57</v>
      </c>
      <c r="AD896" s="5">
        <v>4.9000000000000004</v>
      </c>
      <c r="AE896" s="5">
        <v>11.8</v>
      </c>
      <c r="AF896" s="5">
        <v>1.5</v>
      </c>
      <c r="AG896" s="5">
        <v>56</v>
      </c>
      <c r="AH896" s="5">
        <v>6.65</v>
      </c>
      <c r="AI896" s="5">
        <f t="shared" si="31"/>
        <v>199.5</v>
      </c>
      <c r="AS896" s="5">
        <v>2.0099999999999998</v>
      </c>
    </row>
    <row r="897" spans="1:51" x14ac:dyDescent="0.25">
      <c r="A897" s="5" t="s">
        <v>52</v>
      </c>
      <c r="B897" s="5" t="e">
        <v>#N/A</v>
      </c>
      <c r="C897" s="5" t="e">
        <v>#N/A</v>
      </c>
      <c r="D897" s="5">
        <v>2026</v>
      </c>
      <c r="E897" s="5" t="s">
        <v>319</v>
      </c>
      <c r="F897" s="23" t="s">
        <v>316</v>
      </c>
      <c r="G897" s="5" t="s">
        <v>56</v>
      </c>
      <c r="H897" s="5" t="s">
        <v>249</v>
      </c>
      <c r="I897" s="5">
        <v>344</v>
      </c>
      <c r="J897" s="5" t="str">
        <f>IFERROR(VLOOKUP(I897,[1]INFO_LOCALES!$B:$C,2,FALSE),"")</f>
        <v>CURICO ALAMEDA</v>
      </c>
      <c r="K897" s="5" t="str">
        <f>IFERROR(VLOOKUP(Tabla2[[#This Row],[TIENDA]],[1]INFO_LOCALES!$B:$D,3,FALSE),"")</f>
        <v>VII - Maule</v>
      </c>
      <c r="L897" s="5" t="str">
        <f>IFERROR(VLOOKUP(I897,[1]INFO_LOCALES!$B:$I,8,FALSE),"")</f>
        <v>Curicó</v>
      </c>
      <c r="M897" s="5" t="str">
        <f>IFERROR(VLOOKUP(I897,[1]INFO_LOCALES!$B:$H,7,FALSE),"")</f>
        <v>Estado 43</v>
      </c>
      <c r="N897" s="5">
        <f>IFERROR(VLOOKUP(I897,[1]INFO_LOCALES!$B:$E,4,FALSE),"")</f>
        <v>4530</v>
      </c>
      <c r="O897" s="5" t="str">
        <f>VLOOKUP(Tabla2[[#This Row],[TIENDA]],[1]INFO_LOCALES!$B:$J,9,0)</f>
        <v>SIN CONVENIO</v>
      </c>
      <c r="P897" s="5" t="str">
        <f>IFERROR(VLOOKUP(I897,[1]INFO_LOCALES!$B:$F,5,FALSE),"")</f>
        <v>NUEVOSUR S.A.</v>
      </c>
      <c r="Q897" s="5" t="s">
        <v>85</v>
      </c>
      <c r="R897" s="5" t="s">
        <v>86</v>
      </c>
      <c r="S897" s="6"/>
      <c r="T897" s="5" t="str">
        <f>UPPER(IF(Tabla2[[#This Row],[FECHA DE MUESTREO ]]=0,"",TEXT(Tabla2[[#This Row],[FECHA DE MUESTREO ]],("MMMM"))))</f>
        <v>ABRIL</v>
      </c>
      <c r="U897" s="6">
        <v>46125</v>
      </c>
      <c r="V897" s="5" t="s">
        <v>59</v>
      </c>
      <c r="W8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897" s="7">
        <f t="shared" si="32"/>
        <v>2</v>
      </c>
      <c r="Y897" s="5">
        <v>19.7</v>
      </c>
      <c r="Z897" s="5">
        <v>8.25</v>
      </c>
      <c r="AA897" s="5">
        <v>5.3</v>
      </c>
      <c r="AB897" s="5">
        <v>18.88</v>
      </c>
      <c r="AC897" s="5">
        <v>511.6</v>
      </c>
      <c r="AD897" s="5">
        <v>19.600000000000001</v>
      </c>
      <c r="AE897" s="5">
        <v>31.2</v>
      </c>
      <c r="AF897" s="5">
        <v>15</v>
      </c>
      <c r="AG897" s="5">
        <v>366</v>
      </c>
      <c r="AH897" s="5">
        <v>22.41</v>
      </c>
      <c r="AI897" s="5">
        <f t="shared" si="31"/>
        <v>672.3</v>
      </c>
    </row>
    <row r="898" spans="1:51" x14ac:dyDescent="0.25">
      <c r="A898" s="5" t="s">
        <v>52</v>
      </c>
      <c r="B898" s="5" t="e">
        <v>#N/A</v>
      </c>
      <c r="C898" s="5" t="e">
        <v>#N/A</v>
      </c>
      <c r="D898" s="5">
        <v>2026</v>
      </c>
      <c r="F898" s="23" t="s">
        <v>316</v>
      </c>
      <c r="G898" s="5" t="s">
        <v>241</v>
      </c>
      <c r="I898" s="5">
        <v>458</v>
      </c>
      <c r="J898" s="5" t="str">
        <f>IFERROR(VLOOKUP(I898,[1]INFO_LOCALES!$B:$C,2,FALSE),"")</f>
        <v>ESPAÑA AUSTRAL</v>
      </c>
      <c r="K898" s="5" t="str">
        <f>IFERROR(VLOOKUP(Tabla2[[#This Row],[TIENDA]],[1]INFO_LOCALES!$B:$D,3,FALSE),"")</f>
        <v>XII - Magallanes</v>
      </c>
      <c r="L898" s="5" t="str">
        <f>IFERROR(VLOOKUP(I898,[1]INFO_LOCALES!$B:$I,8,FALSE),"")</f>
        <v>Punta Arenas</v>
      </c>
      <c r="M898" s="5" t="str">
        <f>IFERROR(VLOOKUP(I898,[1]INFO_LOCALES!$B:$H,7,FALSE),"")</f>
        <v>Av. España 01375</v>
      </c>
      <c r="N898" s="5">
        <f>IFERROR(VLOOKUP(I898,[1]INFO_LOCALES!$B:$E,4,FALSE),"")</f>
        <v>1306</v>
      </c>
      <c r="O898" s="5" t="str">
        <f>VLOOKUP(Tabla2[[#This Row],[TIENDA]],[1]INFO_LOCALES!$B:$J,9,0)</f>
        <v>SIN CONVENIO</v>
      </c>
      <c r="P898" s="5" t="str">
        <f>IFERROR(VLOOKUP(I898,[1]INFO_LOCALES!$B:$F,5,FALSE),"")</f>
        <v>AGUAS MAGALLANES S.A.</v>
      </c>
      <c r="S898" s="6"/>
      <c r="T898" s="5" t="str">
        <f>UPPER(IF(Tabla2[[#This Row],[FECHA DE MUESTREO ]]=0,"",TEXT(Tabla2[[#This Row],[FECHA DE MUESTREO ]],("MMMM"))))</f>
        <v/>
      </c>
      <c r="U898" s="6"/>
      <c r="V898" s="5" t="s">
        <v>59</v>
      </c>
      <c r="W8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98" s="7">
        <f t="shared" si="32"/>
        <v>1</v>
      </c>
      <c r="AH898" s="5">
        <f ca="1">Tabla2[[#This Row],[VOLUMEN DE DESCARGA MENSUAL (M3/M)]]*30</f>
        <v>0</v>
      </c>
      <c r="AI898" s="5">
        <f t="shared" ca="1" si="31"/>
        <v>0</v>
      </c>
    </row>
    <row r="899" spans="1:51" x14ac:dyDescent="0.25">
      <c r="A899" s="5" t="s">
        <v>52</v>
      </c>
      <c r="B899" s="5" t="e">
        <v>#N/A</v>
      </c>
      <c r="C899" s="5" t="e">
        <v>#N/A</v>
      </c>
      <c r="D899" s="5">
        <v>2026</v>
      </c>
      <c r="F899" s="23" t="s">
        <v>316</v>
      </c>
      <c r="G899" s="5" t="s">
        <v>241</v>
      </c>
      <c r="I899" s="5">
        <v>459</v>
      </c>
      <c r="J899" s="5" t="str">
        <f>IFERROR(VLOOKUP(I899,[1]INFO_LOCALES!$B:$C,2,FALSE),"")</f>
        <v>ALLENDE AUSTRAL</v>
      </c>
      <c r="K899" s="5" t="str">
        <f>IFERROR(VLOOKUP(Tabla2[[#This Row],[TIENDA]],[1]INFO_LOCALES!$B:$D,3,FALSE),"")</f>
        <v>XII - Magallanes</v>
      </c>
      <c r="L899" s="5" t="str">
        <f>IFERROR(VLOOKUP(I899,[1]INFO_LOCALES!$B:$I,8,FALSE),"")</f>
        <v>Punta Arenas</v>
      </c>
      <c r="M899" s="5" t="str">
        <f>IFERROR(VLOOKUP(I899,[1]INFO_LOCALES!$B:$H,7,FALSE),"")</f>
        <v>Salvador Allende 0399</v>
      </c>
      <c r="N899" s="5">
        <f>IFERROR(VLOOKUP(I899,[1]INFO_LOCALES!$B:$E,4,FALSE),"")</f>
        <v>3735</v>
      </c>
      <c r="O899" s="5" t="str">
        <f>VLOOKUP(Tabla2[[#This Row],[TIENDA]],[1]INFO_LOCALES!$B:$J,9,0)</f>
        <v>SIN CONVENIO</v>
      </c>
      <c r="P899" s="5" t="str">
        <f>IFERROR(VLOOKUP(I899,[1]INFO_LOCALES!$B:$F,5,FALSE),"")</f>
        <v>AGUAS MAGALLANES S.A.</v>
      </c>
      <c r="S899" s="6"/>
      <c r="T899" s="5" t="str">
        <f>UPPER(IF(Tabla2[[#This Row],[FECHA DE MUESTREO ]]=0,"",TEXT(Tabla2[[#This Row],[FECHA DE MUESTREO ]],("MMMM"))))</f>
        <v/>
      </c>
      <c r="U899" s="6"/>
      <c r="V899" s="5" t="s">
        <v>59</v>
      </c>
      <c r="W8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899" s="7">
        <f t="shared" si="32"/>
        <v>1</v>
      </c>
      <c r="AH899" s="5">
        <f ca="1">Tabla2[[#This Row],[VOLUMEN DE DESCARGA MENSUAL (M3/M)]]*30</f>
        <v>0</v>
      </c>
      <c r="AI899" s="5">
        <f t="shared" ca="1" si="31"/>
        <v>0</v>
      </c>
    </row>
    <row r="900" spans="1:51" x14ac:dyDescent="0.25">
      <c r="A900" s="5" t="s">
        <v>52</v>
      </c>
      <c r="B900" s="5" t="e">
        <v>#N/A</v>
      </c>
      <c r="C900" s="5" t="e">
        <v>#N/A</v>
      </c>
      <c r="D900" s="5">
        <v>2026</v>
      </c>
      <c r="F900" s="23" t="s">
        <v>316</v>
      </c>
      <c r="G900" s="5" t="s">
        <v>241</v>
      </c>
      <c r="I900" s="5">
        <v>461</v>
      </c>
      <c r="J900" s="5" t="str">
        <f>IFERROR(VLOOKUP(I900,[1]INFO_LOCALES!$B:$C,2,FALSE),"")</f>
        <v>ZENTENO AUSTRAL</v>
      </c>
      <c r="K900" s="5" t="str">
        <f>IFERROR(VLOOKUP(Tabla2[[#This Row],[TIENDA]],[1]INFO_LOCALES!$B:$D,3,FALSE),"")</f>
        <v>XII - Magallanes</v>
      </c>
      <c r="L900" s="5" t="str">
        <f>IFERROR(VLOOKUP(I900,[1]INFO_LOCALES!$B:$I,8,FALSE),"")</f>
        <v>Punta Arenas</v>
      </c>
      <c r="M900" s="5" t="str">
        <f>IFERROR(VLOOKUP(I900,[1]INFO_LOCALES!$B:$H,7,FALSE),"")</f>
        <v>Capitan Guillermo 05</v>
      </c>
      <c r="N900" s="5">
        <f>IFERROR(VLOOKUP(I900,[1]INFO_LOCALES!$B:$E,4,FALSE),"")</f>
        <v>3736</v>
      </c>
      <c r="O900" s="5" t="str">
        <f>VLOOKUP(Tabla2[[#This Row],[TIENDA]],[1]INFO_LOCALES!$B:$J,9,0)</f>
        <v>SIN CONVENIO</v>
      </c>
      <c r="P900" s="5" t="str">
        <f>IFERROR(VLOOKUP(I900,[1]INFO_LOCALES!$B:$F,5,FALSE),"")</f>
        <v>AGUAS MAGALLANES S.A.</v>
      </c>
      <c r="S900" s="6"/>
      <c r="T900" s="5" t="str">
        <f>UPPER(IF(Tabla2[[#This Row],[FECHA DE MUESTREO ]]=0,"",TEXT(Tabla2[[#This Row],[FECHA DE MUESTREO ]],("MMMM"))))</f>
        <v/>
      </c>
      <c r="U900" s="6"/>
      <c r="V900" s="5" t="s">
        <v>59</v>
      </c>
      <c r="W9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00" s="7">
        <f t="shared" si="32"/>
        <v>1</v>
      </c>
      <c r="AH900" s="5">
        <f ca="1">Tabla2[[#This Row],[VOLUMEN DE DESCARGA MENSUAL (M3/M)]]*30</f>
        <v>0</v>
      </c>
      <c r="AI900" s="5">
        <f t="shared" ca="1" si="31"/>
        <v>0</v>
      </c>
    </row>
    <row r="901" spans="1:51" x14ac:dyDescent="0.25">
      <c r="A901" s="5" t="s">
        <v>52</v>
      </c>
      <c r="B901" s="5" t="e">
        <v>#N/A</v>
      </c>
      <c r="C901" s="5" t="e">
        <v>#N/A</v>
      </c>
      <c r="D901" s="5">
        <v>2026</v>
      </c>
      <c r="F901" s="23" t="s">
        <v>316</v>
      </c>
      <c r="G901" s="5" t="s">
        <v>241</v>
      </c>
      <c r="I901" s="5">
        <v>463</v>
      </c>
      <c r="J901" s="5" t="str">
        <f>IFERROR(VLOOKUP(I901,[1]INFO_LOCALES!$B:$C,2,FALSE),"")</f>
        <v>BORIES AUSTRAL</v>
      </c>
      <c r="K901" s="5" t="str">
        <f>IFERROR(VLOOKUP(Tabla2[[#This Row],[TIENDA]],[1]INFO_LOCALES!$B:$D,3,FALSE),"")</f>
        <v>XII - Magallanes</v>
      </c>
      <c r="L901" s="5" t="str">
        <f>IFERROR(VLOOKUP(I901,[1]INFO_LOCALES!$B:$I,8,FALSE),"")</f>
        <v>Punta Arenas</v>
      </c>
      <c r="M901" s="5" t="str">
        <f>IFERROR(VLOOKUP(I901,[1]INFO_LOCALES!$B:$H,7,FALSE),"")</f>
        <v>Gobernador Bories 647</v>
      </c>
      <c r="N901" s="5">
        <f>IFERROR(VLOOKUP(I901,[1]INFO_LOCALES!$B:$E,4,FALSE),"")</f>
        <v>3739</v>
      </c>
      <c r="O901" s="5" t="str">
        <f>VLOOKUP(Tabla2[[#This Row],[TIENDA]],[1]INFO_LOCALES!$B:$J,9,0)</f>
        <v>SIN CONVENIO</v>
      </c>
      <c r="P901" s="5" t="str">
        <f>IFERROR(VLOOKUP(I901,[1]INFO_LOCALES!$B:$F,5,FALSE),"")</f>
        <v>AGUAS MAGALLANES S.A.</v>
      </c>
      <c r="Q901" s="5" t="s">
        <v>85</v>
      </c>
      <c r="R901" s="5" t="s">
        <v>86</v>
      </c>
      <c r="S901" s="6"/>
      <c r="T901" s="5" t="str">
        <f>UPPER(IF(Tabla2[[#This Row],[FECHA DE MUESTREO ]]=0,"",TEXT(Tabla2[[#This Row],[FECHA DE MUESTREO ]],("MMMM"))))</f>
        <v/>
      </c>
      <c r="U901" s="6"/>
      <c r="V901" s="5" t="s">
        <v>59</v>
      </c>
      <c r="W9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01" s="7">
        <f t="shared" si="32"/>
        <v>1</v>
      </c>
      <c r="AH901" s="5">
        <f ca="1">Tabla2[[#This Row],[VOLUMEN DE DESCARGA MENSUAL (M3/M)]]*30</f>
        <v>0</v>
      </c>
      <c r="AI901" s="5">
        <f t="shared" ca="1" si="31"/>
        <v>0</v>
      </c>
    </row>
    <row r="902" spans="1:51" x14ac:dyDescent="0.25">
      <c r="A902" s="5" t="s">
        <v>52</v>
      </c>
      <c r="B902" s="5" t="e">
        <v>#N/A</v>
      </c>
      <c r="C902" s="5" t="e">
        <v>#N/A</v>
      </c>
      <c r="D902" s="5">
        <v>2026</v>
      </c>
      <c r="F902" s="23" t="s">
        <v>316</v>
      </c>
      <c r="G902" s="5" t="s">
        <v>241</v>
      </c>
      <c r="I902" s="5">
        <v>576</v>
      </c>
      <c r="J902" s="5" t="str">
        <f>IFERROR(VLOOKUP(I902,[1]INFO_LOCALES!$B:$C,2,FALSE),"")</f>
        <v>CASTRO I</v>
      </c>
      <c r="K902" s="5" t="str">
        <f>IFERROR(VLOOKUP(Tabla2[[#This Row],[TIENDA]],[1]INFO_LOCALES!$B:$D,3,FALSE),"")</f>
        <v>X - Los Lagos</v>
      </c>
      <c r="L902" s="5" t="str">
        <f>IFERROR(VLOOKUP(I902,[1]INFO_LOCALES!$B:$I,8,FALSE),"")</f>
        <v>Castro</v>
      </c>
      <c r="M902" s="5" t="str">
        <f>IFERROR(VLOOKUP(I902,[1]INFO_LOCALES!$B:$H,7,FALSE),"")</f>
        <v>O'Higgins 711</v>
      </c>
      <c r="N902" s="5">
        <f>IFERROR(VLOOKUP(I902,[1]INFO_LOCALES!$B:$E,4,FALSE),"")</f>
        <v>3875</v>
      </c>
      <c r="O902" s="5" t="str">
        <f>VLOOKUP(Tabla2[[#This Row],[TIENDA]],[1]INFO_LOCALES!$B:$J,9,0)</f>
        <v>SIN CONVENIO</v>
      </c>
      <c r="P902" s="5" t="str">
        <f>IFERROR(VLOOKUP(I902,[1]INFO_LOCALES!$B:$F,5,FALSE),"")</f>
        <v>SURALIS</v>
      </c>
      <c r="S902" s="6"/>
      <c r="T902" s="5" t="str">
        <f>UPPER(IF(Tabla2[[#This Row],[FECHA DE MUESTREO ]]=0,"",TEXT(Tabla2[[#This Row],[FECHA DE MUESTREO ]],("MMMM"))))</f>
        <v/>
      </c>
      <c r="U902" s="6"/>
      <c r="V902" s="5" t="s">
        <v>59</v>
      </c>
      <c r="W9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02" s="7">
        <f t="shared" si="32"/>
        <v>1</v>
      </c>
      <c r="AH902" s="5">
        <f ca="1">Tabla2[[#This Row],[VOLUMEN DE DESCARGA MENSUAL (M3/M)]]*30</f>
        <v>0</v>
      </c>
      <c r="AI902" s="5">
        <f t="shared" ca="1" si="31"/>
        <v>0</v>
      </c>
    </row>
    <row r="903" spans="1:51" x14ac:dyDescent="0.25">
      <c r="A903" s="5" t="s">
        <v>52</v>
      </c>
      <c r="B903" s="5" t="e">
        <v>#N/A</v>
      </c>
      <c r="C903" s="5" t="e">
        <v>#N/A</v>
      </c>
      <c r="D903" s="5">
        <v>2026</v>
      </c>
      <c r="F903" s="5" t="s">
        <v>58</v>
      </c>
      <c r="G903" s="5" t="s">
        <v>229</v>
      </c>
      <c r="H903" s="5" t="s">
        <v>277</v>
      </c>
      <c r="I903" s="5">
        <v>327</v>
      </c>
      <c r="J903" s="5" t="str">
        <f>IFERROR(VLOOKUP(I903,[1]INFO_LOCALES!$B:$C,2,FALSE),"")</f>
        <v>MANQUEHUE</v>
      </c>
      <c r="K903" s="5" t="str">
        <f>IFERROR(VLOOKUP(Tabla2[[#This Row],[TIENDA]],[1]INFO_LOCALES!$B:$D,3,FALSE),"")</f>
        <v>RM - Santiago</v>
      </c>
      <c r="L903" s="5" t="str">
        <f>IFERROR(VLOOKUP(I903,[1]INFO_LOCALES!$B:$I,8,FALSE),"")</f>
        <v>Las Condes</v>
      </c>
      <c r="M903" s="5" t="str">
        <f>IFERROR(VLOOKUP(I903,[1]INFO_LOCALES!$B:$H,7,FALSE),"")</f>
        <v>Manquehue 1700</v>
      </c>
      <c r="N903" s="5">
        <f>IFERROR(VLOOKUP(I903,[1]INFO_LOCALES!$B:$E,4,FALSE),"")</f>
        <v>0</v>
      </c>
      <c r="O903" s="5" t="str">
        <f>VLOOKUP(Tabla2[[#This Row],[TIENDA]],[1]INFO_LOCALES!$B:$J,9,0)</f>
        <v>SIN CONVENIO</v>
      </c>
      <c r="P903" s="5" t="str">
        <f>IFERROR(VLOOKUP(I903,[1]INFO_LOCALES!$B:$F,5,FALSE),"")</f>
        <v>AGUAS ANDINAS S.A.</v>
      </c>
      <c r="Q903" s="5" t="s">
        <v>113</v>
      </c>
      <c r="R903" s="5" t="s">
        <v>58</v>
      </c>
      <c r="S903" s="6"/>
      <c r="T903" s="5" t="str">
        <f>UPPER(IF(Tabla2[[#This Row],[FECHA DE MUESTREO ]]=0,"",TEXT(Tabla2[[#This Row],[FECHA DE MUESTREO ]],("MMMM"))))</f>
        <v>MARZO</v>
      </c>
      <c r="U903" s="6">
        <v>46107</v>
      </c>
      <c r="V903" s="5" t="s">
        <v>59</v>
      </c>
      <c r="W9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03" s="7">
        <f t="shared" si="32"/>
        <v>1</v>
      </c>
      <c r="Y903" s="5">
        <v>14</v>
      </c>
      <c r="Z903" s="5">
        <v>8.44</v>
      </c>
      <c r="AA903" s="5">
        <v>0.8</v>
      </c>
      <c r="AB903" s="5">
        <v>21.8</v>
      </c>
      <c r="AC903" s="5">
        <v>59</v>
      </c>
      <c r="AD903" s="5">
        <v>3.28</v>
      </c>
      <c r="AE903" s="5">
        <v>14.71</v>
      </c>
      <c r="AF903" s="5">
        <v>2</v>
      </c>
      <c r="AG903" s="5">
        <v>73</v>
      </c>
      <c r="AH903" s="5">
        <v>5</v>
      </c>
      <c r="AI903" s="5">
        <f t="shared" ref="AI903:AI966" si="33">AH903*30</f>
        <v>150</v>
      </c>
    </row>
    <row r="904" spans="1:51" x14ac:dyDescent="0.25">
      <c r="A904" s="5" t="s">
        <v>52</v>
      </c>
      <c r="B904" s="5" t="e">
        <v>#N/A</v>
      </c>
      <c r="C904" s="5" t="e">
        <v>#N/A</v>
      </c>
      <c r="D904" s="5">
        <v>2026</v>
      </c>
      <c r="E904" s="5" t="s">
        <v>317</v>
      </c>
      <c r="F904" s="5" t="s">
        <v>58</v>
      </c>
      <c r="G904" s="5" t="s">
        <v>56</v>
      </c>
      <c r="H904" s="5" t="s">
        <v>249</v>
      </c>
      <c r="I904" s="5">
        <v>408</v>
      </c>
      <c r="J904" s="5" t="str">
        <f>IFERROR(VLOOKUP(I904,[1]INFO_LOCALES!$B:$C,2,FALSE),"")</f>
        <v>UNIMARC SANTO DOMINGO II</v>
      </c>
      <c r="K904" s="5" t="str">
        <f>IFERROR(VLOOKUP(Tabla2[[#This Row],[TIENDA]],[1]INFO_LOCALES!$B:$D,3,FALSE),"")</f>
        <v>V - Valparaiso</v>
      </c>
      <c r="L904" s="5" t="str">
        <f>IFERROR(VLOOKUP(I904,[1]INFO_LOCALES!$B:$I,8,FALSE),"")</f>
        <v>Santo Domingo</v>
      </c>
      <c r="M904" s="5" t="str">
        <f>IFERROR(VLOOKUP(I904,[1]INFO_LOCALES!$B:$H,7,FALSE),"")</f>
        <v>Ruta 66, Esquina Casas de la Boca s/n</v>
      </c>
      <c r="N904" s="5">
        <f>IFERROR(VLOOKUP(I904,[1]INFO_LOCALES!$B:$E,4,FALSE),"")</f>
        <v>0</v>
      </c>
      <c r="O904" s="5" t="str">
        <f>VLOOKUP(Tabla2[[#This Row],[TIENDA]],[1]INFO_LOCALES!$B:$J,9,0)</f>
        <v>SIN CONVENIO</v>
      </c>
      <c r="P904" s="5" t="str">
        <f>IFERROR(VLOOKUP(I904,[1]INFO_LOCALES!$B:$F,5,FALSE),"")</f>
        <v>COOPAGUA</v>
      </c>
      <c r="Q904" s="5" t="s">
        <v>85</v>
      </c>
      <c r="R904" s="5" t="s">
        <v>58</v>
      </c>
      <c r="S904" s="6"/>
      <c r="T904" s="5" t="str">
        <f>UPPER(IF(Tabla2[[#This Row],[FECHA DE MUESTREO ]]=0,"",TEXT(Tabla2[[#This Row],[FECHA DE MUESTREO ]],("MMMM"))))</f>
        <v>MARZO</v>
      </c>
      <c r="U904" s="6">
        <v>46086</v>
      </c>
      <c r="V904" s="5" t="s">
        <v>59</v>
      </c>
      <c r="W9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904" s="7">
        <f t="shared" si="32"/>
        <v>3</v>
      </c>
      <c r="Y904" s="5">
        <v>165.2</v>
      </c>
      <c r="AA904" s="5">
        <v>9.3000000000000007</v>
      </c>
      <c r="AC904" s="5">
        <v>1006.4</v>
      </c>
      <c r="AD904" s="5">
        <v>6.1</v>
      </c>
      <c r="AE904" s="5">
        <v>39.200000000000003</v>
      </c>
      <c r="AG904" s="5">
        <v>595</v>
      </c>
      <c r="AH904" s="5">
        <f ca="1">Tabla2[[#This Row],[VOLUMEN DE DESCARGA MENSUAL (M3/M)]]*30</f>
        <v>0</v>
      </c>
      <c r="AI904" s="5">
        <f t="shared" ca="1" si="33"/>
        <v>0</v>
      </c>
      <c r="AY904" s="5">
        <v>261.60000000000002</v>
      </c>
    </row>
    <row r="905" spans="1:51" x14ac:dyDescent="0.25">
      <c r="A905" s="5" t="s">
        <v>52</v>
      </c>
      <c r="B905" s="5" t="e">
        <v>#N/A</v>
      </c>
      <c r="C905" s="5" t="e">
        <v>#N/A</v>
      </c>
      <c r="D905" s="5">
        <v>2025</v>
      </c>
      <c r="F905" s="5" t="s">
        <v>58</v>
      </c>
      <c r="G905" s="5" t="s">
        <v>229</v>
      </c>
      <c r="H905" s="5" t="s">
        <v>277</v>
      </c>
      <c r="I905" s="5">
        <v>537</v>
      </c>
      <c r="J905" s="5" t="str">
        <f>IFERROR(VLOOKUP(I905,[1]INFO_LOCALES!$B:$C,2,FALSE),"")</f>
        <v>VICTORIA I</v>
      </c>
      <c r="K905" s="5" t="str">
        <f>IFERROR(VLOOKUP(Tabla2[[#This Row],[TIENDA]],[1]INFO_LOCALES!$B:$D,3,FALSE),"")</f>
        <v>IX - Araucanía</v>
      </c>
      <c r="L905" s="5" t="str">
        <f>IFERROR(VLOOKUP(I905,[1]INFO_LOCALES!$B:$I,8,FALSE),"")</f>
        <v>Victoria</v>
      </c>
      <c r="M905" s="5" t="str">
        <f>IFERROR(VLOOKUP(I905,[1]INFO_LOCALES!$B:$H,7,FALSE),"")</f>
        <v>Pisagua 1354</v>
      </c>
      <c r="N905" s="5">
        <f>IFERROR(VLOOKUP(I905,[1]INFO_LOCALES!$B:$E,4,FALSE),"")</f>
        <v>0</v>
      </c>
      <c r="O905" s="5" t="str">
        <f>VLOOKUP(Tabla2[[#This Row],[TIENDA]],[1]INFO_LOCALES!$B:$J,9,0)</f>
        <v>CONVENIO</v>
      </c>
      <c r="P905" s="5" t="str">
        <f>IFERROR(VLOOKUP(I905,[1]INFO_LOCALES!$B:$F,5,FALSE),"")</f>
        <v>AGUAS ARAUCANIA S A</v>
      </c>
      <c r="Q905" s="5" t="s">
        <v>313</v>
      </c>
      <c r="R905" s="5" t="s">
        <v>58</v>
      </c>
      <c r="S905" s="6"/>
      <c r="T905" s="5" t="str">
        <f>UPPER(IF(Tabla2[[#This Row],[FECHA DE MUESTREO ]]=0,"",TEXT(Tabla2[[#This Row],[FECHA DE MUESTREO ]],("MMMM"))))</f>
        <v>DICIEMBRE</v>
      </c>
      <c r="U905" s="6">
        <v>46008</v>
      </c>
      <c r="V905" s="5" t="s">
        <v>59</v>
      </c>
      <c r="W9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05" s="7">
        <f t="shared" si="32"/>
        <v>1</v>
      </c>
      <c r="Y905" s="5">
        <v>2</v>
      </c>
      <c r="Z905" s="5">
        <v>7.38</v>
      </c>
      <c r="AA905" s="5">
        <v>1</v>
      </c>
      <c r="AB905" s="5">
        <v>20.100000000000001</v>
      </c>
      <c r="AC905" s="5">
        <v>2</v>
      </c>
      <c r="AD905" s="5">
        <v>0.6</v>
      </c>
      <c r="AE905" s="5">
        <v>10.199999999999999</v>
      </c>
      <c r="AF905" s="5">
        <v>0.1</v>
      </c>
      <c r="AG905" s="5">
        <v>6</v>
      </c>
      <c r="AH905" s="5">
        <v>0.72</v>
      </c>
      <c r="AI905" s="5">
        <f t="shared" si="33"/>
        <v>21.599999999999998</v>
      </c>
    </row>
    <row r="906" spans="1:51" x14ac:dyDescent="0.25">
      <c r="A906" s="5" t="s">
        <v>52</v>
      </c>
      <c r="B906" s="5" t="e">
        <v>#N/A</v>
      </c>
      <c r="C906" s="5" t="e">
        <v>#N/A</v>
      </c>
      <c r="D906" s="5">
        <v>2025</v>
      </c>
      <c r="F906" s="5" t="s">
        <v>58</v>
      </c>
      <c r="G906" s="5" t="s">
        <v>229</v>
      </c>
      <c r="H906" s="5" t="s">
        <v>277</v>
      </c>
      <c r="I906" s="5">
        <v>959</v>
      </c>
      <c r="J906" s="5" t="str">
        <f>IFERROR(VLOOKUP(I906,[1]INFO_LOCALES!$B:$C,2,FALSE),"")</f>
        <v>PUCON</v>
      </c>
      <c r="K906" s="5" t="str">
        <f>IFERROR(VLOOKUP(Tabla2[[#This Row],[TIENDA]],[1]INFO_LOCALES!$B:$D,3,FALSE),"")</f>
        <v>IX - Araucanía</v>
      </c>
      <c r="L906" s="5" t="str">
        <f>IFERROR(VLOOKUP(I906,[1]INFO_LOCALES!$B:$I,8,FALSE),"")</f>
        <v>Pucon</v>
      </c>
      <c r="M906" s="5" t="str">
        <f>IFERROR(VLOOKUP(I906,[1]INFO_LOCALES!$B:$H,7,FALSE),"")</f>
        <v>Av. O´higgins 774</v>
      </c>
      <c r="N906" s="5">
        <f>IFERROR(VLOOKUP(I906,[1]INFO_LOCALES!$B:$E,4,FALSE),"")</f>
        <v>0</v>
      </c>
      <c r="O906" s="5" t="str">
        <f>VLOOKUP(Tabla2[[#This Row],[TIENDA]],[1]INFO_LOCALES!$B:$J,9,0)</f>
        <v>SIN CONVENIO</v>
      </c>
      <c r="P906" s="5" t="str">
        <f>IFERROR(VLOOKUP(I906,[1]INFO_LOCALES!$B:$F,5,FALSE),"")</f>
        <v>AGUAS ARAUCANIA S A</v>
      </c>
      <c r="Q906" s="5" t="s">
        <v>313</v>
      </c>
      <c r="R906" s="5" t="s">
        <v>58</v>
      </c>
      <c r="S906" s="6">
        <v>46149</v>
      </c>
      <c r="T906" s="5" t="str">
        <f>UPPER(IF(Tabla2[[#This Row],[FECHA DE MUESTREO ]]=0,"",TEXT(Tabla2[[#This Row],[FECHA DE MUESTREO ]],("MMMM"))))</f>
        <v>DICIEMBRE</v>
      </c>
      <c r="U906" s="6">
        <v>46022</v>
      </c>
      <c r="V906" s="5" t="s">
        <v>59</v>
      </c>
      <c r="W9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06" s="7">
        <f t="shared" si="32"/>
        <v>1</v>
      </c>
      <c r="Y906" s="5">
        <v>15.3</v>
      </c>
      <c r="Z906" s="5">
        <v>7.89</v>
      </c>
      <c r="AA906" s="5">
        <v>1</v>
      </c>
      <c r="AB906" s="5">
        <v>20.8</v>
      </c>
      <c r="AC906" s="5">
        <v>205</v>
      </c>
      <c r="AD906" s="5">
        <v>3.21</v>
      </c>
      <c r="AE906" s="5">
        <v>9.69</v>
      </c>
      <c r="AF906" s="5">
        <v>1.9</v>
      </c>
      <c r="AG906" s="5">
        <v>99</v>
      </c>
      <c r="AH906" s="5">
        <v>5.7</v>
      </c>
      <c r="AI906" s="5">
        <f t="shared" si="33"/>
        <v>171</v>
      </c>
    </row>
    <row r="907" spans="1:51" x14ac:dyDescent="0.25">
      <c r="A907" s="5" t="s">
        <v>52</v>
      </c>
      <c r="B907" s="5" t="e">
        <v>#N/A</v>
      </c>
      <c r="C907" s="5" t="e">
        <v>#N/A</v>
      </c>
      <c r="D907" s="5">
        <v>2026</v>
      </c>
      <c r="F907" s="24" t="s">
        <v>320</v>
      </c>
      <c r="G907" s="5" t="s">
        <v>65</v>
      </c>
      <c r="H907" s="5" t="s">
        <v>57</v>
      </c>
      <c r="I907" s="5">
        <v>7</v>
      </c>
      <c r="J907" s="5" t="str">
        <f>IFERROR(VLOOKUP(I907,[1]INFO_LOCALES!$B:$C,2,FALSE),"")</f>
        <v>VALLENAR I</v>
      </c>
      <c r="K907" s="5" t="str">
        <f>IFERROR(VLOOKUP(Tabla2[[#This Row],[TIENDA]],[1]INFO_LOCALES!$B:$D,3,FALSE),"")</f>
        <v>III - Atacama</v>
      </c>
      <c r="L907" s="5" t="str">
        <f>IFERROR(VLOOKUP(I907,[1]INFO_LOCALES!$B:$I,8,FALSE),"")</f>
        <v>Vallenar</v>
      </c>
      <c r="M907" s="5" t="str">
        <f>IFERROR(VLOOKUP(I907,[1]INFO_LOCALES!$B:$H,7,FALSE),"")</f>
        <v>Brasil 663</v>
      </c>
      <c r="N907" s="5">
        <f>IFERROR(VLOOKUP(I907,[1]INFO_LOCALES!$B:$E,4,FALSE),"")</f>
        <v>0</v>
      </c>
      <c r="O907" s="5" t="str">
        <f>VLOOKUP(Tabla2[[#This Row],[TIENDA]],[1]INFO_LOCALES!$B:$J,9,0)</f>
        <v>CONVENIO</v>
      </c>
      <c r="P907" s="5" t="str">
        <f>IFERROR(VLOOKUP(I907,[1]INFO_LOCALES!$B:$F,5,FALSE),"")</f>
        <v>NUEVA ATACAMA</v>
      </c>
      <c r="Q907" s="5" t="s">
        <v>85</v>
      </c>
      <c r="R907" s="5" t="s">
        <v>86</v>
      </c>
      <c r="S907" s="6"/>
      <c r="T907" s="5" t="str">
        <f>UPPER(IF(Tabla2[[#This Row],[FECHA DE MUESTREO ]]=0,"",TEXT(Tabla2[[#This Row],[FECHA DE MUESTREO ]],("MMMM"))))</f>
        <v>MAYO</v>
      </c>
      <c r="U907" s="6">
        <v>46149</v>
      </c>
      <c r="V907" s="5" t="s">
        <v>59</v>
      </c>
      <c r="W9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907" s="7">
        <f t="shared" si="32"/>
        <v>3</v>
      </c>
      <c r="Y907" s="5">
        <v>9.3000000000000007</v>
      </c>
      <c r="Z907" s="5">
        <v>6.61</v>
      </c>
      <c r="AA907" s="5">
        <v>27.7</v>
      </c>
      <c r="AB907" s="5">
        <v>20.41</v>
      </c>
      <c r="AC907" s="5">
        <v>304.10000000000002</v>
      </c>
      <c r="AD907" s="5">
        <v>6.5</v>
      </c>
      <c r="AE907" s="5">
        <v>29.7</v>
      </c>
      <c r="AF907" s="5">
        <v>0.1</v>
      </c>
      <c r="AG907" s="5">
        <v>59</v>
      </c>
      <c r="AH907" s="5">
        <v>3.02</v>
      </c>
      <c r="AI907" s="5">
        <f t="shared" si="33"/>
        <v>90.6</v>
      </c>
    </row>
    <row r="908" spans="1:51" x14ac:dyDescent="0.25">
      <c r="A908" s="5" t="s">
        <v>52</v>
      </c>
      <c r="B908" s="5" t="e">
        <v>#N/A</v>
      </c>
      <c r="C908" s="5" t="e">
        <v>#N/A</v>
      </c>
      <c r="D908" s="5">
        <v>2026</v>
      </c>
      <c r="F908" s="24" t="s">
        <v>320</v>
      </c>
      <c r="G908" s="5" t="s">
        <v>65</v>
      </c>
      <c r="H908" s="5" t="s">
        <v>57</v>
      </c>
      <c r="I908" s="5">
        <v>14</v>
      </c>
      <c r="J908" s="5" t="str">
        <f>IFERROR(VLOOKUP(I908,[1]INFO_LOCALES!$B:$C,2,FALSE),"")</f>
        <v>COPIAPO</v>
      </c>
      <c r="K908" s="5" t="str">
        <f>IFERROR(VLOOKUP(Tabla2[[#This Row],[TIENDA]],[1]INFO_LOCALES!$B:$D,3,FALSE),"")</f>
        <v>III - Atacama</v>
      </c>
      <c r="L908" s="5" t="str">
        <f>IFERROR(VLOOKUP(I908,[1]INFO_LOCALES!$B:$I,8,FALSE),"")</f>
        <v>Copiapó</v>
      </c>
      <c r="M908" s="5" t="str">
        <f>IFERROR(VLOOKUP(I908,[1]INFO_LOCALES!$B:$H,7,FALSE),"")</f>
        <v>Av. Henrriquez N° 523</v>
      </c>
      <c r="N908" s="5">
        <f>IFERROR(VLOOKUP(I908,[1]INFO_LOCALES!$B:$E,4,FALSE),"")</f>
        <v>0</v>
      </c>
      <c r="O908" s="5" t="str">
        <f>VLOOKUP(Tabla2[[#This Row],[TIENDA]],[1]INFO_LOCALES!$B:$J,9,0)</f>
        <v>CONVENIO</v>
      </c>
      <c r="P908" s="5" t="str">
        <f>IFERROR(VLOOKUP(I908,[1]INFO_LOCALES!$B:$F,5,FALSE),"")</f>
        <v>NUEVA ATACAMA</v>
      </c>
      <c r="Q908" s="5" t="s">
        <v>85</v>
      </c>
      <c r="R908" s="5" t="s">
        <v>86</v>
      </c>
      <c r="S908" s="6"/>
      <c r="T908" s="5" t="str">
        <f>UPPER(IF(Tabla2[[#This Row],[FECHA DE MUESTREO ]]=0,"",TEXT(Tabla2[[#This Row],[FECHA DE MUESTREO ]],("MMMM"))))</f>
        <v>MAYO</v>
      </c>
      <c r="U908" s="6">
        <v>46150</v>
      </c>
      <c r="V908" s="5" t="s">
        <v>59</v>
      </c>
      <c r="W9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08" s="7">
        <f t="shared" si="32"/>
        <v>1</v>
      </c>
      <c r="Y908" s="5">
        <v>9.9</v>
      </c>
      <c r="Z908" s="5">
        <v>6.69</v>
      </c>
      <c r="AA908" s="5">
        <v>2</v>
      </c>
      <c r="AB908" s="5">
        <v>18.53</v>
      </c>
      <c r="AC908" s="5">
        <v>131.4</v>
      </c>
      <c r="AD908" s="5">
        <v>8.3000000000000007</v>
      </c>
      <c r="AE908" s="5">
        <v>23.1</v>
      </c>
      <c r="AF908" s="5">
        <v>0.2</v>
      </c>
      <c r="AG908" s="5">
        <v>29</v>
      </c>
      <c r="AH908" s="5">
        <v>2.93</v>
      </c>
      <c r="AI908" s="5">
        <f t="shared" si="33"/>
        <v>87.9</v>
      </c>
    </row>
    <row r="909" spans="1:51" x14ac:dyDescent="0.25">
      <c r="A909" s="5" t="s">
        <v>52</v>
      </c>
      <c r="B909" s="5" t="e">
        <v>#N/A</v>
      </c>
      <c r="C909" s="5" t="e">
        <v>#N/A</v>
      </c>
      <c r="D909" s="5">
        <v>2026</v>
      </c>
      <c r="F909" s="24" t="s">
        <v>320</v>
      </c>
      <c r="G909" s="5" t="s">
        <v>65</v>
      </c>
      <c r="H909" s="5" t="s">
        <v>57</v>
      </c>
      <c r="I909" s="5">
        <v>16</v>
      </c>
      <c r="J909" s="5" t="str">
        <f>IFERROR(VLOOKUP(I909,[1]INFO_LOCALES!$B:$C,2,FALSE),"")</f>
        <v>VALLENAR II</v>
      </c>
      <c r="K909" s="5" t="str">
        <f>IFERROR(VLOOKUP(Tabla2[[#This Row],[TIENDA]],[1]INFO_LOCALES!$B:$D,3,FALSE),"")</f>
        <v>III - Atacama</v>
      </c>
      <c r="L909" s="5" t="str">
        <f>IFERROR(VLOOKUP(I909,[1]INFO_LOCALES!$B:$I,8,FALSE),"")</f>
        <v>Vallenar</v>
      </c>
      <c r="M909" s="5" t="str">
        <f>IFERROR(VLOOKUP(I909,[1]INFO_LOCALES!$B:$H,7,FALSE),"")</f>
        <v>Arturo Prat 2350</v>
      </c>
      <c r="N909" s="5">
        <f>IFERROR(VLOOKUP(I909,[1]INFO_LOCALES!$B:$E,4,FALSE),"")</f>
        <v>0</v>
      </c>
      <c r="O909" s="5" t="str">
        <f>VLOOKUP(Tabla2[[#This Row],[TIENDA]],[1]INFO_LOCALES!$B:$J,9,0)</f>
        <v>TERMINADO</v>
      </c>
      <c r="P909" s="5" t="str">
        <f>IFERROR(VLOOKUP(I909,[1]INFO_LOCALES!$B:$F,5,FALSE),"")</f>
        <v>NUEVA ATACAMA</v>
      </c>
      <c r="Q909" s="5" t="s">
        <v>85</v>
      </c>
      <c r="R909" s="5" t="s">
        <v>86</v>
      </c>
      <c r="S909" s="6"/>
      <c r="T909" s="5" t="str">
        <f>UPPER(IF(Tabla2[[#This Row],[FECHA DE MUESTREO ]]=0,"",TEXT(Tabla2[[#This Row],[FECHA DE MUESTREO ]],("MMMM"))))</f>
        <v>MAYO</v>
      </c>
      <c r="U909" s="6">
        <v>46148</v>
      </c>
      <c r="V909" s="5" t="s">
        <v>59</v>
      </c>
      <c r="W9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09" s="7">
        <f t="shared" si="32"/>
        <v>1</v>
      </c>
      <c r="Y909" s="5">
        <v>12.1</v>
      </c>
      <c r="Z909" s="5">
        <v>6.73</v>
      </c>
      <c r="AA909" s="5">
        <v>2</v>
      </c>
      <c r="AB909" s="5">
        <v>20.69</v>
      </c>
      <c r="AC909" s="5">
        <v>31.2</v>
      </c>
      <c r="AD909" s="5">
        <v>1.8</v>
      </c>
      <c r="AE909" s="5">
        <v>14.2</v>
      </c>
      <c r="AF909" s="5">
        <v>0.1</v>
      </c>
      <c r="AG909" s="5">
        <v>13.2</v>
      </c>
      <c r="AH909" s="5">
        <v>2.97</v>
      </c>
      <c r="AI909" s="5">
        <f t="shared" si="33"/>
        <v>89.100000000000009</v>
      </c>
    </row>
    <row r="910" spans="1:51" x14ac:dyDescent="0.25">
      <c r="A910" s="5" t="s">
        <v>52</v>
      </c>
      <c r="B910" s="5" t="e">
        <v>#N/A</v>
      </c>
      <c r="C910" s="5" t="e">
        <v>#N/A</v>
      </c>
      <c r="D910" s="5">
        <v>2026</v>
      </c>
      <c r="F910" s="24" t="s">
        <v>320</v>
      </c>
      <c r="G910" s="5" t="s">
        <v>61</v>
      </c>
      <c r="H910" s="5" t="s">
        <v>57</v>
      </c>
      <c r="I910" s="5">
        <v>22</v>
      </c>
      <c r="J910" s="5" t="str">
        <f>IFERROR(VLOOKUP(I910,[1]INFO_LOCALES!$B:$C,2,FALSE),"")</f>
        <v>ATACAMA</v>
      </c>
      <c r="K910" s="5" t="str">
        <f>IFERROR(VLOOKUP(Tabla2[[#This Row],[TIENDA]],[1]INFO_LOCALES!$B:$D,3,FALSE),"")</f>
        <v>III - Atacama</v>
      </c>
      <c r="L910" s="5" t="str">
        <f>IFERROR(VLOOKUP(I910,[1]INFO_LOCALES!$B:$I,8,FALSE),"")</f>
        <v>Copiapó</v>
      </c>
      <c r="M910" s="5" t="str">
        <f>IFERROR(VLOOKUP(I910,[1]INFO_LOCALES!$B:$H,7,FALSE),"")</f>
        <v>Los Carreras 2242</v>
      </c>
      <c r="N910" s="5">
        <f>IFERROR(VLOOKUP(I910,[1]INFO_LOCALES!$B:$E,4,FALSE),"")</f>
        <v>2666</v>
      </c>
      <c r="O910" s="5" t="str">
        <f>VLOOKUP(Tabla2[[#This Row],[TIENDA]],[1]INFO_LOCALES!$B:$J,9,0)</f>
        <v>CONVENIO</v>
      </c>
      <c r="P910" s="5" t="str">
        <f>IFERROR(VLOOKUP(I910,[1]INFO_LOCALES!$B:$F,5,FALSE),"")</f>
        <v>NUEVA ATACAMA</v>
      </c>
      <c r="Q910" s="5" t="s">
        <v>85</v>
      </c>
      <c r="R910" s="5" t="s">
        <v>86</v>
      </c>
      <c r="S910" s="6"/>
      <c r="T910" s="5" t="str">
        <f>UPPER(IF(Tabla2[[#This Row],[FECHA DE MUESTREO ]]=0,"",TEXT(Tabla2[[#This Row],[FECHA DE MUESTREO ]],("MMMM"))))</f>
        <v>MAYO</v>
      </c>
      <c r="U910" s="6">
        <v>46157</v>
      </c>
      <c r="V910" s="5" t="s">
        <v>118</v>
      </c>
      <c r="W9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10" s="7">
        <f t="shared" si="32"/>
        <v>1</v>
      </c>
      <c r="Y910" s="5">
        <v>34.299999999999997</v>
      </c>
      <c r="Z910" s="5">
        <v>6.68</v>
      </c>
      <c r="AA910" s="5">
        <v>3.7</v>
      </c>
      <c r="AB910" s="5">
        <v>20.73</v>
      </c>
      <c r="AC910" s="5">
        <v>259.5</v>
      </c>
      <c r="AD910" s="5">
        <v>6.5</v>
      </c>
      <c r="AE910" s="5">
        <v>16.8</v>
      </c>
      <c r="AF910" s="5">
        <v>0.5</v>
      </c>
      <c r="AG910" s="5">
        <v>116.3</v>
      </c>
      <c r="AH910" s="5">
        <v>3.24</v>
      </c>
      <c r="AI910" s="5">
        <f t="shared" si="33"/>
        <v>97.2</v>
      </c>
      <c r="AJ910" s="5">
        <v>0.43</v>
      </c>
      <c r="AK910" s="5">
        <v>3.0000000000000001E-3</v>
      </c>
      <c r="AL910" s="5">
        <v>0.89400000000000002</v>
      </c>
      <c r="AM910" s="5">
        <v>4.0000000000000001E-3</v>
      </c>
      <c r="AN910" s="5">
        <v>2E-3</v>
      </c>
      <c r="AO910" s="5">
        <v>0.252</v>
      </c>
      <c r="AP910" s="5">
        <v>5.6000000000000001E-2</v>
      </c>
      <c r="AQ910" s="5">
        <v>0.05</v>
      </c>
      <c r="AR910" s="5">
        <v>0.03</v>
      </c>
      <c r="AS910" s="5">
        <v>9.15</v>
      </c>
      <c r="AT910" s="5">
        <v>4.2000000000000003E-2</v>
      </c>
      <c r="AU910" s="5">
        <v>1E-3</v>
      </c>
      <c r="AV910" s="5">
        <v>2.1999999999999999E-2</v>
      </c>
      <c r="AW910" s="5">
        <v>0.04</v>
      </c>
      <c r="AX910" s="5">
        <v>341.4</v>
      </c>
      <c r="AY910" s="5">
        <v>0.03</v>
      </c>
    </row>
    <row r="911" spans="1:51" x14ac:dyDescent="0.25">
      <c r="A911" s="5" t="s">
        <v>52</v>
      </c>
      <c r="B911" s="5" t="e">
        <v>#N/A</v>
      </c>
      <c r="C911" s="5" t="e">
        <v>#N/A</v>
      </c>
      <c r="D911" s="5">
        <v>2026</v>
      </c>
      <c r="F911" s="24" t="s">
        <v>320</v>
      </c>
      <c r="G911" s="5" t="s">
        <v>65</v>
      </c>
      <c r="H911" s="5" t="s">
        <v>57</v>
      </c>
      <c r="I911" s="5">
        <v>23</v>
      </c>
      <c r="J911" s="5" t="str">
        <f>IFERROR(VLOOKUP(I911,[1]INFO_LOCALES!$B:$C,2,FALSE),"")</f>
        <v>LOS CARRERAS</v>
      </c>
      <c r="K911" s="5" t="str">
        <f>IFERROR(VLOOKUP(Tabla2[[#This Row],[TIENDA]],[1]INFO_LOCALES!$B:$D,3,FALSE),"")</f>
        <v>III - Atacama</v>
      </c>
      <c r="L911" s="5" t="str">
        <f>IFERROR(VLOOKUP(I911,[1]INFO_LOCALES!$B:$I,8,FALSE),"")</f>
        <v>Copiapó</v>
      </c>
      <c r="M911" s="5" t="str">
        <f>IFERROR(VLOOKUP(I911,[1]INFO_LOCALES!$B:$H,7,FALSE),"")</f>
        <v>Los Carrera 479</v>
      </c>
      <c r="N911" s="5">
        <f>IFERROR(VLOOKUP(I911,[1]INFO_LOCALES!$B:$E,4,FALSE),"")</f>
        <v>0</v>
      </c>
      <c r="O911" s="5" t="str">
        <f>VLOOKUP(Tabla2[[#This Row],[TIENDA]],[1]INFO_LOCALES!$B:$J,9,0)</f>
        <v>SIN CONVENIO</v>
      </c>
      <c r="P911" s="5" t="str">
        <f>IFERROR(VLOOKUP(I911,[1]INFO_LOCALES!$B:$F,5,FALSE),"")</f>
        <v>NUEVA ATACAMA</v>
      </c>
      <c r="Q911" s="5" t="s">
        <v>85</v>
      </c>
      <c r="R911" s="5" t="s">
        <v>86</v>
      </c>
      <c r="S911" s="6"/>
      <c r="T911" s="5" t="str">
        <f>UPPER(IF(Tabla2[[#This Row],[FECHA DE MUESTREO ]]=0,"",TEXT(Tabla2[[#This Row],[FECHA DE MUESTREO ]],("MMMM"))))</f>
        <v>MAYO</v>
      </c>
      <c r="U911" s="6">
        <v>46155</v>
      </c>
      <c r="V911" s="5" t="s">
        <v>59</v>
      </c>
      <c r="W9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11" s="7">
        <f t="shared" si="32"/>
        <v>2</v>
      </c>
      <c r="Y911" s="5">
        <v>38</v>
      </c>
      <c r="Z911" s="5">
        <v>6.75</v>
      </c>
      <c r="AA911" s="5">
        <v>3.7</v>
      </c>
      <c r="AB911" s="5">
        <v>20.78</v>
      </c>
      <c r="AC911" s="5">
        <v>395.5</v>
      </c>
      <c r="AD911" s="5">
        <v>15.4</v>
      </c>
      <c r="AE911" s="5">
        <v>40.4</v>
      </c>
      <c r="AF911" s="5">
        <v>1.5</v>
      </c>
      <c r="AG911" s="5">
        <v>182</v>
      </c>
      <c r="AH911" s="5">
        <v>2.93</v>
      </c>
      <c r="AI911" s="5">
        <f t="shared" si="33"/>
        <v>87.9</v>
      </c>
    </row>
    <row r="912" spans="1:51" x14ac:dyDescent="0.25">
      <c r="A912" s="5" t="s">
        <v>52</v>
      </c>
      <c r="B912" s="5" t="e">
        <v>#N/A</v>
      </c>
      <c r="C912" s="5" t="e">
        <v>#N/A</v>
      </c>
      <c r="D912" s="5">
        <v>2026</v>
      </c>
      <c r="F912" s="24" t="s">
        <v>320</v>
      </c>
      <c r="G912" s="5" t="s">
        <v>65</v>
      </c>
      <c r="H912" s="5" t="s">
        <v>57</v>
      </c>
      <c r="I912" s="5">
        <v>24</v>
      </c>
      <c r="J912" s="5" t="str">
        <f>IFERROR(VLOOKUP(I912,[1]INFO_LOCALES!$B:$C,2,FALSE),"")</f>
        <v>CHACABUCO</v>
      </c>
      <c r="K912" s="5" t="str">
        <f>IFERROR(VLOOKUP(Tabla2[[#This Row],[TIENDA]],[1]INFO_LOCALES!$B:$D,3,FALSE),"")</f>
        <v>III - Atacama</v>
      </c>
      <c r="L912" s="5" t="str">
        <f>IFERROR(VLOOKUP(I912,[1]INFO_LOCALES!$B:$I,8,FALSE),"")</f>
        <v>Copiapó</v>
      </c>
      <c r="M912" s="5" t="str">
        <f>IFERROR(VLOOKUP(I912,[1]INFO_LOCALES!$B:$H,7,FALSE),"")</f>
        <v>Los Carreras  586</v>
      </c>
      <c r="N912" s="5">
        <f>IFERROR(VLOOKUP(I912,[1]INFO_LOCALES!$B:$E,4,FALSE),"")</f>
        <v>0</v>
      </c>
      <c r="O912" s="5" t="str">
        <f>VLOOKUP(Tabla2[[#This Row],[TIENDA]],[1]INFO_LOCALES!$B:$J,9,0)</f>
        <v>SIN CONVENIO</v>
      </c>
      <c r="P912" s="5" t="str">
        <f>IFERROR(VLOOKUP(I912,[1]INFO_LOCALES!$B:$F,5,FALSE),"")</f>
        <v>NUEVA ATACAMA</v>
      </c>
      <c r="Q912" s="5" t="s">
        <v>85</v>
      </c>
      <c r="R912" s="5" t="s">
        <v>86</v>
      </c>
      <c r="S912" s="6"/>
      <c r="T912" s="5" t="str">
        <f>UPPER(IF(Tabla2[[#This Row],[FECHA DE MUESTREO ]]=0,"",TEXT(Tabla2[[#This Row],[FECHA DE MUESTREO ]],("MMMM"))))</f>
        <v>MAYO</v>
      </c>
      <c r="U912" s="6">
        <v>46170</v>
      </c>
      <c r="V912" s="5" t="s">
        <v>59</v>
      </c>
      <c r="W9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12" s="7">
        <f t="shared" si="32"/>
        <v>1</v>
      </c>
      <c r="Y912" s="5">
        <v>15.7</v>
      </c>
      <c r="Z912" s="5">
        <v>6.79</v>
      </c>
      <c r="AA912" s="5">
        <v>2</v>
      </c>
      <c r="AB912" s="5">
        <v>19.63</v>
      </c>
      <c r="AC912" s="5">
        <v>32.299999999999997</v>
      </c>
      <c r="AD912" s="5">
        <v>3.2</v>
      </c>
      <c r="AE912" s="5">
        <v>7.6</v>
      </c>
      <c r="AF912" s="5">
        <v>0.1</v>
      </c>
      <c r="AG912" s="5">
        <v>8.3000000000000007</v>
      </c>
      <c r="AH912" s="5">
        <v>3.2</v>
      </c>
      <c r="AI912" s="5">
        <f t="shared" si="33"/>
        <v>96</v>
      </c>
    </row>
    <row r="913" spans="1:51" x14ac:dyDescent="0.25">
      <c r="A913" s="5" t="s">
        <v>52</v>
      </c>
      <c r="B913" s="5" t="e">
        <v>#N/A</v>
      </c>
      <c r="C913" s="5" t="e">
        <v>#N/A</v>
      </c>
      <c r="D913" s="5">
        <v>2026</v>
      </c>
      <c r="F913" s="24" t="s">
        <v>320</v>
      </c>
      <c r="G913" s="5" t="s">
        <v>61</v>
      </c>
      <c r="H913" s="5" t="s">
        <v>247</v>
      </c>
      <c r="I913" s="5">
        <v>25</v>
      </c>
      <c r="J913" s="5" t="str">
        <f>IFERROR(VLOOKUP(I913,[1]INFO_LOCALES!$B:$C,2,FALSE),"")</f>
        <v>EL PALOMAR</v>
      </c>
      <c r="K913" s="5" t="str">
        <f>IFERROR(VLOOKUP(Tabla2[[#This Row],[TIENDA]],[1]INFO_LOCALES!$B:$D,3,FALSE),"")</f>
        <v>III - Atacama</v>
      </c>
      <c r="L913" s="5" t="str">
        <f>IFERROR(VLOOKUP(I913,[1]INFO_LOCALES!$B:$I,8,FALSE),"")</f>
        <v>Copiapó</v>
      </c>
      <c r="M913" s="5" t="str">
        <f>IFERROR(VLOOKUP(I913,[1]INFO_LOCALES!$B:$H,7,FALSE),"")</f>
        <v>Av. Palomar 1525</v>
      </c>
      <c r="N913" s="5">
        <f>IFERROR(VLOOKUP(I913,[1]INFO_LOCALES!$B:$E,4,FALSE),"")</f>
        <v>3868</v>
      </c>
      <c r="O913" s="5" t="str">
        <f>VLOOKUP(Tabla2[[#This Row],[TIENDA]],[1]INFO_LOCALES!$B:$J,9,0)</f>
        <v>TERMINADO</v>
      </c>
      <c r="P913" s="5" t="str">
        <f>IFERROR(VLOOKUP(I913,[1]INFO_LOCALES!$B:$F,5,FALSE),"")</f>
        <v>NUEVA ATACAMA</v>
      </c>
      <c r="Q913" s="5" t="s">
        <v>85</v>
      </c>
      <c r="R913" s="5" t="s">
        <v>86</v>
      </c>
      <c r="S913" s="6"/>
      <c r="T913" s="5" t="str">
        <f>UPPER(IF(Tabla2[[#This Row],[FECHA DE MUESTREO ]]=0,"",TEXT(Tabla2[[#This Row],[FECHA DE MUESTREO ]],("MMMM"))))</f>
        <v>MAYO</v>
      </c>
      <c r="U913" s="6">
        <v>46171</v>
      </c>
      <c r="V913" s="5" t="s">
        <v>118</v>
      </c>
      <c r="W9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13" s="7">
        <f t="shared" si="32"/>
        <v>2</v>
      </c>
      <c r="Y913" s="5">
        <v>31.1</v>
      </c>
      <c r="Z913" s="5">
        <v>7.55</v>
      </c>
      <c r="AA913" s="5">
        <v>2.7</v>
      </c>
      <c r="AB913" s="5">
        <v>20.45</v>
      </c>
      <c r="AC913" s="5">
        <v>358</v>
      </c>
      <c r="AD913" s="5">
        <v>7.5</v>
      </c>
      <c r="AE913" s="5">
        <v>7.4</v>
      </c>
      <c r="AF913" s="5">
        <v>1.5</v>
      </c>
      <c r="AG913" s="5">
        <v>184</v>
      </c>
      <c r="AH913" s="5">
        <v>3.15</v>
      </c>
      <c r="AI913" s="5">
        <f t="shared" si="33"/>
        <v>94.5</v>
      </c>
      <c r="AJ913" s="5">
        <v>0.57999999999999996</v>
      </c>
      <c r="AK913" s="5">
        <v>3.0000000000000001E-3</v>
      </c>
      <c r="AL913" s="5">
        <v>1.925</v>
      </c>
      <c r="AM913" s="5">
        <v>4.0000000000000001E-3</v>
      </c>
      <c r="AN913" s="5">
        <v>2E-3</v>
      </c>
      <c r="AO913" s="5">
        <v>0.25700000000000001</v>
      </c>
      <c r="AP913" s="5">
        <v>8.5999999999999993E-2</v>
      </c>
      <c r="AQ913" s="5">
        <v>0.05</v>
      </c>
      <c r="AR913" s="5">
        <v>0.03</v>
      </c>
      <c r="AS913" s="5">
        <v>6.9</v>
      </c>
      <c r="AT913" s="5">
        <v>5.6000000000000001E-2</v>
      </c>
      <c r="AU913" s="5">
        <v>1E-3</v>
      </c>
      <c r="AV913" s="5">
        <v>1.4999999999999999E-2</v>
      </c>
      <c r="AW913" s="5">
        <v>0.04</v>
      </c>
      <c r="AX913" s="5">
        <v>309.5</v>
      </c>
      <c r="AY913" s="5">
        <v>0.03</v>
      </c>
    </row>
    <row r="914" spans="1:51" x14ac:dyDescent="0.25">
      <c r="A914" s="5" t="s">
        <v>52</v>
      </c>
      <c r="B914" s="5" t="e">
        <v>#N/A</v>
      </c>
      <c r="C914" s="5" t="e">
        <v>#N/A</v>
      </c>
      <c r="D914" s="5">
        <v>2026</v>
      </c>
      <c r="F914" s="24" t="s">
        <v>320</v>
      </c>
      <c r="G914" s="5" t="s">
        <v>65</v>
      </c>
      <c r="H914" s="5" t="s">
        <v>57</v>
      </c>
      <c r="I914" s="5">
        <v>32</v>
      </c>
      <c r="J914" s="5" t="str">
        <f>IFERROR(VLOOKUP(I914,[1]INFO_LOCALES!$B:$C,2,FALSE),"")</f>
        <v>CHAÑARCILLO</v>
      </c>
      <c r="K914" s="5" t="str">
        <f>IFERROR(VLOOKUP(Tabla2[[#This Row],[TIENDA]],[1]INFO_LOCALES!$B:$D,3,FALSE),"")</f>
        <v>III - Atacama</v>
      </c>
      <c r="L914" s="5" t="str">
        <f>IFERROR(VLOOKUP(I914,[1]INFO_LOCALES!$B:$I,8,FALSE),"")</f>
        <v>Copiapó</v>
      </c>
      <c r="M914" s="5" t="str">
        <f>IFERROR(VLOOKUP(I914,[1]INFO_LOCALES!$B:$H,7,FALSE),"")</f>
        <v>Chacabuco Nº 231</v>
      </c>
      <c r="N914" s="5">
        <f>IFERROR(VLOOKUP(I914,[1]INFO_LOCALES!$B:$E,4,FALSE),"")</f>
        <v>0</v>
      </c>
      <c r="O914" s="5" t="str">
        <f>VLOOKUP(Tabla2[[#This Row],[TIENDA]],[1]INFO_LOCALES!$B:$J,9,0)</f>
        <v>CONVENIO</v>
      </c>
      <c r="P914" s="5" t="str">
        <f>IFERROR(VLOOKUP(I914,[1]INFO_LOCALES!$B:$F,5,FALSE),"")</f>
        <v>NUEVA ATACAMA</v>
      </c>
      <c r="Q914" s="5" t="s">
        <v>85</v>
      </c>
      <c r="R914" s="5" t="s">
        <v>86</v>
      </c>
      <c r="S914" s="6"/>
      <c r="T914" s="5" t="str">
        <f>UPPER(IF(Tabla2[[#This Row],[FECHA DE MUESTREO ]]=0,"",TEXT(Tabla2[[#This Row],[FECHA DE MUESTREO ]],("MMMM"))))</f>
        <v>MAYO</v>
      </c>
      <c r="U914" s="6">
        <v>46158</v>
      </c>
      <c r="V914" s="5" t="s">
        <v>59</v>
      </c>
      <c r="W9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14" s="7">
        <f t="shared" si="32"/>
        <v>1</v>
      </c>
      <c r="Y914" s="5">
        <v>3.3</v>
      </c>
      <c r="Z914" s="5">
        <v>6.79</v>
      </c>
      <c r="AA914" s="5">
        <v>2</v>
      </c>
      <c r="AB914" s="5">
        <v>20.69</v>
      </c>
      <c r="AC914" s="5">
        <v>211.6</v>
      </c>
      <c r="AD914" s="5">
        <v>10.8</v>
      </c>
      <c r="AE914" s="5">
        <v>15.7</v>
      </c>
      <c r="AF914" s="5">
        <v>0.5</v>
      </c>
      <c r="AG914" s="5">
        <v>57</v>
      </c>
      <c r="AH914" s="5">
        <v>2.88</v>
      </c>
      <c r="AI914" s="5">
        <f t="shared" si="33"/>
        <v>86.399999999999991</v>
      </c>
    </row>
    <row r="915" spans="1:51" x14ac:dyDescent="0.25">
      <c r="A915" s="5" t="s">
        <v>52</v>
      </c>
      <c r="B915" s="5" t="e">
        <v>#N/A</v>
      </c>
      <c r="C915" s="5" t="e">
        <v>#N/A</v>
      </c>
      <c r="D915" s="5">
        <v>2026</v>
      </c>
      <c r="F915" s="24" t="s">
        <v>320</v>
      </c>
      <c r="G915" s="5" t="s">
        <v>61</v>
      </c>
      <c r="H915" s="5" t="s">
        <v>57</v>
      </c>
      <c r="I915" s="5">
        <v>465</v>
      </c>
      <c r="J915" s="5" t="str">
        <f>IFERROR(VLOOKUP(I915,[1]INFO_LOCALES!$B:$C,2,FALSE),"")</f>
        <v>PUERTO NATALES</v>
      </c>
      <c r="K915" s="5" t="str">
        <f>IFERROR(VLOOKUP(Tabla2[[#This Row],[TIENDA]],[1]INFO_LOCALES!$B:$D,3,FALSE),"")</f>
        <v>XII - Magallanes</v>
      </c>
      <c r="L915" s="5" t="str">
        <f>IFERROR(VLOOKUP(I915,[1]INFO_LOCALES!$B:$I,8,FALSE),"")</f>
        <v>Puerto Natales</v>
      </c>
      <c r="M915" s="5" t="str">
        <f>IFERROR(VLOOKUP(I915,[1]INFO_LOCALES!$B:$H,7,FALSE),"")</f>
        <v>Bulnes 742</v>
      </c>
      <c r="N915" s="5">
        <f>IFERROR(VLOOKUP(I915,[1]INFO_LOCALES!$B:$E,4,FALSE),"")</f>
        <v>1133</v>
      </c>
      <c r="O915" s="5" t="str">
        <f>VLOOKUP(Tabla2[[#This Row],[TIENDA]],[1]INFO_LOCALES!$B:$J,9,0)</f>
        <v>SIN CONVENIO</v>
      </c>
      <c r="P915" s="5" t="str">
        <f>IFERROR(VLOOKUP(I915,[1]INFO_LOCALES!$B:$F,5,FALSE),"")</f>
        <v>AGUAS MAGALLANES S.A.</v>
      </c>
      <c r="Q915" s="5" t="s">
        <v>85</v>
      </c>
      <c r="R915" s="5" t="s">
        <v>86</v>
      </c>
      <c r="S915" s="6"/>
      <c r="T915" s="5" t="str">
        <f>UPPER(IF(Tabla2[[#This Row],[FECHA DE MUESTREO ]]=0,"",TEXT(Tabla2[[#This Row],[FECHA DE MUESTREO ]],("MMMM"))))</f>
        <v>MAYO</v>
      </c>
      <c r="U915" s="6">
        <v>46158</v>
      </c>
      <c r="V915" s="5" t="s">
        <v>59</v>
      </c>
      <c r="W9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15" s="7">
        <f t="shared" si="32"/>
        <v>1</v>
      </c>
      <c r="Y915" s="5">
        <v>16.600000000000001</v>
      </c>
      <c r="Z915" s="5">
        <v>7.04</v>
      </c>
      <c r="AA915" s="5">
        <v>0.2</v>
      </c>
      <c r="AB915" s="5">
        <v>13.4</v>
      </c>
      <c r="AC915" s="5">
        <v>172.5</v>
      </c>
      <c r="AD915" s="5">
        <v>9.8000000000000007</v>
      </c>
      <c r="AE915" s="5">
        <v>11.5</v>
      </c>
      <c r="AF915" s="5">
        <v>0.5</v>
      </c>
      <c r="AG915" s="5">
        <v>79.3</v>
      </c>
      <c r="AH915" s="5">
        <v>4</v>
      </c>
      <c r="AI915" s="5">
        <f t="shared" si="33"/>
        <v>120</v>
      </c>
    </row>
    <row r="916" spans="1:51" x14ac:dyDescent="0.25">
      <c r="A916" s="5" t="s">
        <v>52</v>
      </c>
      <c r="D916" s="5">
        <v>2026</v>
      </c>
      <c r="E916" s="5" t="s">
        <v>321</v>
      </c>
      <c r="F916" s="24" t="s">
        <v>320</v>
      </c>
      <c r="G916" s="5" t="s">
        <v>61</v>
      </c>
      <c r="H916" s="5" t="s">
        <v>247</v>
      </c>
      <c r="I916" s="5">
        <v>458</v>
      </c>
      <c r="J916" s="5" t="str">
        <f>IFERROR(VLOOKUP(I916,[1]INFO_LOCALES!$B:$C,2,FALSE),"")</f>
        <v>ESPAÑA AUSTRAL</v>
      </c>
      <c r="K916" s="5" t="str">
        <f>IFERROR(VLOOKUP(Tabla2[[#This Row],[TIENDA]],[1]INFO_LOCALES!$B:$D,3,FALSE),"")</f>
        <v>XII - Magallanes</v>
      </c>
      <c r="L916" s="5" t="str">
        <f>IFERROR(VLOOKUP(I916,[1]INFO_LOCALES!$B:$I,8,FALSE),"")</f>
        <v>Punta Arenas</v>
      </c>
      <c r="M916" s="5" t="str">
        <f>IFERROR(VLOOKUP(I916,[1]INFO_LOCALES!$B:$H,7,FALSE),"")</f>
        <v>Av. España 01375</v>
      </c>
      <c r="N916" s="5">
        <f>IFERROR(VLOOKUP(I916,[1]INFO_LOCALES!$B:$E,4,FALSE),"")</f>
        <v>1306</v>
      </c>
      <c r="O916" s="5" t="str">
        <f>VLOOKUP(Tabla2[[#This Row],[TIENDA]],[1]INFO_LOCALES!$B:$J,9,0)</f>
        <v>SIN CONVENIO</v>
      </c>
      <c r="P916" s="5" t="str">
        <f>IFERROR(VLOOKUP(I916,[1]INFO_LOCALES!$B:$F,5,FALSE),"")</f>
        <v>AGUAS MAGALLANES S.A.</v>
      </c>
      <c r="Q916" s="5" t="s">
        <v>85</v>
      </c>
      <c r="R916" s="5" t="s">
        <v>86</v>
      </c>
      <c r="S916" s="6"/>
      <c r="T916" s="5" t="str">
        <f>UPPER(IF(Tabla2[[#This Row],[FECHA DE MUESTREO ]]=0,"",TEXT(Tabla2[[#This Row],[FECHA DE MUESTREO ]],("MMMM"))))</f>
        <v>MAYO</v>
      </c>
      <c r="U916" s="6">
        <v>46171</v>
      </c>
      <c r="V916" s="5" t="s">
        <v>59</v>
      </c>
      <c r="W9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16" s="7">
        <f t="shared" si="32"/>
        <v>2</v>
      </c>
      <c r="Y916" s="5">
        <v>56.3</v>
      </c>
      <c r="Z916" s="5">
        <v>7.41</v>
      </c>
      <c r="AA916" s="5">
        <v>3.7</v>
      </c>
      <c r="AB916" s="5">
        <v>8.1999999999999993</v>
      </c>
      <c r="AC916" s="5">
        <v>572.1</v>
      </c>
      <c r="AD916" s="5">
        <v>8.4</v>
      </c>
      <c r="AE916" s="5">
        <v>36.200000000000003</v>
      </c>
      <c r="AF916" s="5">
        <v>0.1</v>
      </c>
      <c r="AG916" s="5">
        <v>160</v>
      </c>
      <c r="AH916" s="5">
        <v>9</v>
      </c>
      <c r="AI916" s="5">
        <f t="shared" si="33"/>
        <v>270</v>
      </c>
    </row>
    <row r="917" spans="1:51" x14ac:dyDescent="0.25">
      <c r="A917" s="5" t="s">
        <v>52</v>
      </c>
      <c r="D917" s="5">
        <v>2026</v>
      </c>
      <c r="F917" s="24" t="s">
        <v>320</v>
      </c>
      <c r="G917" s="5" t="s">
        <v>61</v>
      </c>
      <c r="H917" s="5" t="s">
        <v>277</v>
      </c>
      <c r="I917" s="5">
        <v>459</v>
      </c>
      <c r="J917" s="5" t="str">
        <f>IFERROR(VLOOKUP(I917,[1]INFO_LOCALES!$B:$C,2,FALSE),"")</f>
        <v>ALLENDE AUSTRAL</v>
      </c>
      <c r="K917" s="5" t="str">
        <f>IFERROR(VLOOKUP(Tabla2[[#This Row],[TIENDA]],[1]INFO_LOCALES!$B:$D,3,FALSE),"")</f>
        <v>XII - Magallanes</v>
      </c>
      <c r="L917" s="5" t="str">
        <f>IFERROR(VLOOKUP(I917,[1]INFO_LOCALES!$B:$I,8,FALSE),"")</f>
        <v>Punta Arenas</v>
      </c>
      <c r="M917" s="5" t="str">
        <f>IFERROR(VLOOKUP(I917,[1]INFO_LOCALES!$B:$H,7,FALSE),"")</f>
        <v>Salvador Allende 0399</v>
      </c>
      <c r="N917" s="5">
        <f>IFERROR(VLOOKUP(I917,[1]INFO_LOCALES!$B:$E,4,FALSE),"")</f>
        <v>3735</v>
      </c>
      <c r="O917" s="5" t="str">
        <f>VLOOKUP(Tabla2[[#This Row],[TIENDA]],[1]INFO_LOCALES!$B:$J,9,0)</f>
        <v>SIN CONVENIO</v>
      </c>
      <c r="P917" s="5" t="str">
        <f>IFERROR(VLOOKUP(I917,[1]INFO_LOCALES!$B:$F,5,FALSE),"")</f>
        <v>AGUAS MAGALLANES S.A.</v>
      </c>
      <c r="Q917" s="5" t="s">
        <v>85</v>
      </c>
      <c r="R917" s="5" t="s">
        <v>86</v>
      </c>
      <c r="S917" s="6"/>
      <c r="T917" s="5" t="str">
        <f>UPPER(IF(Tabla2[[#This Row],[FECHA DE MUESTREO ]]=0,"",TEXT(Tabla2[[#This Row],[FECHA DE MUESTREO ]],("MMMM"))))</f>
        <v>MAYO</v>
      </c>
      <c r="U917" s="6">
        <v>46172</v>
      </c>
      <c r="V917" s="5" t="s">
        <v>59</v>
      </c>
      <c r="W9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17" s="7">
        <f t="shared" si="32"/>
        <v>1</v>
      </c>
      <c r="Y917" s="5">
        <v>23</v>
      </c>
      <c r="Z917" s="5">
        <v>7.43</v>
      </c>
      <c r="AA917" s="5">
        <v>2.2999999999999998</v>
      </c>
      <c r="AB917" s="5">
        <v>9</v>
      </c>
      <c r="AC917" s="5">
        <v>135.6</v>
      </c>
      <c r="AD917" s="5">
        <v>8.6999999999999993</v>
      </c>
      <c r="AE917" s="5">
        <v>12.8</v>
      </c>
      <c r="AF917" s="5">
        <v>1.7</v>
      </c>
      <c r="AG917" s="5">
        <v>108</v>
      </c>
      <c r="AH917" s="5">
        <v>8</v>
      </c>
      <c r="AI917" s="5">
        <f t="shared" si="33"/>
        <v>240</v>
      </c>
    </row>
    <row r="918" spans="1:51" x14ac:dyDescent="0.25">
      <c r="A918" s="5" t="s">
        <v>52</v>
      </c>
      <c r="D918" s="5">
        <v>2026</v>
      </c>
      <c r="F918" s="24" t="s">
        <v>320</v>
      </c>
      <c r="G918" s="5" t="s">
        <v>61</v>
      </c>
      <c r="H918" s="5" t="s">
        <v>277</v>
      </c>
      <c r="I918" s="5">
        <v>461</v>
      </c>
      <c r="J918" s="5" t="str">
        <f>IFERROR(VLOOKUP(I918,[1]INFO_LOCALES!$B:$C,2,FALSE),"")</f>
        <v>ZENTENO AUSTRAL</v>
      </c>
      <c r="K918" s="5" t="str">
        <f>IFERROR(VLOOKUP(Tabla2[[#This Row],[TIENDA]],[1]INFO_LOCALES!$B:$D,3,FALSE),"")</f>
        <v>XII - Magallanes</v>
      </c>
      <c r="L918" s="5" t="str">
        <f>IFERROR(VLOOKUP(I918,[1]INFO_LOCALES!$B:$I,8,FALSE),"")</f>
        <v>Punta Arenas</v>
      </c>
      <c r="M918" s="5" t="str">
        <f>IFERROR(VLOOKUP(I918,[1]INFO_LOCALES!$B:$H,7,FALSE),"")</f>
        <v>Capitan Guillermo 05</v>
      </c>
      <c r="N918" s="5">
        <f>IFERROR(VLOOKUP(I918,[1]INFO_LOCALES!$B:$E,4,FALSE),"")</f>
        <v>3736</v>
      </c>
      <c r="O918" s="5" t="str">
        <f>VLOOKUP(Tabla2[[#This Row],[TIENDA]],[1]INFO_LOCALES!$B:$J,9,0)</f>
        <v>SIN CONVENIO</v>
      </c>
      <c r="P918" s="5" t="str">
        <f>IFERROR(VLOOKUP(I918,[1]INFO_LOCALES!$B:$F,5,FALSE),"")</f>
        <v>AGUAS MAGALLANES S.A.</v>
      </c>
      <c r="Q918" s="5" t="s">
        <v>85</v>
      </c>
      <c r="R918" s="5" t="s">
        <v>86</v>
      </c>
      <c r="S918" s="6"/>
      <c r="T918" s="5" t="str">
        <f>UPPER(IF(Tabla2[[#This Row],[FECHA DE MUESTREO ]]=0,"",TEXT(Tabla2[[#This Row],[FECHA DE MUESTREO ]],("MMMM"))))</f>
        <v>MAYO</v>
      </c>
      <c r="U918" s="6">
        <v>46156</v>
      </c>
      <c r="V918" s="5" t="s">
        <v>59</v>
      </c>
      <c r="W9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18" s="7">
        <f t="shared" si="32"/>
        <v>1</v>
      </c>
      <c r="Y918" s="5">
        <v>21</v>
      </c>
      <c r="Z918" s="5">
        <v>6.09</v>
      </c>
      <c r="AA918" s="5">
        <v>2</v>
      </c>
      <c r="AB918" s="5">
        <v>7.4</v>
      </c>
      <c r="AC918" s="5">
        <v>78.599999999999994</v>
      </c>
      <c r="AD918" s="5">
        <v>3</v>
      </c>
      <c r="AE918" s="5">
        <v>12.1</v>
      </c>
      <c r="AF918" s="5">
        <v>0.5</v>
      </c>
      <c r="AG918" s="5">
        <v>28</v>
      </c>
      <c r="AH918" s="5">
        <v>27</v>
      </c>
      <c r="AI918" s="5">
        <f t="shared" si="33"/>
        <v>810</v>
      </c>
    </row>
    <row r="919" spans="1:51" x14ac:dyDescent="0.25">
      <c r="A919" s="5" t="s">
        <v>52</v>
      </c>
      <c r="D919" s="5">
        <v>2026</v>
      </c>
      <c r="E919" s="5" t="s">
        <v>300</v>
      </c>
      <c r="F919" s="24" t="s">
        <v>320</v>
      </c>
      <c r="G919" s="5" t="s">
        <v>241</v>
      </c>
      <c r="I919" s="5">
        <v>463</v>
      </c>
      <c r="J919" s="5" t="str">
        <f>IFERROR(VLOOKUP(I919,[1]INFO_LOCALES!$B:$C,2,FALSE),"")</f>
        <v>BORIES AUSTRAL</v>
      </c>
      <c r="K919" s="5" t="str">
        <f>IFERROR(VLOOKUP(Tabla2[[#This Row],[TIENDA]],[1]INFO_LOCALES!$B:$D,3,FALSE),"")</f>
        <v>XII - Magallanes</v>
      </c>
      <c r="L919" s="5" t="str">
        <f>IFERROR(VLOOKUP(I919,[1]INFO_LOCALES!$B:$I,8,FALSE),"")</f>
        <v>Punta Arenas</v>
      </c>
      <c r="M919" s="5" t="str">
        <f>IFERROR(VLOOKUP(I919,[1]INFO_LOCALES!$B:$H,7,FALSE),"")</f>
        <v>Gobernador Bories 647</v>
      </c>
      <c r="N919" s="5">
        <f>IFERROR(VLOOKUP(I919,[1]INFO_LOCALES!$B:$E,4,FALSE),"")</f>
        <v>3739</v>
      </c>
      <c r="O919" s="5" t="str">
        <f>VLOOKUP(Tabla2[[#This Row],[TIENDA]],[1]INFO_LOCALES!$B:$J,9,0)</f>
        <v>SIN CONVENIO</v>
      </c>
      <c r="P919" s="5" t="str">
        <f>IFERROR(VLOOKUP(I919,[1]INFO_LOCALES!$B:$F,5,FALSE),"")</f>
        <v>AGUAS MAGALLANES S.A.</v>
      </c>
      <c r="Q919" s="5" t="s">
        <v>85</v>
      </c>
      <c r="R919" s="5" t="s">
        <v>86</v>
      </c>
      <c r="S919" s="6"/>
      <c r="T919" s="5" t="str">
        <f>UPPER(IF(Tabla2[[#This Row],[FECHA DE MUESTREO ]]=0,"",TEXT(Tabla2[[#This Row],[FECHA DE MUESTREO ]],("MMMM"))))</f>
        <v/>
      </c>
      <c r="U919" s="6"/>
      <c r="V919" s="5" t="s">
        <v>59</v>
      </c>
      <c r="W9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19" s="7">
        <f t="shared" si="32"/>
        <v>1</v>
      </c>
      <c r="AI919" s="5">
        <f t="shared" si="33"/>
        <v>0</v>
      </c>
    </row>
    <row r="920" spans="1:51" x14ac:dyDescent="0.25">
      <c r="A920" s="5" t="s">
        <v>52</v>
      </c>
      <c r="D920" s="5">
        <v>2026</v>
      </c>
      <c r="F920" s="24" t="s">
        <v>320</v>
      </c>
      <c r="G920" s="5" t="s">
        <v>65</v>
      </c>
      <c r="H920" s="5" t="s">
        <v>57</v>
      </c>
      <c r="I920" s="5">
        <v>472</v>
      </c>
      <c r="J920" s="5" t="str">
        <f>IFERROR(VLOOKUP(I920,[1]INFO_LOCALES!$B:$C,2,FALSE),"")</f>
        <v>CALDERA I</v>
      </c>
      <c r="K920" s="5" t="str">
        <f>IFERROR(VLOOKUP(Tabla2[[#This Row],[TIENDA]],[1]INFO_LOCALES!$B:$D,3,FALSE),"")</f>
        <v>III - Atacama</v>
      </c>
      <c r="L920" s="5" t="str">
        <f>IFERROR(VLOOKUP(I920,[1]INFO_LOCALES!$B:$I,8,FALSE),"")</f>
        <v>Caldera</v>
      </c>
      <c r="M920" s="5" t="str">
        <f>IFERROR(VLOOKUP(I920,[1]INFO_LOCALES!$B:$H,7,FALSE),"")</f>
        <v>Batallon Atacama 319</v>
      </c>
      <c r="N920" s="5">
        <f>IFERROR(VLOOKUP(I920,[1]INFO_LOCALES!$B:$E,4,FALSE),"")</f>
        <v>0</v>
      </c>
      <c r="O920" s="5" t="str">
        <f>VLOOKUP(Tabla2[[#This Row],[TIENDA]],[1]INFO_LOCALES!$B:$J,9,0)</f>
        <v>CONVENIO</v>
      </c>
      <c r="P920" s="5" t="str">
        <f>IFERROR(VLOOKUP(I920,[1]INFO_LOCALES!$B:$F,5,FALSE),"")</f>
        <v>NUEVA ATACAMA</v>
      </c>
      <c r="Q920" s="5" t="s">
        <v>85</v>
      </c>
      <c r="R920" s="5" t="s">
        <v>86</v>
      </c>
      <c r="S920" s="6"/>
      <c r="T920" s="5" t="str">
        <f>UPPER(IF(Tabla2[[#This Row],[FECHA DE MUESTREO ]]=0,"",TEXT(Tabla2[[#This Row],[FECHA DE MUESTREO ]],("MMMM"))))</f>
        <v>MAYO</v>
      </c>
      <c r="U920" s="6">
        <v>46150</v>
      </c>
      <c r="V920" s="5" t="s">
        <v>59</v>
      </c>
      <c r="W9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20" s="7">
        <f t="shared" si="32"/>
        <v>1</v>
      </c>
      <c r="Y920" s="5">
        <v>24.6</v>
      </c>
      <c r="Z920" s="5">
        <v>6.78</v>
      </c>
      <c r="AA920" s="5">
        <v>4.7</v>
      </c>
      <c r="AB920" s="5">
        <v>19.98</v>
      </c>
      <c r="AC920" s="5">
        <v>206.2</v>
      </c>
      <c r="AD920" s="5">
        <v>9.6</v>
      </c>
      <c r="AE920" s="5">
        <v>15.9</v>
      </c>
      <c r="AF920" s="5">
        <v>2</v>
      </c>
      <c r="AG920" s="5">
        <v>86.3</v>
      </c>
      <c r="AH920" s="5">
        <v>2.97</v>
      </c>
      <c r="AI920" s="5">
        <f t="shared" si="33"/>
        <v>89.100000000000009</v>
      </c>
    </row>
    <row r="921" spans="1:51" x14ac:dyDescent="0.25">
      <c r="A921" s="5" t="s">
        <v>52</v>
      </c>
      <c r="D921" s="5">
        <v>2026</v>
      </c>
      <c r="E921" s="5" t="s">
        <v>322</v>
      </c>
      <c r="F921" s="24" t="s">
        <v>320</v>
      </c>
      <c r="G921" s="5" t="s">
        <v>323</v>
      </c>
      <c r="H921" s="5" t="s">
        <v>277</v>
      </c>
      <c r="I921" s="5">
        <v>576</v>
      </c>
      <c r="J921" s="5" t="str">
        <f>IFERROR(VLOOKUP(I921,[1]INFO_LOCALES!$B:$C,2,FALSE),"")</f>
        <v>CASTRO I</v>
      </c>
      <c r="K921" s="5" t="str">
        <f>IFERROR(VLOOKUP(Tabla2[[#This Row],[TIENDA]],[1]INFO_LOCALES!$B:$D,3,FALSE),"")</f>
        <v>X - Los Lagos</v>
      </c>
      <c r="L921" s="5" t="str">
        <f>IFERROR(VLOOKUP(I921,[1]INFO_LOCALES!$B:$I,8,FALSE),"")</f>
        <v>Castro</v>
      </c>
      <c r="M921" s="5" t="str">
        <f>IFERROR(VLOOKUP(I921,[1]INFO_LOCALES!$B:$H,7,FALSE),"")</f>
        <v>O'Higgins 711</v>
      </c>
      <c r="N921" s="5">
        <f>IFERROR(VLOOKUP(I921,[1]INFO_LOCALES!$B:$E,4,FALSE),"")</f>
        <v>3875</v>
      </c>
      <c r="O921" s="5" t="str">
        <f>VLOOKUP(Tabla2[[#This Row],[TIENDA]],[1]INFO_LOCALES!$B:$J,9,0)</f>
        <v>SIN CONVENIO</v>
      </c>
      <c r="P921" s="5" t="str">
        <f>IFERROR(VLOOKUP(I921,[1]INFO_LOCALES!$B:$F,5,FALSE),"")</f>
        <v>SURALIS</v>
      </c>
      <c r="Q921" s="5" t="s">
        <v>85</v>
      </c>
      <c r="R921" s="5" t="s">
        <v>86</v>
      </c>
      <c r="S921" s="6"/>
      <c r="T921" s="5" t="str">
        <f>UPPER(IF(Tabla2[[#This Row],[FECHA DE MUESTREO ]]=0,"",TEXT(Tabla2[[#This Row],[FECHA DE MUESTREO ]],("MMMM"))))</f>
        <v>MAYO</v>
      </c>
      <c r="U921" s="6">
        <v>46169</v>
      </c>
      <c r="V921" s="5" t="s">
        <v>59</v>
      </c>
      <c r="W9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21" s="7">
        <f t="shared" si="32"/>
        <v>1</v>
      </c>
      <c r="Y921" s="5">
        <v>12.7</v>
      </c>
      <c r="Z921" s="5">
        <v>5.43</v>
      </c>
      <c r="AA921" s="5">
        <v>3.7</v>
      </c>
      <c r="AB921" s="5">
        <v>12.8</v>
      </c>
      <c r="AC921" s="5">
        <v>271.3</v>
      </c>
      <c r="AD921" s="5">
        <v>4.3</v>
      </c>
      <c r="AE921" s="5">
        <v>27.1</v>
      </c>
      <c r="AF921" s="5">
        <v>0.5</v>
      </c>
      <c r="AG921" s="5">
        <v>46.7</v>
      </c>
      <c r="AH921" s="5">
        <v>389</v>
      </c>
      <c r="AI921" s="5">
        <f t="shared" si="33"/>
        <v>11670</v>
      </c>
    </row>
    <row r="922" spans="1:51" x14ac:dyDescent="0.25">
      <c r="A922" s="5" t="s">
        <v>152</v>
      </c>
      <c r="D922" s="5">
        <v>2026</v>
      </c>
      <c r="F922" s="24" t="s">
        <v>320</v>
      </c>
      <c r="G922" s="5" t="s">
        <v>61</v>
      </c>
      <c r="H922" s="5" t="s">
        <v>57</v>
      </c>
      <c r="I922" s="5">
        <v>3014</v>
      </c>
      <c r="J922" s="5" t="str">
        <f>IFERROR(VLOOKUP(I922,[1]INFO_LOCALES!$B:$C,2,FALSE),"")</f>
        <v>M10 SAN FERNANDO</v>
      </c>
      <c r="K922" s="5" t="str">
        <f>IFERROR(VLOOKUP(Tabla2[[#This Row],[TIENDA]],[1]INFO_LOCALES!$B:$D,3,FALSE),"")</f>
        <v>VI - O'Higgins</v>
      </c>
      <c r="L922" s="5" t="str">
        <f>IFERROR(VLOOKUP(I922,[1]INFO_LOCALES!$B:$I,8,FALSE),"")</f>
        <v>San Fernando</v>
      </c>
      <c r="M922" s="5" t="str">
        <f>IFERROR(VLOOKUP(I922,[1]INFO_LOCALES!$B:$H,7,FALSE),"")</f>
        <v>Chillan 745</v>
      </c>
      <c r="N922" s="5">
        <f>IFERROR(VLOOKUP(I922,[1]INFO_LOCALES!$B:$E,4,FALSE),"")</f>
        <v>1298</v>
      </c>
      <c r="O922" s="5" t="str">
        <f>VLOOKUP(Tabla2[[#This Row],[TIENDA]],[1]INFO_LOCALES!$B:$J,9,0)</f>
        <v>TERMINADO</v>
      </c>
      <c r="P922" s="5" t="str">
        <f>IFERROR(VLOOKUP(I922,[1]INFO_LOCALES!$B:$F,5,FALSE),"")</f>
        <v>ESSBIO S.A.</v>
      </c>
      <c r="Q922" s="5" t="s">
        <v>85</v>
      </c>
      <c r="R922" s="5" t="s">
        <v>86</v>
      </c>
      <c r="S922" s="6"/>
      <c r="T922" s="5" t="str">
        <f>UPPER(IF(Tabla2[[#This Row],[FECHA DE MUESTREO ]]=0,"",TEXT(Tabla2[[#This Row],[FECHA DE MUESTREO ]],("MMMM"))))</f>
        <v>MAYO</v>
      </c>
      <c r="U922" s="6">
        <v>46153</v>
      </c>
      <c r="V922" s="5" t="s">
        <v>59</v>
      </c>
      <c r="W9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22" s="7">
        <f t="shared" si="32"/>
        <v>1</v>
      </c>
      <c r="Y922" s="5">
        <v>36.700000000000003</v>
      </c>
      <c r="Z922" s="5">
        <v>7.33</v>
      </c>
      <c r="AA922" s="5">
        <v>2.7</v>
      </c>
      <c r="AB922" s="5">
        <v>16.489999999999998</v>
      </c>
      <c r="AC922" s="5">
        <v>86.3</v>
      </c>
      <c r="AD922" s="5">
        <v>6.4</v>
      </c>
      <c r="AE922" s="5">
        <v>14.3</v>
      </c>
      <c r="AF922" s="5">
        <v>2</v>
      </c>
      <c r="AG922" s="5">
        <v>82.7</v>
      </c>
      <c r="AH922" s="5">
        <v>2.39</v>
      </c>
      <c r="AI922" s="5">
        <f t="shared" si="33"/>
        <v>71.7</v>
      </c>
    </row>
    <row r="923" spans="1:51" x14ac:dyDescent="0.25">
      <c r="A923" s="5" t="s">
        <v>60</v>
      </c>
      <c r="D923" s="5">
        <v>2026</v>
      </c>
      <c r="F923" s="24" t="s">
        <v>320</v>
      </c>
      <c r="G923" s="5" t="s">
        <v>61</v>
      </c>
      <c r="H923" s="5" t="s">
        <v>277</v>
      </c>
      <c r="I923" s="5">
        <v>3022</v>
      </c>
      <c r="J923" s="5" t="str">
        <f>IFERROR(VLOOKUP(I923,[1]INFO_LOCALES!$B:$C,2,FALSE),"")</f>
        <v>M10 TEMUCO II</v>
      </c>
      <c r="K923" s="5" t="str">
        <f>IFERROR(VLOOKUP(Tabla2[[#This Row],[TIENDA]],[1]INFO_LOCALES!$B:$D,3,FALSE),"")</f>
        <v>IX - Araucanía</v>
      </c>
      <c r="L923" s="5" t="str">
        <f>IFERROR(VLOOKUP(I923,[1]INFO_LOCALES!$B:$I,8,FALSE),"")</f>
        <v>Temuco</v>
      </c>
      <c r="M923" s="5" t="str">
        <f>IFERROR(VLOOKUP(I923,[1]INFO_LOCALES!$B:$H,7,FALSE),"")</f>
        <v>Pedro De Valdivia 2285</v>
      </c>
      <c r="N923" s="5">
        <f>IFERROR(VLOOKUP(I923,[1]INFO_LOCALES!$B:$E,4,FALSE),"")</f>
        <v>3721</v>
      </c>
      <c r="O923" s="5" t="str">
        <f>VLOOKUP(Tabla2[[#This Row],[TIENDA]],[1]INFO_LOCALES!$B:$J,9,0)</f>
        <v>CONVENIO</v>
      </c>
      <c r="P923" s="5" t="str">
        <f>IFERROR(VLOOKUP(I923,[1]INFO_LOCALES!$B:$F,5,FALSE),"")</f>
        <v>AGUAS ARAUCANIA S A</v>
      </c>
      <c r="Q923" s="5" t="s">
        <v>85</v>
      </c>
      <c r="R923" s="5" t="s">
        <v>86</v>
      </c>
      <c r="S923" s="6"/>
      <c r="T923" s="5" t="str">
        <f>UPPER(IF(Tabla2[[#This Row],[FECHA DE MUESTREO ]]=0,"",TEXT(Tabla2[[#This Row],[FECHA DE MUESTREO ]],("MMMM"))))</f>
        <v>MAYO</v>
      </c>
      <c r="U923" s="6">
        <v>46156</v>
      </c>
      <c r="V923" s="5" t="s">
        <v>59</v>
      </c>
      <c r="W9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23" s="7">
        <f t="shared" si="32"/>
        <v>1</v>
      </c>
      <c r="Y923" s="5">
        <v>16.100000000000001</v>
      </c>
      <c r="Z923" s="5">
        <v>6.64</v>
      </c>
      <c r="AA923" s="5">
        <v>2</v>
      </c>
      <c r="AB923" s="5">
        <v>16.78</v>
      </c>
      <c r="AC923" s="5">
        <v>198</v>
      </c>
      <c r="AD923" s="5">
        <v>3.3</v>
      </c>
      <c r="AE923" s="5">
        <v>13.4</v>
      </c>
      <c r="AF923" s="5">
        <v>4</v>
      </c>
      <c r="AG923" s="5">
        <v>69</v>
      </c>
      <c r="AH923" s="5">
        <v>28</v>
      </c>
      <c r="AI923" s="5">
        <f t="shared" si="33"/>
        <v>840</v>
      </c>
    </row>
    <row r="924" spans="1:51" x14ac:dyDescent="0.25">
      <c r="A924" s="5" t="s">
        <v>210</v>
      </c>
      <c r="D924" s="5">
        <v>2026</v>
      </c>
      <c r="F924" s="24" t="s">
        <v>320</v>
      </c>
      <c r="G924" s="5" t="s">
        <v>65</v>
      </c>
      <c r="H924" s="5" t="s">
        <v>57</v>
      </c>
      <c r="I924" s="5">
        <v>9051</v>
      </c>
      <c r="J924" s="5" t="str">
        <f>IFERROR(VLOOKUP(I924,[1]INFO_LOCALES!$B:$C,2,FALSE),"")</f>
        <v>CD NUEVO COQUIMBO</v>
      </c>
      <c r="K924" s="5" t="str">
        <f>IFERROR(VLOOKUP(Tabla2[[#This Row],[TIENDA]],[1]INFO_LOCALES!$B:$D,3,FALSE),"")</f>
        <v>IV - Coquimbo</v>
      </c>
      <c r="L924" s="5" t="str">
        <f>IFERROR(VLOOKUP(I924,[1]INFO_LOCALES!$B:$I,8,FALSE),"")</f>
        <v>Coquimbo</v>
      </c>
      <c r="M924" s="5" t="str">
        <f>IFERROR(VLOOKUP(I924,[1]INFO_LOCALES!$B:$H,7,FALSE),"")</f>
        <v>PAN DE AZUCAR S/N</v>
      </c>
      <c r="N924" s="5">
        <f>IFERROR(VLOOKUP(I924,[1]INFO_LOCALES!$B:$E,4,FALSE),"")</f>
        <v>0</v>
      </c>
      <c r="O924" s="5" t="str">
        <f>VLOOKUP(Tabla2[[#This Row],[TIENDA]],[1]INFO_LOCALES!$B:$J,9,0)</f>
        <v>SIN CONVENIO</v>
      </c>
      <c r="P924" s="5" t="str">
        <f>IFERROR(VLOOKUP(I924,[1]INFO_LOCALES!$B:$F,5,FALSE),"")</f>
        <v>RENTAS COQUIMBO SPA</v>
      </c>
      <c r="Q924" s="5" t="s">
        <v>85</v>
      </c>
      <c r="R924" s="5" t="s">
        <v>86</v>
      </c>
      <c r="S924" s="6"/>
      <c r="T924" s="5" t="str">
        <f>UPPER(IF(Tabla2[[#This Row],[FECHA DE MUESTREO ]]=0,"",TEXT(Tabla2[[#This Row],[FECHA DE MUESTREO ]],("MMMM"))))</f>
        <v>MAYO</v>
      </c>
      <c r="U924" s="6">
        <v>46155</v>
      </c>
      <c r="V924" s="5" t="s">
        <v>118</v>
      </c>
      <c r="W9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24" s="7">
        <f t="shared" si="32"/>
        <v>1</v>
      </c>
      <c r="Y924" s="5">
        <v>12.7</v>
      </c>
      <c r="Z924" s="5">
        <v>7.8</v>
      </c>
      <c r="AA924" s="5">
        <v>2</v>
      </c>
      <c r="AB924" s="5">
        <v>20.100000000000001</v>
      </c>
      <c r="AC924" s="5">
        <v>44.8</v>
      </c>
      <c r="AD924" s="5">
        <v>8.6999999999999993</v>
      </c>
      <c r="AG924" s="5">
        <v>22.4</v>
      </c>
      <c r="AI924" s="5">
        <f t="shared" si="33"/>
        <v>0</v>
      </c>
      <c r="AJ924" s="5">
        <v>0.12</v>
      </c>
      <c r="AK924" s="5">
        <v>3.0000000000000001E-3</v>
      </c>
      <c r="AL924" s="5">
        <v>0.23</v>
      </c>
      <c r="AM924" s="5">
        <v>4.0000000000000001E-3</v>
      </c>
      <c r="AN924" s="5">
        <v>2E-3</v>
      </c>
      <c r="AO924" s="5">
        <v>0.14899999999999999</v>
      </c>
      <c r="AP924" s="5">
        <v>7.0000000000000001E-3</v>
      </c>
      <c r="AT924" s="5">
        <v>2.5999999999999999E-2</v>
      </c>
      <c r="AU924" s="5">
        <v>1E-3</v>
      </c>
      <c r="AV924" s="5">
        <v>1.4999999999999999E-2</v>
      </c>
      <c r="AW924" s="5">
        <v>0.04</v>
      </c>
      <c r="AX924" s="5">
        <v>210.1</v>
      </c>
      <c r="AY924" s="5">
        <v>0.03</v>
      </c>
    </row>
    <row r="925" spans="1:51" x14ac:dyDescent="0.25">
      <c r="A925" s="5" t="s">
        <v>210</v>
      </c>
      <c r="D925" s="5">
        <v>2026</v>
      </c>
      <c r="F925" s="24" t="s">
        <v>320</v>
      </c>
      <c r="G925" s="5" t="s">
        <v>61</v>
      </c>
      <c r="H925" s="5" t="s">
        <v>57</v>
      </c>
      <c r="I925" s="5">
        <v>9139</v>
      </c>
      <c r="J925" s="5" t="str">
        <f>IFERROR(VLOOKUP(I925,[1]INFO_LOCALES!$B:$C,2,FALSE),"")</f>
        <v>CD LO AGUIRRE</v>
      </c>
      <c r="K925" s="5" t="str">
        <f>IFERROR(VLOOKUP(Tabla2[[#This Row],[TIENDA]],[1]INFO_LOCALES!$B:$D,3,FALSE),"")</f>
        <v>RM - Santiago</v>
      </c>
      <c r="L925" s="5" t="str">
        <f>IFERROR(VLOOKUP(I925,[1]INFO_LOCALES!$B:$I,8,FALSE),"")</f>
        <v>Pudahuel</v>
      </c>
      <c r="M925" s="5" t="str">
        <f>IFERROR(VLOOKUP(I925,[1]INFO_LOCALES!$B:$H,7,FALSE),"")</f>
        <v>CAMINO LO AGUIRRE SUR 537</v>
      </c>
      <c r="N925" s="5">
        <f>IFERROR(VLOOKUP(I925,[1]INFO_LOCALES!$B:$E,4,FALSE),"")</f>
        <v>3552</v>
      </c>
      <c r="O925" s="5" t="str">
        <f>VLOOKUP(Tabla2[[#This Row],[TIENDA]],[1]INFO_LOCALES!$B:$J,9,0)</f>
        <v>SIN CONVENIO</v>
      </c>
      <c r="P925" s="5" t="str">
        <f>IFERROR(VLOOKUP(I925,[1]INFO_LOCALES!$B:$F,5,FALSE),"")</f>
        <v>AGUAS IZARRA</v>
      </c>
      <c r="Q925" s="5" t="s">
        <v>85</v>
      </c>
      <c r="R925" s="5" t="s">
        <v>86</v>
      </c>
      <c r="S925" s="6"/>
      <c r="T925" s="5" t="str">
        <f>UPPER(IF(Tabla2[[#This Row],[FECHA DE MUESTREO ]]=0,"",TEXT(Tabla2[[#This Row],[FECHA DE MUESTREO ]],("MMMM"))))</f>
        <v>MAYO</v>
      </c>
      <c r="U925" s="6">
        <v>46146</v>
      </c>
      <c r="V925" s="5" t="s">
        <v>59</v>
      </c>
      <c r="W9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25" s="7">
        <f t="shared" si="32"/>
        <v>1</v>
      </c>
      <c r="Y925" s="5">
        <v>12.3</v>
      </c>
      <c r="Z925" s="5">
        <v>6.89</v>
      </c>
      <c r="AA925" s="5">
        <v>6.3</v>
      </c>
      <c r="AB925" s="5">
        <v>22.57</v>
      </c>
      <c r="AC925" s="5">
        <v>126.9</v>
      </c>
      <c r="AD925" s="5">
        <v>5.5</v>
      </c>
      <c r="AE925" s="5">
        <v>18.600000000000001</v>
      </c>
      <c r="AF925" s="5">
        <v>1.5</v>
      </c>
      <c r="AG925" s="5">
        <v>46.7</v>
      </c>
      <c r="AH925" s="5">
        <v>9.93</v>
      </c>
      <c r="AI925" s="5">
        <f t="shared" si="33"/>
        <v>297.89999999999998</v>
      </c>
      <c r="AS925" s="5">
        <v>2.0099999999999998</v>
      </c>
    </row>
    <row r="926" spans="1:51" x14ac:dyDescent="0.25">
      <c r="A926" s="5" t="s">
        <v>52</v>
      </c>
      <c r="D926" s="5">
        <v>2026</v>
      </c>
      <c r="F926" s="24" t="s">
        <v>320</v>
      </c>
      <c r="G926" s="5" t="s">
        <v>61</v>
      </c>
      <c r="H926" s="5" t="s">
        <v>57</v>
      </c>
      <c r="I926" s="5">
        <v>46</v>
      </c>
      <c r="J926" s="5" t="str">
        <f>IFERROR(VLOOKUP(I926,[1]INFO_LOCALES!$B:$C,2,FALSE),"")</f>
        <v>CALAMA I</v>
      </c>
      <c r="K926" s="5" t="str">
        <f>IFERROR(VLOOKUP(Tabla2[[#This Row],[TIENDA]],[1]INFO_LOCALES!$B:$D,3,FALSE),"")</f>
        <v>II - Antofagasta</v>
      </c>
      <c r="L926" s="5" t="str">
        <f>IFERROR(VLOOKUP(I926,[1]INFO_LOCALES!$B:$I,8,FALSE),"")</f>
        <v>Calama</v>
      </c>
      <c r="M926" s="5" t="str">
        <f>IFERROR(VLOOKUP(I926,[1]INFO_LOCALES!$B:$H,7,FALSE),"")</f>
        <v>Granaderos 3180</v>
      </c>
      <c r="N926" s="5">
        <f>IFERROR(VLOOKUP(I926,[1]INFO_LOCALES!$B:$E,4,FALSE),"")</f>
        <v>3035</v>
      </c>
      <c r="O926" s="5" t="str">
        <f>VLOOKUP(Tabla2[[#This Row],[TIENDA]],[1]INFO_LOCALES!$B:$J,9,0)</f>
        <v>SIN CONVENIO</v>
      </c>
      <c r="P926" s="5" t="str">
        <f>IFERROR(VLOOKUP(I926,[1]INFO_LOCALES!$B:$F,5,FALSE),"")</f>
        <v>AGUAS DE ANTOFAGASTA S A</v>
      </c>
      <c r="Q926" s="5" t="s">
        <v>85</v>
      </c>
      <c r="R926" s="5" t="s">
        <v>86</v>
      </c>
      <c r="S926" s="6"/>
      <c r="T926" s="5" t="str">
        <f>UPPER(IF(Tabla2[[#This Row],[FECHA DE MUESTREO ]]=0,"",TEXT(Tabla2[[#This Row],[FECHA DE MUESTREO ]],("MMMM"))))</f>
        <v>MAYO</v>
      </c>
      <c r="U926" s="6">
        <v>46155</v>
      </c>
      <c r="V926" s="5" t="s">
        <v>59</v>
      </c>
      <c r="W9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26" s="7">
        <f t="shared" si="32"/>
        <v>2</v>
      </c>
      <c r="Y926" s="5">
        <v>23.6</v>
      </c>
      <c r="Z926" s="5">
        <v>8</v>
      </c>
      <c r="AA926" s="5">
        <v>2</v>
      </c>
      <c r="AB926" s="5">
        <v>17.190000000000001</v>
      </c>
      <c r="AC926" s="5">
        <v>431</v>
      </c>
      <c r="AD926" s="5">
        <v>7</v>
      </c>
      <c r="AE926" s="5">
        <v>80</v>
      </c>
      <c r="AF926" s="5">
        <v>0.5</v>
      </c>
      <c r="AG926" s="5">
        <v>100</v>
      </c>
      <c r="AH926" s="5">
        <v>6</v>
      </c>
      <c r="AI926" s="5">
        <f t="shared" si="33"/>
        <v>180</v>
      </c>
    </row>
    <row r="927" spans="1:51" x14ac:dyDescent="0.25">
      <c r="A927" s="5" t="s">
        <v>52</v>
      </c>
      <c r="D927" s="5">
        <v>2026</v>
      </c>
      <c r="F927" s="5" t="s">
        <v>58</v>
      </c>
      <c r="G927" s="5" t="s">
        <v>229</v>
      </c>
      <c r="H927" s="5" t="s">
        <v>277</v>
      </c>
      <c r="I927" s="5">
        <v>750</v>
      </c>
      <c r="J927" s="5" t="str">
        <f>IFERROR(VLOOKUP(I927,[1]INFO_LOCALES!$B:$C,2,FALSE),"")</f>
        <v>CAÑETE</v>
      </c>
      <c r="K927" s="5" t="str">
        <f>IFERROR(VLOOKUP(Tabla2[[#This Row],[TIENDA]],[1]INFO_LOCALES!$B:$D,3,FALSE),"")</f>
        <v>VIII - Biobío</v>
      </c>
      <c r="L927" s="5" t="str">
        <f>IFERROR(VLOOKUP(I927,[1]INFO_LOCALES!$B:$I,8,FALSE),"")</f>
        <v>Cañete</v>
      </c>
      <c r="M927" s="5" t="str">
        <f>IFERROR(VLOOKUP(I927,[1]INFO_LOCALES!$B:$H,7,FALSE),"")</f>
        <v>Saavedra 525</v>
      </c>
      <c r="N927" s="5">
        <f>IFERROR(VLOOKUP(I927,[1]INFO_LOCALES!$B:$E,4,FALSE),"")</f>
        <v>0</v>
      </c>
      <c r="O927" s="5" t="str">
        <f>VLOOKUP(Tabla2[[#This Row],[TIENDA]],[1]INFO_LOCALES!$B:$J,9,0)</f>
        <v>SIN CONVENIO</v>
      </c>
      <c r="P927" s="5" t="str">
        <f>IFERROR(VLOOKUP(I927,[1]INFO_LOCALES!$B:$F,5,FALSE),"")</f>
        <v>ESSBIO S.A.</v>
      </c>
      <c r="Q927" s="5" t="s">
        <v>66</v>
      </c>
      <c r="R927" s="5" t="s">
        <v>58</v>
      </c>
      <c r="S927" s="6"/>
      <c r="T927" s="5" t="str">
        <f>UPPER(IF(Tabla2[[#This Row],[FECHA DE MUESTREO ]]=0,"",TEXT(Tabla2[[#This Row],[FECHA DE MUESTREO ]],("MMMM"))))</f>
        <v>MARZO</v>
      </c>
      <c r="U927" s="6">
        <v>46090</v>
      </c>
      <c r="V927" s="5" t="s">
        <v>59</v>
      </c>
      <c r="W9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27" s="7">
        <f t="shared" si="32"/>
        <v>2</v>
      </c>
      <c r="Y927" s="5">
        <v>21.3</v>
      </c>
      <c r="Z927" s="5">
        <v>7.84</v>
      </c>
      <c r="AA927" s="5">
        <v>2</v>
      </c>
      <c r="AB927" s="5">
        <v>15.2</v>
      </c>
      <c r="AC927" s="5">
        <v>455</v>
      </c>
      <c r="AD927" s="5">
        <v>2.17</v>
      </c>
      <c r="AE927" s="5">
        <v>50.4</v>
      </c>
      <c r="AG927" s="5">
        <v>248</v>
      </c>
      <c r="AH927" s="5">
        <v>0.08</v>
      </c>
      <c r="AI927" s="5">
        <f t="shared" si="33"/>
        <v>2.4</v>
      </c>
    </row>
    <row r="928" spans="1:51" x14ac:dyDescent="0.25">
      <c r="A928" s="5" t="s">
        <v>52</v>
      </c>
      <c r="D928" s="5">
        <v>2026</v>
      </c>
      <c r="F928" s="5" t="s">
        <v>58</v>
      </c>
      <c r="G928" s="5" t="s">
        <v>56</v>
      </c>
      <c r="H928" s="5" t="s">
        <v>249</v>
      </c>
      <c r="I928" s="5">
        <v>111</v>
      </c>
      <c r="J928" s="5" t="str">
        <f>IFERROR(VLOOKUP(I928,[1]INFO_LOCALES!$B:$C,2,FALSE),"")</f>
        <v>CALAMA II</v>
      </c>
      <c r="K928" s="5" t="str">
        <f>IFERROR(VLOOKUP(Tabla2[[#This Row],[TIENDA]],[1]INFO_LOCALES!$B:$D,3,FALSE),"")</f>
        <v>II - Antofagasta</v>
      </c>
      <c r="L928" s="5" t="str">
        <f>IFERROR(VLOOKUP(I928,[1]INFO_LOCALES!$B:$I,8,FALSE),"")</f>
        <v>Calama</v>
      </c>
      <c r="M928" s="5" t="str">
        <f>IFERROR(VLOOKUP(I928,[1]INFO_LOCALES!$B:$H,7,FALSE),"")</f>
        <v>Aconcagua 2588</v>
      </c>
      <c r="N928" s="5">
        <f>IFERROR(VLOOKUP(I928,[1]INFO_LOCALES!$B:$E,4,FALSE),"")</f>
        <v>2966</v>
      </c>
      <c r="O928" s="5" t="str">
        <f>VLOOKUP(Tabla2[[#This Row],[TIENDA]],[1]INFO_LOCALES!$B:$J,9,0)</f>
        <v>SIN CONVENIO</v>
      </c>
      <c r="P928" s="5" t="str">
        <f>IFERROR(VLOOKUP(I928,[1]INFO_LOCALES!$B:$F,5,FALSE),"")</f>
        <v>AGUAS DE ANTOFAGASTA S A</v>
      </c>
      <c r="Q928" s="5" t="s">
        <v>105</v>
      </c>
      <c r="R928" s="5" t="s">
        <v>58</v>
      </c>
      <c r="S928" s="6"/>
      <c r="T928" s="5" t="str">
        <f>UPPER(IF(Tabla2[[#This Row],[FECHA DE MUESTREO ]]=0,"",TEXT(Tabla2[[#This Row],[FECHA DE MUESTREO ]],("MMMM"))))</f>
        <v>MARZO</v>
      </c>
      <c r="U928" s="6">
        <v>46106</v>
      </c>
      <c r="V928" s="5" t="s">
        <v>59</v>
      </c>
      <c r="W9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928" s="7">
        <f t="shared" si="32"/>
        <v>3</v>
      </c>
      <c r="Y928" s="5">
        <v>113</v>
      </c>
      <c r="Z928" s="5">
        <v>7.2</v>
      </c>
      <c r="AA928" s="5">
        <v>0.8</v>
      </c>
      <c r="AB928" s="5">
        <v>21.9</v>
      </c>
      <c r="AC928" s="5">
        <v>810</v>
      </c>
      <c r="AD928" s="5">
        <v>15.27</v>
      </c>
      <c r="AE928" s="5">
        <v>23.67</v>
      </c>
      <c r="AF928" s="5">
        <v>125</v>
      </c>
      <c r="AH928" s="5">
        <v>2</v>
      </c>
      <c r="AI928" s="5">
        <f t="shared" si="33"/>
        <v>60</v>
      </c>
    </row>
    <row r="929" spans="1:35" x14ac:dyDescent="0.25">
      <c r="A929" s="5" t="s">
        <v>52</v>
      </c>
      <c r="D929" s="5">
        <v>2026</v>
      </c>
      <c r="F929" s="5" t="s">
        <v>58</v>
      </c>
      <c r="G929" s="5" t="s">
        <v>229</v>
      </c>
      <c r="H929" s="5" t="s">
        <v>277</v>
      </c>
      <c r="I929" s="5">
        <v>80</v>
      </c>
      <c r="J929" s="5" t="str">
        <f>IFERROR(VLOOKUP(I929,[1]INFO_LOCALES!$B:$C,2,FALSE),"")</f>
        <v>ANGOL I</v>
      </c>
      <c r="K929" s="5" t="str">
        <f>IFERROR(VLOOKUP(Tabla2[[#This Row],[TIENDA]],[1]INFO_LOCALES!$B:$D,3,FALSE),"")</f>
        <v>IX - Araucanía</v>
      </c>
      <c r="L929" s="5" t="str">
        <f>IFERROR(VLOOKUP(I929,[1]INFO_LOCALES!$B:$I,8,FALSE),"")</f>
        <v>Angol</v>
      </c>
      <c r="M929" s="5" t="str">
        <f>IFERROR(VLOOKUP(I929,[1]INFO_LOCALES!$B:$H,7,FALSE),"")</f>
        <v>Av. O'Higgins 1257</v>
      </c>
      <c r="N929" s="5">
        <f>IFERROR(VLOOKUP(I929,[1]INFO_LOCALES!$B:$E,4,FALSE),"")</f>
        <v>0</v>
      </c>
      <c r="O929" s="5" t="str">
        <f>VLOOKUP(Tabla2[[#This Row],[TIENDA]],[1]INFO_LOCALES!$B:$J,9,0)</f>
        <v>SIN CONVENIO</v>
      </c>
      <c r="P929" s="5" t="str">
        <f>IFERROR(VLOOKUP(I929,[1]INFO_LOCALES!$B:$F,5,FALSE),"")</f>
        <v>AGUAS ARAUCANIA S A</v>
      </c>
      <c r="Q929" s="5" t="s">
        <v>313</v>
      </c>
      <c r="R929" s="5" t="s">
        <v>58</v>
      </c>
      <c r="S929" s="6">
        <v>46168</v>
      </c>
      <c r="T929" s="5" t="str">
        <f>UPPER(IF(Tabla2[[#This Row],[FECHA DE MUESTREO ]]=0,"",TEXT(Tabla2[[#This Row],[FECHA DE MUESTREO ]],("MMMM"))))</f>
        <v>DICIEMBRE</v>
      </c>
      <c r="U929" s="6">
        <v>46004</v>
      </c>
      <c r="V929" s="5" t="s">
        <v>59</v>
      </c>
      <c r="W9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29" s="7">
        <f t="shared" si="32"/>
        <v>1</v>
      </c>
      <c r="Y929" s="5">
        <v>5.5</v>
      </c>
      <c r="Z929" s="5">
        <v>6.98</v>
      </c>
      <c r="AA929" s="5">
        <v>3</v>
      </c>
      <c r="AB929" s="5">
        <v>21.2</v>
      </c>
      <c r="AC929" s="5">
        <v>105</v>
      </c>
      <c r="AD929" s="5">
        <v>4.74</v>
      </c>
      <c r="AE929" s="5">
        <v>33.799999999999997</v>
      </c>
      <c r="AF929" s="5">
        <v>0.1</v>
      </c>
      <c r="AG929" s="5">
        <v>19</v>
      </c>
      <c r="AH929" s="5">
        <v>0.57999999999999996</v>
      </c>
      <c r="AI929" s="5">
        <f t="shared" si="33"/>
        <v>17.399999999999999</v>
      </c>
    </row>
    <row r="930" spans="1:35" x14ac:dyDescent="0.25">
      <c r="A930" s="5" t="s">
        <v>52</v>
      </c>
      <c r="D930" s="5">
        <v>2026</v>
      </c>
      <c r="F930" s="25" t="s">
        <v>324</v>
      </c>
      <c r="I930" s="5">
        <v>16</v>
      </c>
      <c r="J930" s="5" t="str">
        <f>IFERROR(VLOOKUP(I930,[1]INFO_LOCALES!$B:$C,2,FALSE),"")</f>
        <v>VALLENAR II</v>
      </c>
      <c r="K930" s="5" t="str">
        <f>IFERROR(VLOOKUP(Tabla2[[#This Row],[TIENDA]],[1]INFO_LOCALES!$B:$D,3,FALSE),"")</f>
        <v>III - Atacama</v>
      </c>
      <c r="L930" s="5" t="str">
        <f>IFERROR(VLOOKUP(I930,[1]INFO_LOCALES!$B:$I,8,FALSE),"")</f>
        <v>Vallenar</v>
      </c>
      <c r="M930" s="5" t="str">
        <f>IFERROR(VLOOKUP(I930,[1]INFO_LOCALES!$B:$H,7,FALSE),"")</f>
        <v>Arturo Prat 2350</v>
      </c>
      <c r="N930" s="5">
        <f>IFERROR(VLOOKUP(I930,[1]INFO_LOCALES!$B:$E,4,FALSE),"")</f>
        <v>0</v>
      </c>
      <c r="O930" s="5" t="str">
        <f>VLOOKUP(Tabla2[[#This Row],[TIENDA]],[1]INFO_LOCALES!$B:$J,9,0)</f>
        <v>TERMINADO</v>
      </c>
      <c r="P930" s="5" t="str">
        <f>IFERROR(VLOOKUP(I930,[1]INFO_LOCALES!$B:$F,5,FALSE),"")</f>
        <v>NUEVA ATACAMA</v>
      </c>
      <c r="Q930" s="5" t="s">
        <v>85</v>
      </c>
      <c r="R930" s="5" t="s">
        <v>86</v>
      </c>
      <c r="S930" s="6"/>
      <c r="T930" s="5" t="str">
        <f>UPPER(IF(Tabla2[[#This Row],[FECHA DE MUESTREO ]]=0,"",TEXT(Tabla2[[#This Row],[FECHA DE MUESTREO ]],("MMMM"))))</f>
        <v/>
      </c>
      <c r="U930" s="6"/>
      <c r="V930" s="5" t="s">
        <v>59</v>
      </c>
      <c r="W9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0" s="7">
        <f t="shared" si="32"/>
        <v>1</v>
      </c>
      <c r="AI930" s="5">
        <f t="shared" si="33"/>
        <v>0</v>
      </c>
    </row>
    <row r="931" spans="1:35" x14ac:dyDescent="0.25">
      <c r="A931" s="5" t="s">
        <v>52</v>
      </c>
      <c r="D931" s="5">
        <v>2026</v>
      </c>
      <c r="F931" s="25" t="s">
        <v>324</v>
      </c>
      <c r="I931" s="5">
        <v>24</v>
      </c>
      <c r="J931" s="5" t="str">
        <f>IFERROR(VLOOKUP(I931,[1]INFO_LOCALES!$B:$C,2,FALSE),"")</f>
        <v>CHACABUCO</v>
      </c>
      <c r="K931" s="5" t="str">
        <f>IFERROR(VLOOKUP(Tabla2[[#This Row],[TIENDA]],[1]INFO_LOCALES!$B:$D,3,FALSE),"")</f>
        <v>III - Atacama</v>
      </c>
      <c r="L931" s="5" t="str">
        <f>IFERROR(VLOOKUP(I931,[1]INFO_LOCALES!$B:$I,8,FALSE),"")</f>
        <v>Copiapó</v>
      </c>
      <c r="M931" s="5" t="str">
        <f>IFERROR(VLOOKUP(I931,[1]INFO_LOCALES!$B:$H,7,FALSE),"")</f>
        <v>Los Carreras  586</v>
      </c>
      <c r="N931" s="5">
        <f>IFERROR(VLOOKUP(I931,[1]INFO_LOCALES!$B:$E,4,FALSE),"")</f>
        <v>0</v>
      </c>
      <c r="O931" s="5" t="str">
        <f>VLOOKUP(Tabla2[[#This Row],[TIENDA]],[1]INFO_LOCALES!$B:$J,9,0)</f>
        <v>SIN CONVENIO</v>
      </c>
      <c r="P931" s="5" t="str">
        <f>IFERROR(VLOOKUP(I931,[1]INFO_LOCALES!$B:$F,5,FALSE),"")</f>
        <v>NUEVA ATACAMA</v>
      </c>
      <c r="Q931" s="5" t="s">
        <v>85</v>
      </c>
      <c r="R931" s="5" t="s">
        <v>86</v>
      </c>
      <c r="S931" s="6"/>
      <c r="T931" s="5" t="str">
        <f>UPPER(IF(Tabla2[[#This Row],[FECHA DE MUESTREO ]]=0,"",TEXT(Tabla2[[#This Row],[FECHA DE MUESTREO ]],("MMMM"))))</f>
        <v/>
      </c>
      <c r="U931" s="6"/>
      <c r="V931" s="5" t="s">
        <v>59</v>
      </c>
      <c r="W9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1" s="7">
        <f t="shared" si="32"/>
        <v>1</v>
      </c>
      <c r="AI931" s="5">
        <f t="shared" si="33"/>
        <v>0</v>
      </c>
    </row>
    <row r="932" spans="1:35" x14ac:dyDescent="0.25">
      <c r="A932" s="5" t="s">
        <v>52</v>
      </c>
      <c r="D932" s="5">
        <v>2026</v>
      </c>
      <c r="F932" s="25" t="s">
        <v>324</v>
      </c>
      <c r="G932" s="5" t="s">
        <v>65</v>
      </c>
      <c r="H932" s="5" t="s">
        <v>277</v>
      </c>
      <c r="I932" s="5">
        <v>23</v>
      </c>
      <c r="J932" s="5" t="str">
        <f>IFERROR(VLOOKUP(I932,[1]INFO_LOCALES!$B:$C,2,FALSE),"")</f>
        <v>LOS CARRERAS</v>
      </c>
      <c r="K932" s="5" t="str">
        <f>IFERROR(VLOOKUP(Tabla2[[#This Row],[TIENDA]],[1]INFO_LOCALES!$B:$D,3,FALSE),"")</f>
        <v>III - Atacama</v>
      </c>
      <c r="L932" s="5" t="str">
        <f>IFERROR(VLOOKUP(I932,[1]INFO_LOCALES!$B:$I,8,FALSE),"")</f>
        <v>Copiapó</v>
      </c>
      <c r="M932" s="5" t="str">
        <f>IFERROR(VLOOKUP(I932,[1]INFO_LOCALES!$B:$H,7,FALSE),"")</f>
        <v>Los Carrera 479</v>
      </c>
      <c r="N932" s="5">
        <f>IFERROR(VLOOKUP(I932,[1]INFO_LOCALES!$B:$E,4,FALSE),"")</f>
        <v>0</v>
      </c>
      <c r="O932" s="5" t="str">
        <f>VLOOKUP(Tabla2[[#This Row],[TIENDA]],[1]INFO_LOCALES!$B:$J,9,0)</f>
        <v>SIN CONVENIO</v>
      </c>
      <c r="P932" s="5" t="str">
        <f>IFERROR(VLOOKUP(I932,[1]INFO_LOCALES!$B:$F,5,FALSE),"")</f>
        <v>NUEVA ATACAMA</v>
      </c>
      <c r="Q932" s="5" t="s">
        <v>85</v>
      </c>
      <c r="R932" s="5" t="s">
        <v>86</v>
      </c>
      <c r="S932" s="6"/>
      <c r="T932" s="5" t="str">
        <f>UPPER(IF(Tabla2[[#This Row],[FECHA DE MUESTREO ]]=0,"",TEXT(Tabla2[[#This Row],[FECHA DE MUESTREO ]],("MMMM"))))</f>
        <v>JUNIO</v>
      </c>
      <c r="U932" s="6">
        <v>46182</v>
      </c>
      <c r="V932" s="5" t="s">
        <v>59</v>
      </c>
      <c r="W9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2" s="7">
        <f t="shared" si="32"/>
        <v>1</v>
      </c>
      <c r="Y932" s="5">
        <v>44</v>
      </c>
      <c r="Z932" s="5">
        <v>7.78</v>
      </c>
      <c r="AA932" s="5">
        <v>2</v>
      </c>
      <c r="AB932" s="5">
        <v>18.5</v>
      </c>
      <c r="AC932" s="5">
        <v>149.4</v>
      </c>
      <c r="AD932" s="5">
        <v>14.3</v>
      </c>
      <c r="AE932" s="5">
        <v>41.4</v>
      </c>
      <c r="AF932" s="5">
        <v>1</v>
      </c>
      <c r="AG932" s="5">
        <v>98</v>
      </c>
      <c r="AH932" s="5">
        <v>3.06</v>
      </c>
      <c r="AI932" s="5">
        <f t="shared" si="33"/>
        <v>91.8</v>
      </c>
    </row>
    <row r="933" spans="1:35" x14ac:dyDescent="0.25">
      <c r="A933" s="5" t="s">
        <v>52</v>
      </c>
      <c r="D933" s="5">
        <v>2026</v>
      </c>
      <c r="F933" s="25" t="s">
        <v>324</v>
      </c>
      <c r="G933" s="5" t="s">
        <v>65</v>
      </c>
      <c r="H933" s="5" t="s">
        <v>277</v>
      </c>
      <c r="I933" s="5">
        <v>32</v>
      </c>
      <c r="J933" s="5" t="str">
        <f>IFERROR(VLOOKUP(I933,[1]INFO_LOCALES!$B:$C,2,FALSE),"")</f>
        <v>CHAÑARCILLO</v>
      </c>
      <c r="K933" s="5" t="str">
        <f>IFERROR(VLOOKUP(Tabla2[[#This Row],[TIENDA]],[1]INFO_LOCALES!$B:$D,3,FALSE),"")</f>
        <v>III - Atacama</v>
      </c>
      <c r="L933" s="5" t="str">
        <f>IFERROR(VLOOKUP(I933,[1]INFO_LOCALES!$B:$I,8,FALSE),"")</f>
        <v>Copiapó</v>
      </c>
      <c r="M933" s="5" t="str">
        <f>IFERROR(VLOOKUP(I933,[1]INFO_LOCALES!$B:$H,7,FALSE),"")</f>
        <v>Chacabuco Nº 231</v>
      </c>
      <c r="N933" s="5">
        <f>IFERROR(VLOOKUP(I933,[1]INFO_LOCALES!$B:$E,4,FALSE),"")</f>
        <v>0</v>
      </c>
      <c r="O933" s="5" t="str">
        <f>VLOOKUP(Tabla2[[#This Row],[TIENDA]],[1]INFO_LOCALES!$B:$J,9,0)</f>
        <v>CONVENIO</v>
      </c>
      <c r="P933" s="5" t="str">
        <f>IFERROR(VLOOKUP(I933,[1]INFO_LOCALES!$B:$F,5,FALSE),"")</f>
        <v>NUEVA ATACAMA</v>
      </c>
      <c r="Q933" s="5" t="s">
        <v>85</v>
      </c>
      <c r="R933" s="5" t="s">
        <v>86</v>
      </c>
      <c r="S933" s="6"/>
      <c r="T933" s="5" t="str">
        <f>UPPER(IF(Tabla2[[#This Row],[FECHA DE MUESTREO ]]=0,"",TEXT(Tabla2[[#This Row],[FECHA DE MUESTREO ]],("MMMM"))))</f>
        <v>JUNIO</v>
      </c>
      <c r="U933" s="6">
        <v>46188</v>
      </c>
      <c r="V933" s="5" t="s">
        <v>59</v>
      </c>
      <c r="W9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3" s="7">
        <f t="shared" ref="X933:X997" si="34">IF(W933="CUMPLE",1,IF(W933="CUMPLE CON TOLERANCIA",2,IF(W933="NO CUMPLE",3)))</f>
        <v>1</v>
      </c>
      <c r="Y933" s="5">
        <v>26.3</v>
      </c>
      <c r="Z933" s="5">
        <v>7.53</v>
      </c>
      <c r="AA933" s="5">
        <v>2</v>
      </c>
      <c r="AB933" s="5">
        <v>19.23</v>
      </c>
      <c r="AC933" s="5">
        <v>139.9</v>
      </c>
      <c r="AD933" s="5">
        <v>8.6999999999999993</v>
      </c>
      <c r="AE933" s="5">
        <v>17.8</v>
      </c>
      <c r="AF933" s="5">
        <v>1</v>
      </c>
      <c r="AG933" s="5">
        <v>109</v>
      </c>
      <c r="AH933" s="5">
        <v>3.11</v>
      </c>
      <c r="AI933" s="5">
        <f t="shared" si="33"/>
        <v>93.3</v>
      </c>
    </row>
    <row r="934" spans="1:35" x14ac:dyDescent="0.25">
      <c r="A934" s="5" t="s">
        <v>52</v>
      </c>
      <c r="D934" s="5">
        <v>2026</v>
      </c>
      <c r="F934" s="25" t="s">
        <v>324</v>
      </c>
      <c r="G934" s="5" t="s">
        <v>65</v>
      </c>
      <c r="H934" s="5" t="s">
        <v>277</v>
      </c>
      <c r="I934" s="5">
        <v>472</v>
      </c>
      <c r="J934" s="5" t="str">
        <f>IFERROR(VLOOKUP(I934,[1]INFO_LOCALES!$B:$C,2,FALSE),"")</f>
        <v>CALDERA I</v>
      </c>
      <c r="K934" s="5" t="str">
        <f>IFERROR(VLOOKUP(Tabla2[[#This Row],[TIENDA]],[1]INFO_LOCALES!$B:$D,3,FALSE),"")</f>
        <v>III - Atacama</v>
      </c>
      <c r="L934" s="5" t="str">
        <f>IFERROR(VLOOKUP(I934,[1]INFO_LOCALES!$B:$I,8,FALSE),"")</f>
        <v>Caldera</v>
      </c>
      <c r="M934" s="5" t="str">
        <f>IFERROR(VLOOKUP(I934,[1]INFO_LOCALES!$B:$H,7,FALSE),"")</f>
        <v>Batallon Atacama 319</v>
      </c>
      <c r="N934" s="5">
        <f>IFERROR(VLOOKUP(I934,[1]INFO_LOCALES!$B:$E,4,FALSE),"")</f>
        <v>0</v>
      </c>
      <c r="O934" s="5" t="str">
        <f>VLOOKUP(Tabla2[[#This Row],[TIENDA]],[1]INFO_LOCALES!$B:$J,9,0)</f>
        <v>CONVENIO</v>
      </c>
      <c r="P934" s="5" t="str">
        <f>IFERROR(VLOOKUP(I934,[1]INFO_LOCALES!$B:$F,5,FALSE),"")</f>
        <v>NUEVA ATACAMA</v>
      </c>
      <c r="Q934" s="5" t="s">
        <v>85</v>
      </c>
      <c r="R934" s="5" t="s">
        <v>86</v>
      </c>
      <c r="S934" s="6"/>
      <c r="T934" s="5" t="str">
        <f>UPPER(IF(Tabla2[[#This Row],[FECHA DE MUESTREO ]]=0,"",TEXT(Tabla2[[#This Row],[FECHA DE MUESTREO ]],("MMMM"))))</f>
        <v>JUNIO</v>
      </c>
      <c r="U934" s="6">
        <v>46185</v>
      </c>
      <c r="V934" s="5" t="s">
        <v>59</v>
      </c>
      <c r="W9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4" s="7">
        <f t="shared" si="34"/>
        <v>1</v>
      </c>
      <c r="Y934" s="5">
        <v>20.3</v>
      </c>
      <c r="Z934" s="5">
        <v>7.45</v>
      </c>
      <c r="AA934" s="5">
        <v>2</v>
      </c>
      <c r="AB934" s="5">
        <v>20.83</v>
      </c>
      <c r="AC934" s="5">
        <v>245.5</v>
      </c>
      <c r="AD934" s="5">
        <v>7.4</v>
      </c>
      <c r="AE934" s="5">
        <v>17.399999999999999</v>
      </c>
      <c r="AF934" s="5">
        <v>5</v>
      </c>
      <c r="AG934" s="5">
        <v>85</v>
      </c>
      <c r="AH934" s="5">
        <v>3.02</v>
      </c>
      <c r="AI934" s="5">
        <f t="shared" si="33"/>
        <v>90.6</v>
      </c>
    </row>
    <row r="935" spans="1:35" x14ac:dyDescent="0.25">
      <c r="A935" s="5" t="s">
        <v>52</v>
      </c>
      <c r="D935" s="5">
        <v>2026</v>
      </c>
      <c r="F935" s="25" t="s">
        <v>324</v>
      </c>
      <c r="G935" s="5" t="s">
        <v>61</v>
      </c>
      <c r="H935" s="5" t="s">
        <v>57</v>
      </c>
      <c r="I935" s="5">
        <v>5</v>
      </c>
      <c r="J935" s="5" t="str">
        <f>IFERROR(VLOOKUP(I935,[1]INFO_LOCALES!$B:$C,2,FALSE),"")</f>
        <v>LAS COMPAÑIAS</v>
      </c>
      <c r="K935" s="5" t="str">
        <f>IFERROR(VLOOKUP(Tabla2[[#This Row],[TIENDA]],[1]INFO_LOCALES!$B:$D,3,FALSE),"")</f>
        <v>IV - Coquimbo</v>
      </c>
      <c r="L935" s="5" t="str">
        <f>IFERROR(VLOOKUP(I935,[1]INFO_LOCALES!$B:$I,8,FALSE),"")</f>
        <v>La Serena</v>
      </c>
      <c r="M935" s="5" t="str">
        <f>IFERROR(VLOOKUP(I935,[1]INFO_LOCALES!$B:$H,7,FALSE),"")</f>
        <v>Nicaragua 1571</v>
      </c>
      <c r="N935" s="5">
        <f>IFERROR(VLOOKUP(I935,[1]INFO_LOCALES!$B:$E,4,FALSE),"")</f>
        <v>2644</v>
      </c>
      <c r="O935" s="5" t="str">
        <f>VLOOKUP(Tabla2[[#This Row],[TIENDA]],[1]INFO_LOCALES!$B:$J,9,0)</f>
        <v>SIN CONVENIO</v>
      </c>
      <c r="P935" s="5" t="str">
        <f>IFERROR(VLOOKUP(I935,[1]INFO_LOCALES!$B:$F,5,FALSE),"")</f>
        <v>AGUAS DEL VALLE S A</v>
      </c>
      <c r="Q935" s="5" t="s">
        <v>85</v>
      </c>
      <c r="R935" s="5" t="s">
        <v>86</v>
      </c>
      <c r="S935" s="6"/>
      <c r="T935" s="5" t="str">
        <f>UPPER(IF(Tabla2[[#This Row],[FECHA DE MUESTREO ]]=0,"",TEXT(Tabla2[[#This Row],[FECHA DE MUESTREO ]],("MMMM"))))</f>
        <v>JUNIO</v>
      </c>
      <c r="U935" s="6">
        <v>46182</v>
      </c>
      <c r="V935" s="5" t="s">
        <v>59</v>
      </c>
      <c r="W9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5" s="7">
        <f t="shared" si="34"/>
        <v>1</v>
      </c>
      <c r="Y935" s="5">
        <v>5</v>
      </c>
      <c r="Z935" s="5">
        <v>7.81</v>
      </c>
      <c r="AA935" s="5">
        <v>2</v>
      </c>
      <c r="AB935" s="5">
        <v>16.010000000000002</v>
      </c>
      <c r="AC935" s="5">
        <v>204.5</v>
      </c>
      <c r="AD935" s="5">
        <v>10.199999999999999</v>
      </c>
      <c r="AE935" s="5">
        <v>27.1</v>
      </c>
      <c r="AF935" s="5">
        <v>0.1</v>
      </c>
      <c r="AG935" s="5">
        <v>78</v>
      </c>
      <c r="AH935" s="5">
        <v>3.6</v>
      </c>
      <c r="AI935" s="5">
        <f t="shared" si="33"/>
        <v>108</v>
      </c>
    </row>
    <row r="936" spans="1:35" x14ac:dyDescent="0.25">
      <c r="A936" s="5" t="s">
        <v>52</v>
      </c>
      <c r="D936" s="5">
        <v>2026</v>
      </c>
      <c r="F936" s="25" t="s">
        <v>324</v>
      </c>
      <c r="G936" s="5" t="s">
        <v>65</v>
      </c>
      <c r="H936" s="5" t="s">
        <v>277</v>
      </c>
      <c r="I936" s="5">
        <v>7</v>
      </c>
      <c r="J936" s="5" t="str">
        <f>IFERROR(VLOOKUP(I936,[1]INFO_LOCALES!$B:$C,2,FALSE),"")</f>
        <v>VALLENAR I</v>
      </c>
      <c r="K936" s="5" t="str">
        <f>IFERROR(VLOOKUP(Tabla2[[#This Row],[TIENDA]],[1]INFO_LOCALES!$B:$D,3,FALSE),"")</f>
        <v>III - Atacama</v>
      </c>
      <c r="L936" s="5" t="str">
        <f>IFERROR(VLOOKUP(I936,[1]INFO_LOCALES!$B:$I,8,FALSE),"")</f>
        <v>Vallenar</v>
      </c>
      <c r="M936" s="5" t="str">
        <f>IFERROR(VLOOKUP(I936,[1]INFO_LOCALES!$B:$H,7,FALSE),"")</f>
        <v>Brasil 663</v>
      </c>
      <c r="N936" s="5">
        <f>IFERROR(VLOOKUP(I936,[1]INFO_LOCALES!$B:$E,4,FALSE),"")</f>
        <v>0</v>
      </c>
      <c r="O936" s="5" t="str">
        <f>VLOOKUP(Tabla2[[#This Row],[TIENDA]],[1]INFO_LOCALES!$B:$J,9,0)</f>
        <v>CONVENIO</v>
      </c>
      <c r="P936" s="5" t="str">
        <f>IFERROR(VLOOKUP(I936,[1]INFO_LOCALES!$B:$F,5,FALSE),"")</f>
        <v>NUEVA ATACAMA</v>
      </c>
      <c r="Q936" s="5" t="s">
        <v>85</v>
      </c>
      <c r="R936" s="5" t="s">
        <v>86</v>
      </c>
      <c r="S936" s="6"/>
      <c r="T936" s="5" t="str">
        <f>UPPER(IF(Tabla2[[#This Row],[FECHA DE MUESTREO ]]=0,"",TEXT(Tabla2[[#This Row],[FECHA DE MUESTREO ]],("MMMM"))))</f>
        <v>JUNIO</v>
      </c>
      <c r="U936" s="6">
        <v>46177</v>
      </c>
      <c r="V936" s="5" t="s">
        <v>59</v>
      </c>
      <c r="W9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6" s="7">
        <f t="shared" si="34"/>
        <v>1</v>
      </c>
      <c r="Y936" s="5">
        <v>9.1999999999999993</v>
      </c>
      <c r="Z936" s="5">
        <v>7.74</v>
      </c>
      <c r="AA936" s="5">
        <v>2</v>
      </c>
      <c r="AB936" s="5">
        <v>18.55</v>
      </c>
      <c r="AC936" s="5">
        <v>164</v>
      </c>
      <c r="AD936" s="5">
        <v>5.8</v>
      </c>
      <c r="AE936" s="5">
        <v>15.3</v>
      </c>
      <c r="AF936" s="5">
        <v>0.2</v>
      </c>
      <c r="AG936" s="5">
        <v>78</v>
      </c>
      <c r="AH936" s="5">
        <v>3.06</v>
      </c>
      <c r="AI936" s="5">
        <f t="shared" si="33"/>
        <v>91.8</v>
      </c>
    </row>
    <row r="937" spans="1:35" x14ac:dyDescent="0.25">
      <c r="A937" s="5" t="s">
        <v>52</v>
      </c>
      <c r="D937" s="5">
        <v>2026</v>
      </c>
      <c r="F937" s="25" t="s">
        <v>324</v>
      </c>
      <c r="G937" s="5" t="s">
        <v>65</v>
      </c>
      <c r="H937" s="5" t="s">
        <v>277</v>
      </c>
      <c r="I937" s="5">
        <v>14</v>
      </c>
      <c r="J937" s="5" t="str">
        <f>IFERROR(VLOOKUP(I937,[1]INFO_LOCALES!$B:$C,2,FALSE),"")</f>
        <v>COPIAPO</v>
      </c>
      <c r="K937" s="5" t="str">
        <f>IFERROR(VLOOKUP(Tabla2[[#This Row],[TIENDA]],[1]INFO_LOCALES!$B:$D,3,FALSE),"")</f>
        <v>III - Atacama</v>
      </c>
      <c r="L937" s="5" t="str">
        <f>IFERROR(VLOOKUP(I937,[1]INFO_LOCALES!$B:$I,8,FALSE),"")</f>
        <v>Copiapó</v>
      </c>
      <c r="M937" s="5" t="str">
        <f>IFERROR(VLOOKUP(I937,[1]INFO_LOCALES!$B:$H,7,FALSE),"")</f>
        <v>Av. Henrriquez N° 523</v>
      </c>
      <c r="N937" s="5">
        <f>IFERROR(VLOOKUP(I937,[1]INFO_LOCALES!$B:$E,4,FALSE),"")</f>
        <v>0</v>
      </c>
      <c r="O937" s="5" t="str">
        <f>VLOOKUP(Tabla2[[#This Row],[TIENDA]],[1]INFO_LOCALES!$B:$J,9,0)</f>
        <v>CONVENIO</v>
      </c>
      <c r="P937" s="5" t="str">
        <f>IFERROR(VLOOKUP(I937,[1]INFO_LOCALES!$B:$F,5,FALSE),"")</f>
        <v>NUEVA ATACAMA</v>
      </c>
      <c r="Q937" s="5" t="s">
        <v>85</v>
      </c>
      <c r="R937" s="5" t="s">
        <v>86</v>
      </c>
      <c r="S937" s="6"/>
      <c r="T937" s="5" t="str">
        <f>UPPER(IF(Tabla2[[#This Row],[FECHA DE MUESTREO ]]=0,"",TEXT(Tabla2[[#This Row],[FECHA DE MUESTREO ]],("MMMM"))))</f>
        <v>JUNIO</v>
      </c>
      <c r="U937" s="6">
        <v>46195</v>
      </c>
      <c r="V937" s="5" t="s">
        <v>59</v>
      </c>
      <c r="W9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7" s="7">
        <f t="shared" si="34"/>
        <v>1</v>
      </c>
      <c r="Y937" s="5">
        <v>13</v>
      </c>
      <c r="Z937" s="5">
        <v>7.44</v>
      </c>
      <c r="AA937" s="5">
        <v>3.7</v>
      </c>
      <c r="AB937" s="5">
        <v>18.5</v>
      </c>
      <c r="AC937" s="5">
        <v>154.5</v>
      </c>
      <c r="AD937" s="5">
        <v>4.5999999999999996</v>
      </c>
      <c r="AE937" s="5">
        <v>23</v>
      </c>
      <c r="AF937" s="5">
        <v>0.3</v>
      </c>
      <c r="AG937" s="5">
        <v>56</v>
      </c>
      <c r="AH937" s="5">
        <v>2.97</v>
      </c>
      <c r="AI937" s="5">
        <f t="shared" si="33"/>
        <v>89.100000000000009</v>
      </c>
    </row>
    <row r="938" spans="1:35" x14ac:dyDescent="0.25">
      <c r="A938" s="5" t="s">
        <v>52</v>
      </c>
      <c r="D938" s="5">
        <v>2026</v>
      </c>
      <c r="F938" s="25" t="s">
        <v>324</v>
      </c>
      <c r="G938" s="5" t="s">
        <v>61</v>
      </c>
      <c r="H938" s="26" t="s">
        <v>325</v>
      </c>
      <c r="I938" s="5">
        <v>17</v>
      </c>
      <c r="J938" s="5" t="str">
        <f>IFERROR(VLOOKUP(I938,[1]INFO_LOCALES!$B:$C,2,FALSE),"")</f>
        <v>LOS ALAMOS</v>
      </c>
      <c r="K938" s="5" t="str">
        <f>IFERROR(VLOOKUP(Tabla2[[#This Row],[TIENDA]],[1]INFO_LOCALES!$B:$D,3,FALSE),"")</f>
        <v>IV - Coquimbo</v>
      </c>
      <c r="L938" s="5" t="str">
        <f>IFERROR(VLOOKUP(I938,[1]INFO_LOCALES!$B:$I,8,FALSE),"")</f>
        <v>Coquimbo</v>
      </c>
      <c r="M938" s="5" t="str">
        <f>IFERROR(VLOOKUP(I938,[1]INFO_LOCALES!$B:$H,7,FALSE),"")</f>
        <v>Los Alamos 580</v>
      </c>
      <c r="N938" s="5">
        <f>IFERROR(VLOOKUP(I938,[1]INFO_LOCALES!$B:$E,4,FALSE),"")</f>
        <v>2643</v>
      </c>
      <c r="O938" s="5" t="str">
        <f>VLOOKUP(Tabla2[[#This Row],[TIENDA]],[1]INFO_LOCALES!$B:$J,9,0)</f>
        <v>TERMINADO</v>
      </c>
      <c r="P938" s="5" t="str">
        <f>IFERROR(VLOOKUP(I938,[1]INFO_LOCALES!$B:$F,5,FALSE),"")</f>
        <v>AGUAS DEL VALLE S A</v>
      </c>
      <c r="Q938" s="5" t="s">
        <v>85</v>
      </c>
      <c r="R938" s="5" t="s">
        <v>86</v>
      </c>
      <c r="S938" s="6"/>
      <c r="T938" s="5" t="str">
        <f>UPPER(IF(Tabla2[[#This Row],[FECHA DE MUESTREO ]]=0,"",TEXT(Tabla2[[#This Row],[FECHA DE MUESTREO ]],("MMMM"))))</f>
        <v>JUNIO</v>
      </c>
      <c r="U938" s="6">
        <v>46181</v>
      </c>
      <c r="V938" s="5" t="s">
        <v>59</v>
      </c>
      <c r="W9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38" s="7">
        <f t="shared" si="34"/>
        <v>2</v>
      </c>
      <c r="Y938" s="5">
        <v>16</v>
      </c>
      <c r="Z938" s="5">
        <v>7.8</v>
      </c>
      <c r="AA938" s="5">
        <v>5</v>
      </c>
      <c r="AB938" s="5">
        <v>14.69</v>
      </c>
      <c r="AC938" s="5">
        <v>464.7</v>
      </c>
      <c r="AD938" s="5">
        <v>9.8000000000000007</v>
      </c>
      <c r="AE938" s="5">
        <v>36.700000000000003</v>
      </c>
      <c r="AF938" s="5">
        <v>0.1</v>
      </c>
      <c r="AG938" s="5">
        <v>96</v>
      </c>
      <c r="AH938" s="5">
        <v>3.06</v>
      </c>
      <c r="AI938" s="5">
        <f t="shared" si="33"/>
        <v>91.8</v>
      </c>
    </row>
    <row r="939" spans="1:35" x14ac:dyDescent="0.25">
      <c r="A939" s="5" t="s">
        <v>52</v>
      </c>
      <c r="D939" s="5">
        <v>2026</v>
      </c>
      <c r="F939" s="25" t="s">
        <v>324</v>
      </c>
      <c r="I939" s="5">
        <v>22</v>
      </c>
      <c r="J939" s="5" t="str">
        <f>IFERROR(VLOOKUP(I939,[1]INFO_LOCALES!$B:$C,2,FALSE),"")</f>
        <v>ATACAMA</v>
      </c>
      <c r="K939" s="5" t="str">
        <f>IFERROR(VLOOKUP(Tabla2[[#This Row],[TIENDA]],[1]INFO_LOCALES!$B:$D,3,FALSE),"")</f>
        <v>III - Atacama</v>
      </c>
      <c r="L939" s="5" t="str">
        <f>IFERROR(VLOOKUP(I939,[1]INFO_LOCALES!$B:$I,8,FALSE),"")</f>
        <v>Copiapó</v>
      </c>
      <c r="M939" s="5" t="str">
        <f>IFERROR(VLOOKUP(I939,[1]INFO_LOCALES!$B:$H,7,FALSE),"")</f>
        <v>Los Carreras 2242</v>
      </c>
      <c r="N939" s="5">
        <f>IFERROR(VLOOKUP(I939,[1]INFO_LOCALES!$B:$E,4,FALSE),"")</f>
        <v>2666</v>
      </c>
      <c r="O939" s="5" t="str">
        <f>VLOOKUP(Tabla2[[#This Row],[TIENDA]],[1]INFO_LOCALES!$B:$J,9,0)</f>
        <v>CONVENIO</v>
      </c>
      <c r="P939" s="5" t="str">
        <f>IFERROR(VLOOKUP(I939,[1]INFO_LOCALES!$B:$F,5,FALSE),"")</f>
        <v>NUEVA ATACAMA</v>
      </c>
      <c r="Q939" s="5" t="s">
        <v>85</v>
      </c>
      <c r="R939" s="5" t="s">
        <v>86</v>
      </c>
      <c r="S939" s="6"/>
      <c r="T939" s="5" t="str">
        <f>UPPER(IF(Tabla2[[#This Row],[FECHA DE MUESTREO ]]=0,"",TEXT(Tabla2[[#This Row],[FECHA DE MUESTREO ]],("MMMM"))))</f>
        <v/>
      </c>
      <c r="U939" s="6"/>
      <c r="V939" s="5" t="s">
        <v>59</v>
      </c>
      <c r="W9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39" s="7">
        <f t="shared" si="34"/>
        <v>1</v>
      </c>
      <c r="AI939" s="5">
        <f t="shared" si="33"/>
        <v>0</v>
      </c>
    </row>
    <row r="940" spans="1:35" x14ac:dyDescent="0.25">
      <c r="A940" s="5" t="s">
        <v>52</v>
      </c>
      <c r="B940" s="5">
        <v>2026</v>
      </c>
      <c r="D940" s="5">
        <v>2026</v>
      </c>
      <c r="F940" s="25" t="s">
        <v>324</v>
      </c>
      <c r="I940" s="5">
        <v>25</v>
      </c>
      <c r="J940" s="5" t="str">
        <f>IFERROR(VLOOKUP(I940,[1]INFO_LOCALES!$B:$C,2,FALSE),"")</f>
        <v>EL PALOMAR</v>
      </c>
      <c r="K940" s="5" t="str">
        <f>IFERROR(VLOOKUP(Tabla2[[#This Row],[TIENDA]],[1]INFO_LOCALES!$B:$D,3,FALSE),"")</f>
        <v>III - Atacama</v>
      </c>
      <c r="L940" s="5" t="str">
        <f>IFERROR(VLOOKUP(I940,[1]INFO_LOCALES!$B:$I,8,FALSE),"")</f>
        <v>Copiapó</v>
      </c>
      <c r="M940" s="5" t="str">
        <f>IFERROR(VLOOKUP(I940,[1]INFO_LOCALES!$B:$H,7,FALSE),"")</f>
        <v>Av. Palomar 1525</v>
      </c>
      <c r="N940" s="5">
        <f>IFERROR(VLOOKUP(I940,[1]INFO_LOCALES!$B:$E,4,FALSE),"")</f>
        <v>3868</v>
      </c>
      <c r="O940" s="5" t="str">
        <f>VLOOKUP(Tabla2[[#This Row],[TIENDA]],[1]INFO_LOCALES!$B:$J,9,0)</f>
        <v>TERMINADO</v>
      </c>
      <c r="P940" s="5" t="str">
        <f>IFERROR(VLOOKUP(I940,[1]INFO_LOCALES!$B:$F,5,FALSE),"")</f>
        <v>NUEVA ATACAMA</v>
      </c>
      <c r="Q940" s="5" t="s">
        <v>85</v>
      </c>
      <c r="R940" s="5" t="s">
        <v>86</v>
      </c>
      <c r="S940" s="6"/>
      <c r="T940" s="5" t="str">
        <f>UPPER(IF(Tabla2[[#This Row],[FECHA DE MUESTREO ]]=0,"",TEXT(Tabla2[[#This Row],[FECHA DE MUESTREO ]],("MMMM"))))</f>
        <v/>
      </c>
      <c r="U940" s="6"/>
      <c r="V940" s="5" t="s">
        <v>118</v>
      </c>
      <c r="W9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40" s="7">
        <f t="shared" si="34"/>
        <v>1</v>
      </c>
      <c r="AI940" s="5">
        <f t="shared" si="33"/>
        <v>0</v>
      </c>
    </row>
    <row r="941" spans="1:35" x14ac:dyDescent="0.25">
      <c r="A941" s="5" t="s">
        <v>52</v>
      </c>
      <c r="D941" s="5">
        <v>2026</v>
      </c>
      <c r="F941" s="25" t="s">
        <v>324</v>
      </c>
      <c r="I941" s="5">
        <v>46</v>
      </c>
      <c r="J941" s="5" t="str">
        <f>IFERROR(VLOOKUP(I941,[1]INFO_LOCALES!$B:$C,2,FALSE),"")</f>
        <v>CALAMA I</v>
      </c>
      <c r="K941" s="5" t="str">
        <f>IFERROR(VLOOKUP(Tabla2[[#This Row],[TIENDA]],[1]INFO_LOCALES!$B:$D,3,FALSE),"")</f>
        <v>II - Antofagasta</v>
      </c>
      <c r="L941" s="5" t="str">
        <f>IFERROR(VLOOKUP(I941,[1]INFO_LOCALES!$B:$I,8,FALSE),"")</f>
        <v>Calama</v>
      </c>
      <c r="M941" s="5" t="str">
        <f>IFERROR(VLOOKUP(I941,[1]INFO_LOCALES!$B:$H,7,FALSE),"")</f>
        <v>Granaderos 3180</v>
      </c>
      <c r="N941" s="5">
        <f>IFERROR(VLOOKUP(I941,[1]INFO_LOCALES!$B:$E,4,FALSE),"")</f>
        <v>3035</v>
      </c>
      <c r="O941" s="5" t="str">
        <f>VLOOKUP(Tabla2[[#This Row],[TIENDA]],[1]INFO_LOCALES!$B:$J,9,0)</f>
        <v>SIN CONVENIO</v>
      </c>
      <c r="P941" s="5" t="str">
        <f>IFERROR(VLOOKUP(I941,[1]INFO_LOCALES!$B:$F,5,FALSE),"")</f>
        <v>AGUAS DE ANTOFAGASTA S A</v>
      </c>
      <c r="Q941" s="5" t="s">
        <v>85</v>
      </c>
      <c r="R941" s="5" t="s">
        <v>86</v>
      </c>
      <c r="S941" s="6"/>
      <c r="T941" s="5" t="str">
        <f>UPPER(IF(Tabla2[[#This Row],[FECHA DE MUESTREO ]]=0,"",TEXT(Tabla2[[#This Row],[FECHA DE MUESTREO ]],("MMMM"))))</f>
        <v/>
      </c>
      <c r="U941" s="6"/>
      <c r="V941" s="5" t="s">
        <v>59</v>
      </c>
      <c r="W9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41" s="7">
        <f t="shared" si="34"/>
        <v>1</v>
      </c>
      <c r="AI941" s="5">
        <f t="shared" si="33"/>
        <v>0</v>
      </c>
    </row>
    <row r="942" spans="1:35" x14ac:dyDescent="0.25">
      <c r="A942" s="5" t="s">
        <v>52</v>
      </c>
      <c r="D942" s="5">
        <v>2026</v>
      </c>
      <c r="F942" s="25" t="s">
        <v>324</v>
      </c>
      <c r="G942" s="5" t="s">
        <v>61</v>
      </c>
      <c r="H942" s="5" t="s">
        <v>277</v>
      </c>
      <c r="I942" s="5">
        <v>86</v>
      </c>
      <c r="J942" s="5" t="str">
        <f>IFERROR(VLOOKUP(I942,[1]INFO_LOCALES!$B:$C,2,FALSE),"")</f>
        <v>BILBAO</v>
      </c>
      <c r="K942" s="5" t="str">
        <f>IFERROR(VLOOKUP(Tabla2[[#This Row],[TIENDA]],[1]INFO_LOCALES!$B:$D,3,FALSE),"")</f>
        <v>I - Tarapacá</v>
      </c>
      <c r="L942" s="5" t="str">
        <f>IFERROR(VLOOKUP(I942,[1]INFO_LOCALES!$B:$I,8,FALSE),"")</f>
        <v>Iquique</v>
      </c>
      <c r="M942" s="5" t="str">
        <f>IFERROR(VLOOKUP(I942,[1]INFO_LOCALES!$B:$H,7,FALSE),"")</f>
        <v>Fco.Bilbao 3545</v>
      </c>
      <c r="N942" s="5">
        <f>IFERROR(VLOOKUP(I942,[1]INFO_LOCALES!$B:$E,4,FALSE),"")</f>
        <v>4049</v>
      </c>
      <c r="O942" s="5" t="str">
        <f>VLOOKUP(Tabla2[[#This Row],[TIENDA]],[1]INFO_LOCALES!$B:$J,9,0)</f>
        <v>CONVENIO</v>
      </c>
      <c r="P942" s="5" t="str">
        <f>IFERROR(VLOOKUP(I942,[1]INFO_LOCALES!$B:$F,5,FALSE),"")</f>
        <v>AGUAS DEL ALTIPLANO S.A.</v>
      </c>
      <c r="Q942" s="5" t="s">
        <v>85</v>
      </c>
      <c r="R942" s="5" t="s">
        <v>86</v>
      </c>
      <c r="S942" s="6"/>
      <c r="T942" s="5" t="str">
        <f>UPPER(IF(Tabla2[[#This Row],[FECHA DE MUESTREO ]]=0,"",TEXT(Tabla2[[#This Row],[FECHA DE MUESTREO ]],("MMMM"))))</f>
        <v>JUNIO</v>
      </c>
      <c r="U942" s="6">
        <v>46183</v>
      </c>
      <c r="V942" s="5" t="s">
        <v>59</v>
      </c>
      <c r="W9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42" s="7">
        <f t="shared" si="34"/>
        <v>1</v>
      </c>
      <c r="Y942" s="5">
        <v>10.8</v>
      </c>
      <c r="Z942" s="5">
        <v>6.83</v>
      </c>
      <c r="AA942" s="5">
        <v>2</v>
      </c>
      <c r="AB942" s="5">
        <v>23.64</v>
      </c>
      <c r="AC942" s="5">
        <v>62.8</v>
      </c>
      <c r="AD942" s="5">
        <v>9.8000000000000007</v>
      </c>
      <c r="AE942" s="5">
        <v>10.9</v>
      </c>
      <c r="AF942" s="5">
        <v>4</v>
      </c>
      <c r="AG942" s="5">
        <v>66.7</v>
      </c>
      <c r="AH942" s="5">
        <v>1.05</v>
      </c>
      <c r="AI942" s="5">
        <f t="shared" si="33"/>
        <v>31.5</v>
      </c>
    </row>
    <row r="943" spans="1:35" x14ac:dyDescent="0.25">
      <c r="A943" s="5" t="s">
        <v>52</v>
      </c>
      <c r="D943" s="5">
        <v>2026</v>
      </c>
      <c r="F943" s="25" t="s">
        <v>324</v>
      </c>
      <c r="G943" s="5" t="s">
        <v>326</v>
      </c>
      <c r="H943" s="5" t="s">
        <v>277</v>
      </c>
      <c r="I943" s="5">
        <v>103</v>
      </c>
      <c r="J943" s="5" t="str">
        <f>IFERROR(VLOOKUP(I943,[1]INFO_LOCALES!$B:$C,2,FALSE),"")</f>
        <v>VIVAR</v>
      </c>
      <c r="K943" s="5" t="str">
        <f>IFERROR(VLOOKUP(Tabla2[[#This Row],[TIENDA]],[1]INFO_LOCALES!$B:$D,3,FALSE),"")</f>
        <v>I - Tarapacá</v>
      </c>
      <c r="L943" s="5" t="str">
        <f>IFERROR(VLOOKUP(I943,[1]INFO_LOCALES!$B:$I,8,FALSE),"")</f>
        <v>Iquique</v>
      </c>
      <c r="M943" s="5" t="str">
        <f>IFERROR(VLOOKUP(I943,[1]INFO_LOCALES!$B:$H,7,FALSE),"")</f>
        <v>Vivar 786</v>
      </c>
      <c r="N943" s="5">
        <f>IFERROR(VLOOKUP(I943,[1]INFO_LOCALES!$B:$E,4,FALSE),"")</f>
        <v>4420</v>
      </c>
      <c r="O943" s="5" t="str">
        <f>VLOOKUP(Tabla2[[#This Row],[TIENDA]],[1]INFO_LOCALES!$B:$J,9,0)</f>
        <v>CONVENIO</v>
      </c>
      <c r="P943" s="5" t="str">
        <f>IFERROR(VLOOKUP(I943,[1]INFO_LOCALES!$B:$F,5,FALSE),"")</f>
        <v>AGUAS DEL ALTIPLANO S.A.</v>
      </c>
      <c r="Q943" s="5" t="s">
        <v>85</v>
      </c>
      <c r="R943" s="5" t="s">
        <v>86</v>
      </c>
      <c r="S943" s="6"/>
      <c r="T943" s="5" t="str">
        <f>UPPER(IF(Tabla2[[#This Row],[FECHA DE MUESTREO ]]=0,"",TEXT(Tabla2[[#This Row],[FECHA DE MUESTREO ]],("MMMM"))))</f>
        <v>JUNIO</v>
      </c>
      <c r="U943" s="6">
        <v>46190</v>
      </c>
      <c r="V943" s="5" t="s">
        <v>59</v>
      </c>
      <c r="W9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43" s="7">
        <f t="shared" si="34"/>
        <v>1</v>
      </c>
      <c r="Y943" s="5">
        <v>21.9</v>
      </c>
      <c r="Z943" s="5">
        <v>6.79</v>
      </c>
      <c r="AA943" s="5">
        <v>5</v>
      </c>
      <c r="AB943" s="5">
        <v>22.44</v>
      </c>
      <c r="AC943" s="5">
        <v>157.69999999999999</v>
      </c>
      <c r="AD943" s="5">
        <v>3.7</v>
      </c>
      <c r="AE943" s="5">
        <v>10.8</v>
      </c>
      <c r="AF943" s="5">
        <v>0.2</v>
      </c>
      <c r="AG943" s="5">
        <v>45.7</v>
      </c>
      <c r="AH943" s="5">
        <v>7.47</v>
      </c>
      <c r="AI943" s="5">
        <f t="shared" si="33"/>
        <v>224.1</v>
      </c>
    </row>
    <row r="944" spans="1:35" x14ac:dyDescent="0.25">
      <c r="A944" s="5" t="s">
        <v>52</v>
      </c>
      <c r="D944" s="5">
        <v>2026</v>
      </c>
      <c r="F944" s="25" t="s">
        <v>324</v>
      </c>
      <c r="I944" s="5">
        <v>105</v>
      </c>
      <c r="J944" s="5" t="str">
        <f>IFERROR(VLOOKUP(I944,[1]INFO_LOCALES!$B:$C,2,FALSE),"")</f>
        <v>IQUIQUE CENTRO</v>
      </c>
      <c r="K944" s="5" t="str">
        <f>IFERROR(VLOOKUP(Tabla2[[#This Row],[TIENDA]],[1]INFO_LOCALES!$B:$D,3,FALSE),"")</f>
        <v>I - Tarapacá</v>
      </c>
      <c r="L944" s="5" t="str">
        <f>IFERROR(VLOOKUP(I944,[1]INFO_LOCALES!$B:$I,8,FALSE),"")</f>
        <v>Iquique</v>
      </c>
      <c r="M944" s="5" t="str">
        <f>IFERROR(VLOOKUP(I944,[1]INFO_LOCALES!$B:$H,7,FALSE),"")</f>
        <v>Tarapaca 579</v>
      </c>
      <c r="N944" s="5">
        <f>IFERROR(VLOOKUP(I944,[1]INFO_LOCALES!$B:$E,4,FALSE),"")</f>
        <v>4051</v>
      </c>
      <c r="O944" s="5" t="str">
        <f>VLOOKUP(Tabla2[[#This Row],[TIENDA]],[1]INFO_LOCALES!$B:$J,9,0)</f>
        <v>TERMINADO</v>
      </c>
      <c r="P944" s="5" t="str">
        <f>IFERROR(VLOOKUP(I944,[1]INFO_LOCALES!$B:$F,5,FALSE),"")</f>
        <v>AGUAS DEL ALTIPLANO S.A.</v>
      </c>
      <c r="Q944" s="5" t="s">
        <v>85</v>
      </c>
      <c r="R944" s="5" t="s">
        <v>86</v>
      </c>
      <c r="S944" s="6"/>
      <c r="T944" s="5" t="str">
        <f>UPPER(IF(Tabla2[[#This Row],[FECHA DE MUESTREO ]]=0,"",TEXT(Tabla2[[#This Row],[FECHA DE MUESTREO ]],("MMMM"))))</f>
        <v/>
      </c>
      <c r="U944" s="6"/>
      <c r="V944" s="5" t="s">
        <v>59</v>
      </c>
      <c r="W9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44" s="7">
        <f t="shared" si="34"/>
        <v>1</v>
      </c>
      <c r="AI944" s="5">
        <f t="shared" si="33"/>
        <v>0</v>
      </c>
    </row>
    <row r="945" spans="1:35" x14ac:dyDescent="0.25">
      <c r="A945" s="5" t="s">
        <v>52</v>
      </c>
      <c r="D945" s="5">
        <v>2026</v>
      </c>
      <c r="F945" s="25" t="s">
        <v>324</v>
      </c>
      <c r="G945" s="5" t="s">
        <v>61</v>
      </c>
      <c r="H945" s="5" t="s">
        <v>277</v>
      </c>
      <c r="I945" s="5">
        <v>106</v>
      </c>
      <c r="J945" s="5" t="str">
        <f>IFERROR(VLOOKUP(I945,[1]INFO_LOCALES!$B:$C,2,FALSE),"")</f>
        <v>LOS MOLLES</v>
      </c>
      <c r="K945" s="5" t="str">
        <f>IFERROR(VLOOKUP(Tabla2[[#This Row],[TIENDA]],[1]INFO_LOCALES!$B:$D,3,FALSE),"")</f>
        <v>I - Tarapacá</v>
      </c>
      <c r="L945" s="5" t="str">
        <f>IFERROR(VLOOKUP(I945,[1]INFO_LOCALES!$B:$I,8,FALSE),"")</f>
        <v>Iquique</v>
      </c>
      <c r="M945" s="5" t="str">
        <f>IFERROR(VLOOKUP(I945,[1]INFO_LOCALES!$B:$H,7,FALSE),"")</f>
        <v>Santiago Polanco 2251</v>
      </c>
      <c r="N945" s="5">
        <f>IFERROR(VLOOKUP(I945,[1]INFO_LOCALES!$B:$E,4,FALSE),"")</f>
        <v>4050</v>
      </c>
      <c r="O945" s="5" t="str">
        <f>VLOOKUP(Tabla2[[#This Row],[TIENDA]],[1]INFO_LOCALES!$B:$J,9,0)</f>
        <v>CONVENIO</v>
      </c>
      <c r="P945" s="5" t="str">
        <f>IFERROR(VLOOKUP(I945,[1]INFO_LOCALES!$B:$F,5,FALSE),"")</f>
        <v>AGUAS DEL ALTIPLANO S.A.</v>
      </c>
      <c r="Q945" s="5" t="s">
        <v>85</v>
      </c>
      <c r="R945" s="5" t="s">
        <v>86</v>
      </c>
      <c r="S945" s="6"/>
      <c r="T945" s="5" t="str">
        <f>UPPER(IF(Tabla2[[#This Row],[FECHA DE MUESTREO ]]=0,"",TEXT(Tabla2[[#This Row],[FECHA DE MUESTREO ]],("MMMM"))))</f>
        <v>JUNIO</v>
      </c>
      <c r="U945" s="6">
        <v>46189</v>
      </c>
      <c r="V945" s="5" t="s">
        <v>59</v>
      </c>
      <c r="W9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45" s="7">
        <f t="shared" si="34"/>
        <v>1</v>
      </c>
      <c r="Y945" s="5">
        <v>12.9</v>
      </c>
      <c r="Z945" s="5">
        <v>6.87</v>
      </c>
      <c r="AA945" s="5">
        <v>4</v>
      </c>
      <c r="AB945" s="5">
        <v>22.46</v>
      </c>
      <c r="AC945" s="5">
        <v>224.1</v>
      </c>
      <c r="AD945" s="5">
        <v>4.5999999999999996</v>
      </c>
      <c r="AE945" s="5">
        <v>17.3</v>
      </c>
      <c r="AF945" s="5">
        <v>0.1</v>
      </c>
      <c r="AG945" s="5">
        <v>64</v>
      </c>
      <c r="AH945" s="5">
        <v>0.93</v>
      </c>
      <c r="AI945" s="5">
        <f t="shared" si="33"/>
        <v>27.900000000000002</v>
      </c>
    </row>
    <row r="946" spans="1:35" x14ac:dyDescent="0.25">
      <c r="A946" s="5" t="s">
        <v>52</v>
      </c>
      <c r="D946" s="5">
        <v>2026</v>
      </c>
      <c r="F946" s="25" t="s">
        <v>324</v>
      </c>
      <c r="G946" s="5" t="s">
        <v>326</v>
      </c>
      <c r="H946" s="5" t="s">
        <v>247</v>
      </c>
      <c r="I946" s="5">
        <v>111</v>
      </c>
      <c r="J946" s="5" t="str">
        <f>IFERROR(VLOOKUP(I946,[1]INFO_LOCALES!$B:$C,2,FALSE),"")</f>
        <v>CALAMA II</v>
      </c>
      <c r="K946" s="5" t="str">
        <f>IFERROR(VLOOKUP(Tabla2[[#This Row],[TIENDA]],[1]INFO_LOCALES!$B:$D,3,FALSE),"")</f>
        <v>II - Antofagasta</v>
      </c>
      <c r="L946" s="5" t="str">
        <f>IFERROR(VLOOKUP(I946,[1]INFO_LOCALES!$B:$I,8,FALSE),"")</f>
        <v>Calama</v>
      </c>
      <c r="M946" s="5" t="str">
        <f>IFERROR(VLOOKUP(I946,[1]INFO_LOCALES!$B:$H,7,FALSE),"")</f>
        <v>Aconcagua 2588</v>
      </c>
      <c r="N946" s="5">
        <f>IFERROR(VLOOKUP(I946,[1]INFO_LOCALES!$B:$E,4,FALSE),"")</f>
        <v>2966</v>
      </c>
      <c r="O946" s="5" t="str">
        <f>VLOOKUP(Tabla2[[#This Row],[TIENDA]],[1]INFO_LOCALES!$B:$J,9,0)</f>
        <v>SIN CONVENIO</v>
      </c>
      <c r="P946" s="5" t="str">
        <f>IFERROR(VLOOKUP(I946,[1]INFO_LOCALES!$B:$F,5,FALSE),"")</f>
        <v>AGUAS DE ANTOFAGASTA S A</v>
      </c>
      <c r="Q946" s="5" t="s">
        <v>85</v>
      </c>
      <c r="R946" s="5" t="s">
        <v>86</v>
      </c>
      <c r="S946" s="6"/>
      <c r="T946" s="5" t="str">
        <f>UPPER(IF(Tabla2[[#This Row],[FECHA DE MUESTREO ]]=0,"",TEXT(Tabla2[[#This Row],[FECHA DE MUESTREO ]],("MMMM"))))</f>
        <v>JUNIO</v>
      </c>
      <c r="U946" s="6">
        <v>46195</v>
      </c>
      <c r="V946" s="5" t="s">
        <v>59</v>
      </c>
      <c r="W9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946" s="7">
        <f t="shared" si="34"/>
        <v>3</v>
      </c>
      <c r="Y946" s="5">
        <v>166.1</v>
      </c>
      <c r="Z946" s="5">
        <v>7.94</v>
      </c>
      <c r="AA946" s="5">
        <v>2.7</v>
      </c>
      <c r="AB946" s="5">
        <v>16.18</v>
      </c>
      <c r="AC946" s="5">
        <v>888.5</v>
      </c>
      <c r="AD946" s="5">
        <v>8.5</v>
      </c>
      <c r="AE946" s="5">
        <v>38</v>
      </c>
      <c r="AF946" s="5">
        <v>0.7</v>
      </c>
      <c r="AG946" s="5">
        <v>564</v>
      </c>
      <c r="AH946" s="5">
        <v>2.48</v>
      </c>
      <c r="AI946" s="5">
        <f t="shared" si="33"/>
        <v>74.400000000000006</v>
      </c>
    </row>
    <row r="947" spans="1:35" x14ac:dyDescent="0.25">
      <c r="A947" s="5" t="s">
        <v>52</v>
      </c>
      <c r="D947" s="5">
        <v>2026</v>
      </c>
      <c r="F947" s="25" t="s">
        <v>324</v>
      </c>
      <c r="G947" s="5" t="s">
        <v>61</v>
      </c>
      <c r="H947" s="5" t="s">
        <v>277</v>
      </c>
      <c r="I947" s="5">
        <v>344</v>
      </c>
      <c r="J947" s="5" t="str">
        <f>IFERROR(VLOOKUP(I947,[1]INFO_LOCALES!$B:$C,2,FALSE),"")</f>
        <v>CURICO ALAMEDA</v>
      </c>
      <c r="K947" s="5" t="str">
        <f>IFERROR(VLOOKUP(Tabla2[[#This Row],[TIENDA]],[1]INFO_LOCALES!$B:$D,3,FALSE),"")</f>
        <v>VII - Maule</v>
      </c>
      <c r="L947" s="5" t="str">
        <f>IFERROR(VLOOKUP(I947,[1]INFO_LOCALES!$B:$I,8,FALSE),"")</f>
        <v>Curicó</v>
      </c>
      <c r="M947" s="5" t="str">
        <f>IFERROR(VLOOKUP(I947,[1]INFO_LOCALES!$B:$H,7,FALSE),"")</f>
        <v>Estado 43</v>
      </c>
      <c r="N947" s="5">
        <f>IFERROR(VLOOKUP(I947,[1]INFO_LOCALES!$B:$E,4,FALSE),"")</f>
        <v>4530</v>
      </c>
      <c r="O947" s="5" t="str">
        <f>VLOOKUP(Tabla2[[#This Row],[TIENDA]],[1]INFO_LOCALES!$B:$J,9,0)</f>
        <v>SIN CONVENIO</v>
      </c>
      <c r="P947" s="5" t="str">
        <f>IFERROR(VLOOKUP(I947,[1]INFO_LOCALES!$B:$F,5,FALSE),"")</f>
        <v>NUEVOSUR S.A.</v>
      </c>
      <c r="Q947" s="5" t="s">
        <v>85</v>
      </c>
      <c r="R947" s="5" t="s">
        <v>86</v>
      </c>
      <c r="S947" s="6"/>
      <c r="T947" s="5" t="str">
        <f>UPPER(IF(Tabla2[[#This Row],[FECHA DE MUESTREO ]]=0,"",TEXT(Tabla2[[#This Row],[FECHA DE MUESTREO ]],("MMMM"))))</f>
        <v>JUNIO</v>
      </c>
      <c r="U947" s="6">
        <v>46189</v>
      </c>
      <c r="V947" s="5" t="s">
        <v>59</v>
      </c>
      <c r="W9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47" s="7">
        <f t="shared" si="34"/>
        <v>2</v>
      </c>
      <c r="Y947" s="5">
        <v>19.8</v>
      </c>
      <c r="Z947" s="5">
        <v>7.84</v>
      </c>
      <c r="AA947" s="5">
        <v>7</v>
      </c>
      <c r="AB947" s="5">
        <v>18.559999999999999</v>
      </c>
      <c r="AC947" s="5">
        <v>177.4</v>
      </c>
      <c r="AD947" s="5">
        <v>8.1</v>
      </c>
      <c r="AE947" s="5">
        <v>18.100000000000001</v>
      </c>
      <c r="AF947" s="5">
        <v>22</v>
      </c>
      <c r="AG947" s="5">
        <v>282</v>
      </c>
      <c r="AH947" s="5">
        <v>3.02</v>
      </c>
      <c r="AI947" s="5">
        <f t="shared" si="33"/>
        <v>90.6</v>
      </c>
    </row>
    <row r="948" spans="1:35" x14ac:dyDescent="0.25">
      <c r="A948" s="5" t="s">
        <v>52</v>
      </c>
      <c r="D948" s="5">
        <v>2026</v>
      </c>
      <c r="F948" s="25" t="s">
        <v>324</v>
      </c>
      <c r="I948" s="5">
        <v>375</v>
      </c>
      <c r="J948" s="5" t="str">
        <f>IFERROR(VLOOKUP(I948,[1]INFO_LOCALES!$B:$C,2,FALSE),"")</f>
        <v>ARAUCO</v>
      </c>
      <c r="K948" s="5" t="str">
        <f>IFERROR(VLOOKUP(Tabla2[[#This Row],[TIENDA]],[1]INFO_LOCALES!$B:$D,3,FALSE),"")</f>
        <v>XIV - Los Ríos</v>
      </c>
      <c r="L948" s="5" t="str">
        <f>IFERROR(VLOOKUP(I948,[1]INFO_LOCALES!$B:$I,8,FALSE),"")</f>
        <v>Valdivia</v>
      </c>
      <c r="M948" s="5" t="str">
        <f>IFERROR(VLOOKUP(I948,[1]INFO_LOCALES!$B:$H,7,FALSE),"")</f>
        <v>Arauco 697</v>
      </c>
      <c r="N948" s="5">
        <f>IFERROR(VLOOKUP(I948,[1]INFO_LOCALES!$B:$E,4,FALSE),"")</f>
        <v>3420</v>
      </c>
      <c r="O948" s="5" t="str">
        <f>VLOOKUP(Tabla2[[#This Row],[TIENDA]],[1]INFO_LOCALES!$B:$J,9,0)</f>
        <v>CONVENIO</v>
      </c>
      <c r="P948" s="5" t="str">
        <f>IFERROR(VLOOKUP(I948,[1]INFO_LOCALES!$B:$F,5,FALSE),"")</f>
        <v>AGUAS DECIMA S A</v>
      </c>
      <c r="Q948" s="5" t="s">
        <v>85</v>
      </c>
      <c r="R948" s="5" t="s">
        <v>86</v>
      </c>
      <c r="S948" s="6"/>
      <c r="T948" s="5" t="str">
        <f>UPPER(IF(Tabla2[[#This Row],[FECHA DE MUESTREO ]]=0,"",TEXT(Tabla2[[#This Row],[FECHA DE MUESTREO ]],("MMMM"))))</f>
        <v/>
      </c>
      <c r="U948" s="6"/>
      <c r="V948" s="5" t="s">
        <v>59</v>
      </c>
      <c r="W9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48" s="7">
        <f t="shared" si="34"/>
        <v>1</v>
      </c>
      <c r="AI948" s="5">
        <f t="shared" si="33"/>
        <v>0</v>
      </c>
    </row>
    <row r="949" spans="1:35" x14ac:dyDescent="0.25">
      <c r="A949" s="5" t="s">
        <v>52</v>
      </c>
      <c r="D949" s="5">
        <v>2026</v>
      </c>
      <c r="F949" s="25" t="s">
        <v>324</v>
      </c>
      <c r="I949" s="5">
        <v>375</v>
      </c>
      <c r="J949" s="5" t="str">
        <f>IFERROR(VLOOKUP(I949,[1]INFO_LOCALES!$B:$C,2,FALSE),"")</f>
        <v>ARAUCO</v>
      </c>
      <c r="K949" s="5" t="str">
        <f>IFERROR(VLOOKUP(Tabla2[[#This Row],[TIENDA]],[1]INFO_LOCALES!$B:$D,3,FALSE),"")</f>
        <v>XIV - Los Ríos</v>
      </c>
      <c r="L949" s="5" t="str">
        <f>IFERROR(VLOOKUP(I949,[1]INFO_LOCALES!$B:$I,8,FALSE),"")</f>
        <v>Valdivia</v>
      </c>
      <c r="M949" s="5" t="str">
        <f>IFERROR(VLOOKUP(I949,[1]INFO_LOCALES!$B:$H,7,FALSE),"")</f>
        <v>Arauco 697</v>
      </c>
      <c r="N949" s="5">
        <f>IFERROR(VLOOKUP(I949,[1]INFO_LOCALES!$B:$E,4,FALSE),"")</f>
        <v>3420</v>
      </c>
      <c r="O949" s="5" t="str">
        <f>VLOOKUP(Tabla2[[#This Row],[TIENDA]],[1]INFO_LOCALES!$B:$J,9,0)</f>
        <v>CONVENIO</v>
      </c>
      <c r="P949" s="5" t="str">
        <f>IFERROR(VLOOKUP(I949,[1]INFO_LOCALES!$B:$F,5,FALSE),"")</f>
        <v>AGUAS DECIMA S A</v>
      </c>
      <c r="Q949" s="5" t="s">
        <v>85</v>
      </c>
      <c r="R949" s="5" t="s">
        <v>86</v>
      </c>
      <c r="S949" s="6"/>
      <c r="T949" s="5" t="str">
        <f>UPPER(IF(Tabla2[[#This Row],[FECHA DE MUESTREO ]]=0,"",TEXT(Tabla2[[#This Row],[FECHA DE MUESTREO ]],("MMMM"))))</f>
        <v/>
      </c>
      <c r="U949" s="6"/>
      <c r="V949" s="5" t="s">
        <v>59</v>
      </c>
      <c r="W9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49" s="7">
        <f t="shared" si="34"/>
        <v>1</v>
      </c>
      <c r="AI949" s="5">
        <f t="shared" si="33"/>
        <v>0</v>
      </c>
    </row>
    <row r="950" spans="1:35" x14ac:dyDescent="0.25">
      <c r="A950" s="5" t="s">
        <v>52</v>
      </c>
      <c r="D950" s="5">
        <v>2026</v>
      </c>
      <c r="F950" s="25" t="s">
        <v>324</v>
      </c>
      <c r="H950" s="5" t="s">
        <v>306</v>
      </c>
      <c r="I950" s="5">
        <v>465</v>
      </c>
      <c r="J950" s="5" t="str">
        <f>IFERROR(VLOOKUP(I950,[1]INFO_LOCALES!$B:$C,2,FALSE),"")</f>
        <v>PUERTO NATALES</v>
      </c>
      <c r="K950" s="5" t="str">
        <f>IFERROR(VLOOKUP(Tabla2[[#This Row],[TIENDA]],[1]INFO_LOCALES!$B:$D,3,FALSE),"")</f>
        <v>XII - Magallanes</v>
      </c>
      <c r="L950" s="5" t="str">
        <f>IFERROR(VLOOKUP(I950,[1]INFO_LOCALES!$B:$I,8,FALSE),"")</f>
        <v>Puerto Natales</v>
      </c>
      <c r="M950" s="5" t="str">
        <f>IFERROR(VLOOKUP(I950,[1]INFO_LOCALES!$B:$H,7,FALSE),"")</f>
        <v>Bulnes 742</v>
      </c>
      <c r="N950" s="5">
        <f>IFERROR(VLOOKUP(I950,[1]INFO_LOCALES!$B:$E,4,FALSE),"")</f>
        <v>1133</v>
      </c>
      <c r="O950" s="5" t="str">
        <f>VLOOKUP(Tabla2[[#This Row],[TIENDA]],[1]INFO_LOCALES!$B:$J,9,0)</f>
        <v>SIN CONVENIO</v>
      </c>
      <c r="P950" s="5" t="str">
        <f>IFERROR(VLOOKUP(I950,[1]INFO_LOCALES!$B:$F,5,FALSE),"")</f>
        <v>AGUAS MAGALLANES S.A.</v>
      </c>
      <c r="Q950" s="5" t="s">
        <v>291</v>
      </c>
      <c r="R950" s="5" t="s">
        <v>86</v>
      </c>
      <c r="S950" s="6"/>
      <c r="T950" s="5" t="str">
        <f>UPPER(IF(Tabla2[[#This Row],[FECHA DE MUESTREO ]]=0,"",TEXT(Tabla2[[#This Row],[FECHA DE MUESTREO ]],("MMMM"))))</f>
        <v/>
      </c>
      <c r="U950" s="6"/>
      <c r="V950" s="5" t="s">
        <v>135</v>
      </c>
      <c r="W9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50" s="7">
        <f t="shared" si="34"/>
        <v>1</v>
      </c>
      <c r="AI950" s="5">
        <f t="shared" si="33"/>
        <v>0</v>
      </c>
    </row>
    <row r="951" spans="1:35" x14ac:dyDescent="0.25">
      <c r="A951" s="5" t="s">
        <v>52</v>
      </c>
      <c r="D951" s="5">
        <v>2026</v>
      </c>
      <c r="F951" s="25" t="s">
        <v>324</v>
      </c>
      <c r="I951" s="5">
        <v>458</v>
      </c>
      <c r="J951" s="5" t="str">
        <f>IFERROR(VLOOKUP(I951,[1]INFO_LOCALES!$B:$C,2,FALSE),"")</f>
        <v>ESPAÑA AUSTRAL</v>
      </c>
      <c r="K951" s="5" t="str">
        <f>IFERROR(VLOOKUP(Tabla2[[#This Row],[TIENDA]],[1]INFO_LOCALES!$B:$D,3,FALSE),"")</f>
        <v>XII - Magallanes</v>
      </c>
      <c r="L951" s="5" t="str">
        <f>IFERROR(VLOOKUP(I951,[1]INFO_LOCALES!$B:$I,8,FALSE),"")</f>
        <v>Punta Arenas</v>
      </c>
      <c r="M951" s="5" t="str">
        <f>IFERROR(VLOOKUP(I951,[1]INFO_LOCALES!$B:$H,7,FALSE),"")</f>
        <v>Av. España 01375</v>
      </c>
      <c r="N951" s="5">
        <f>IFERROR(VLOOKUP(I951,[1]INFO_LOCALES!$B:$E,4,FALSE),"")</f>
        <v>1306</v>
      </c>
      <c r="O951" s="5" t="str">
        <f>VLOOKUP(Tabla2[[#This Row],[TIENDA]],[1]INFO_LOCALES!$B:$J,9,0)</f>
        <v>SIN CONVENIO</v>
      </c>
      <c r="P951" s="5" t="str">
        <f>IFERROR(VLOOKUP(I951,[1]INFO_LOCALES!$B:$F,5,FALSE),"")</f>
        <v>AGUAS MAGALLANES S.A.</v>
      </c>
      <c r="Q951" s="5" t="s">
        <v>85</v>
      </c>
      <c r="R951" s="5" t="s">
        <v>86</v>
      </c>
      <c r="S951" s="6"/>
      <c r="T951" s="5" t="str">
        <f>UPPER(IF(Tabla2[[#This Row],[FECHA DE MUESTREO ]]=0,"",TEXT(Tabla2[[#This Row],[FECHA DE MUESTREO ]],("MMMM"))))</f>
        <v/>
      </c>
      <c r="U951" s="6"/>
      <c r="V951" s="5" t="s">
        <v>59</v>
      </c>
      <c r="W9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51" s="7">
        <f t="shared" si="34"/>
        <v>1</v>
      </c>
      <c r="AI951" s="5">
        <f t="shared" si="33"/>
        <v>0</v>
      </c>
    </row>
    <row r="952" spans="1:35" x14ac:dyDescent="0.25">
      <c r="A952" s="5" t="s">
        <v>52</v>
      </c>
      <c r="D952" s="5">
        <v>2026</v>
      </c>
      <c r="F952" s="25" t="s">
        <v>324</v>
      </c>
      <c r="G952" s="5" t="s">
        <v>326</v>
      </c>
      <c r="H952" s="5" t="s">
        <v>277</v>
      </c>
      <c r="I952" s="5">
        <v>459</v>
      </c>
      <c r="J952" s="5" t="str">
        <f>IFERROR(VLOOKUP(I952,[1]INFO_LOCALES!$B:$C,2,FALSE),"")</f>
        <v>ALLENDE AUSTRAL</v>
      </c>
      <c r="K952" s="5" t="str">
        <f>IFERROR(VLOOKUP(Tabla2[[#This Row],[TIENDA]],[1]INFO_LOCALES!$B:$D,3,FALSE),"")</f>
        <v>XII - Magallanes</v>
      </c>
      <c r="L952" s="5" t="str">
        <f>IFERROR(VLOOKUP(I952,[1]INFO_LOCALES!$B:$I,8,FALSE),"")</f>
        <v>Punta Arenas</v>
      </c>
      <c r="M952" s="5" t="str">
        <f>IFERROR(VLOOKUP(I952,[1]INFO_LOCALES!$B:$H,7,FALSE),"")</f>
        <v>Salvador Allende 0399</v>
      </c>
      <c r="N952" s="5">
        <f>IFERROR(VLOOKUP(I952,[1]INFO_LOCALES!$B:$E,4,FALSE),"")</f>
        <v>3735</v>
      </c>
      <c r="O952" s="5" t="str">
        <f>VLOOKUP(Tabla2[[#This Row],[TIENDA]],[1]INFO_LOCALES!$B:$J,9,0)</f>
        <v>SIN CONVENIO</v>
      </c>
      <c r="P952" s="5" t="str">
        <f>IFERROR(VLOOKUP(I952,[1]INFO_LOCALES!$B:$F,5,FALSE),"")</f>
        <v>AGUAS MAGALLANES S.A.</v>
      </c>
      <c r="Q952" s="5" t="s">
        <v>85</v>
      </c>
      <c r="R952" s="5" t="s">
        <v>86</v>
      </c>
      <c r="S952" s="6"/>
      <c r="T952" s="5" t="str">
        <f>UPPER(IF(Tabla2[[#This Row],[FECHA DE MUESTREO ]]=0,"",TEXT(Tabla2[[#This Row],[FECHA DE MUESTREO ]],("MMMM"))))</f>
        <v>JUNIO</v>
      </c>
      <c r="U952" s="6">
        <v>46189</v>
      </c>
      <c r="V952" s="5" t="s">
        <v>59</v>
      </c>
      <c r="W9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52" s="7">
        <f t="shared" si="34"/>
        <v>1</v>
      </c>
      <c r="Y952" s="5">
        <v>21.8</v>
      </c>
      <c r="Z952" s="5">
        <v>6.57</v>
      </c>
      <c r="AA952" s="5">
        <v>2</v>
      </c>
      <c r="AB952" s="5">
        <v>8.9</v>
      </c>
      <c r="AC952" s="5">
        <v>191</v>
      </c>
      <c r="AD952" s="5">
        <v>4.9000000000000004</v>
      </c>
      <c r="AE952" s="5">
        <v>9.3000000000000007</v>
      </c>
      <c r="AF952" s="5">
        <v>0.2</v>
      </c>
      <c r="AG952" s="5">
        <v>55.3</v>
      </c>
      <c r="AH952" s="5">
        <v>3</v>
      </c>
      <c r="AI952" s="5">
        <f t="shared" si="33"/>
        <v>90</v>
      </c>
    </row>
    <row r="953" spans="1:35" x14ac:dyDescent="0.25">
      <c r="A953" s="5" t="s">
        <v>52</v>
      </c>
      <c r="D953" s="5">
        <v>2026</v>
      </c>
      <c r="F953" s="25" t="s">
        <v>324</v>
      </c>
      <c r="G953" s="5" t="s">
        <v>326</v>
      </c>
      <c r="H953" s="5" t="s">
        <v>277</v>
      </c>
      <c r="I953" s="5">
        <v>461</v>
      </c>
      <c r="J953" s="5" t="str">
        <f>IFERROR(VLOOKUP(I953,[1]INFO_LOCALES!$B:$C,2,FALSE),"")</f>
        <v>ZENTENO AUSTRAL</v>
      </c>
      <c r="K953" s="5" t="str">
        <f>IFERROR(VLOOKUP(Tabla2[[#This Row],[TIENDA]],[1]INFO_LOCALES!$B:$D,3,FALSE),"")</f>
        <v>XII - Magallanes</v>
      </c>
      <c r="L953" s="5" t="str">
        <f>IFERROR(VLOOKUP(I953,[1]INFO_LOCALES!$B:$I,8,FALSE),"")</f>
        <v>Punta Arenas</v>
      </c>
      <c r="M953" s="5" t="str">
        <f>IFERROR(VLOOKUP(I953,[1]INFO_LOCALES!$B:$H,7,FALSE),"")</f>
        <v>Capitan Guillermo 05</v>
      </c>
      <c r="N953" s="5">
        <f>IFERROR(VLOOKUP(I953,[1]INFO_LOCALES!$B:$E,4,FALSE),"")</f>
        <v>3736</v>
      </c>
      <c r="O953" s="5" t="str">
        <f>VLOOKUP(Tabla2[[#This Row],[TIENDA]],[1]INFO_LOCALES!$B:$J,9,0)</f>
        <v>SIN CONVENIO</v>
      </c>
      <c r="P953" s="5" t="str">
        <f>IFERROR(VLOOKUP(I953,[1]INFO_LOCALES!$B:$F,5,FALSE),"")</f>
        <v>AGUAS MAGALLANES S.A.</v>
      </c>
      <c r="Q953" s="5" t="s">
        <v>85</v>
      </c>
      <c r="R953" s="5" t="s">
        <v>86</v>
      </c>
      <c r="S953" s="6"/>
      <c r="T953" s="5" t="str">
        <f>UPPER(IF(Tabla2[[#This Row],[FECHA DE MUESTREO ]]=0,"",TEXT(Tabla2[[#This Row],[FECHA DE MUESTREO ]],("MMMM"))))</f>
        <v>JUNIO</v>
      </c>
      <c r="U953" s="6">
        <v>46190</v>
      </c>
      <c r="V953" s="5" t="s">
        <v>59</v>
      </c>
      <c r="W9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53" s="7">
        <f t="shared" si="34"/>
        <v>1</v>
      </c>
      <c r="Y953" s="5">
        <v>6.3</v>
      </c>
      <c r="Z953" s="5">
        <v>8.15</v>
      </c>
      <c r="AA953" s="5">
        <v>4</v>
      </c>
      <c r="AB953" s="5">
        <v>6.2</v>
      </c>
      <c r="AC953" s="5">
        <v>195.4</v>
      </c>
      <c r="AD953" s="5">
        <v>2.7</v>
      </c>
      <c r="AE953" s="5">
        <v>15.6</v>
      </c>
      <c r="AF953" s="5">
        <v>0.2</v>
      </c>
      <c r="AG953" s="5">
        <v>50</v>
      </c>
      <c r="AH953" s="5">
        <v>5</v>
      </c>
      <c r="AI953" s="5">
        <f t="shared" si="33"/>
        <v>150</v>
      </c>
    </row>
    <row r="954" spans="1:35" x14ac:dyDescent="0.25">
      <c r="A954" s="5" t="s">
        <v>52</v>
      </c>
      <c r="D954" s="5">
        <v>2026</v>
      </c>
      <c r="F954" s="25" t="s">
        <v>324</v>
      </c>
      <c r="G954" s="5" t="s">
        <v>326</v>
      </c>
      <c r="H954" s="27" t="s">
        <v>247</v>
      </c>
      <c r="I954" s="5">
        <v>463</v>
      </c>
      <c r="J954" s="5" t="str">
        <f>IFERROR(VLOOKUP(I954,[1]INFO_LOCALES!$B:$C,2,FALSE),"")</f>
        <v>BORIES AUSTRAL</v>
      </c>
      <c r="K954" s="5" t="str">
        <f>IFERROR(VLOOKUP(Tabla2[[#This Row],[TIENDA]],[1]INFO_LOCALES!$B:$D,3,FALSE),"")</f>
        <v>XII - Magallanes</v>
      </c>
      <c r="L954" s="5" t="str">
        <f>IFERROR(VLOOKUP(I954,[1]INFO_LOCALES!$B:$I,8,FALSE),"")</f>
        <v>Punta Arenas</v>
      </c>
      <c r="M954" s="5" t="str">
        <f>IFERROR(VLOOKUP(I954,[1]INFO_LOCALES!$B:$H,7,FALSE),"")</f>
        <v>Gobernador Bories 647</v>
      </c>
      <c r="N954" s="5">
        <f>IFERROR(VLOOKUP(I954,[1]INFO_LOCALES!$B:$E,4,FALSE),"")</f>
        <v>3739</v>
      </c>
      <c r="O954" s="5" t="str">
        <f>VLOOKUP(Tabla2[[#This Row],[TIENDA]],[1]INFO_LOCALES!$B:$J,9,0)</f>
        <v>SIN CONVENIO</v>
      </c>
      <c r="P954" s="5" t="str">
        <f>IFERROR(VLOOKUP(I954,[1]INFO_LOCALES!$B:$F,5,FALSE),"")</f>
        <v>AGUAS MAGALLANES S.A.</v>
      </c>
      <c r="Q954" s="5" t="s">
        <v>85</v>
      </c>
      <c r="R954" s="5" t="s">
        <v>86</v>
      </c>
      <c r="S954" s="6"/>
      <c r="T954" s="5" t="str">
        <f>UPPER(IF(Tabla2[[#This Row],[FECHA DE MUESTREO ]]=0,"",TEXT(Tabla2[[#This Row],[FECHA DE MUESTREO ]],("MMMM"))))</f>
        <v>JUNIO</v>
      </c>
      <c r="U954" s="6">
        <v>46192</v>
      </c>
      <c r="V954" s="5" t="s">
        <v>59</v>
      </c>
      <c r="W9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54" s="7">
        <f t="shared" si="34"/>
        <v>2</v>
      </c>
      <c r="Y954" s="5">
        <v>18</v>
      </c>
      <c r="Z954" s="5">
        <v>7.5</v>
      </c>
      <c r="AA954" s="5">
        <v>2</v>
      </c>
      <c r="AB954" s="5">
        <v>11.1</v>
      </c>
      <c r="AC954" s="5">
        <v>388.2</v>
      </c>
      <c r="AD954" s="5">
        <v>7.6</v>
      </c>
      <c r="AE954" s="5">
        <v>14</v>
      </c>
      <c r="AF954" s="5">
        <v>0.3</v>
      </c>
      <c r="AG954" s="5">
        <v>79</v>
      </c>
      <c r="AH954" s="5">
        <v>19</v>
      </c>
      <c r="AI954" s="5">
        <f t="shared" si="33"/>
        <v>570</v>
      </c>
    </row>
    <row r="955" spans="1:35" x14ac:dyDescent="0.25">
      <c r="A955" s="5" t="s">
        <v>52</v>
      </c>
      <c r="D955" s="5">
        <v>2026</v>
      </c>
      <c r="E955" s="5" t="s">
        <v>327</v>
      </c>
      <c r="F955" s="25" t="s">
        <v>324</v>
      </c>
      <c r="G955" s="5" t="s">
        <v>328</v>
      </c>
      <c r="H955" s="5" t="s">
        <v>277</v>
      </c>
      <c r="I955" s="5">
        <v>576</v>
      </c>
      <c r="J955" s="5" t="str">
        <f>IFERROR(VLOOKUP(I955,[1]INFO_LOCALES!$B:$C,2,FALSE),"")</f>
        <v>CASTRO I</v>
      </c>
      <c r="K955" s="5" t="str">
        <f>IFERROR(VLOOKUP(Tabla2[[#This Row],[TIENDA]],[1]INFO_LOCALES!$B:$D,3,FALSE),"")</f>
        <v>X - Los Lagos</v>
      </c>
      <c r="L955" s="5" t="str">
        <f>IFERROR(VLOOKUP(I955,[1]INFO_LOCALES!$B:$I,8,FALSE),"")</f>
        <v>Castro</v>
      </c>
      <c r="M955" s="5" t="str">
        <f>IFERROR(VLOOKUP(I955,[1]INFO_LOCALES!$B:$H,7,FALSE),"")</f>
        <v>O'Higgins 711</v>
      </c>
      <c r="N955" s="5">
        <f>IFERROR(VLOOKUP(I955,[1]INFO_LOCALES!$B:$E,4,FALSE),"")</f>
        <v>3875</v>
      </c>
      <c r="O955" s="5" t="str">
        <f>VLOOKUP(Tabla2[[#This Row],[TIENDA]],[1]INFO_LOCALES!$B:$J,9,0)</f>
        <v>SIN CONVENIO</v>
      </c>
      <c r="P955" s="5" t="str">
        <f>IFERROR(VLOOKUP(I955,[1]INFO_LOCALES!$B:$F,5,FALSE),"")</f>
        <v>SURALIS</v>
      </c>
      <c r="Q955" s="5" t="s">
        <v>85</v>
      </c>
      <c r="R955" s="5" t="s">
        <v>86</v>
      </c>
      <c r="S955" s="6"/>
      <c r="T955" s="5" t="str">
        <f>UPPER(IF(Tabla2[[#This Row],[FECHA DE MUESTREO ]]=0,"",TEXT(Tabla2[[#This Row],[FECHA DE MUESTREO ]],("MMMM"))))</f>
        <v>JUNIO</v>
      </c>
      <c r="U955" s="6">
        <v>46189</v>
      </c>
      <c r="V955" s="5" t="s">
        <v>59</v>
      </c>
      <c r="W9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55" s="7">
        <f t="shared" si="34"/>
        <v>1</v>
      </c>
      <c r="Y955" s="5">
        <v>17.100000000000001</v>
      </c>
      <c r="Z955" s="5">
        <v>7.2</v>
      </c>
      <c r="AA955" s="5">
        <v>3</v>
      </c>
      <c r="AB955" s="5">
        <v>15.38</v>
      </c>
      <c r="AC955" s="5">
        <v>258.7</v>
      </c>
      <c r="AD955" s="5">
        <v>5.2</v>
      </c>
      <c r="AE955" s="5">
        <v>23.6</v>
      </c>
      <c r="AF955" s="5">
        <v>0.1</v>
      </c>
      <c r="AG955" s="5">
        <v>77</v>
      </c>
      <c r="AH955" s="5">
        <v>4</v>
      </c>
      <c r="AI955" s="5">
        <f t="shared" si="33"/>
        <v>120</v>
      </c>
    </row>
    <row r="956" spans="1:35" x14ac:dyDescent="0.25">
      <c r="A956" s="5" t="s">
        <v>52</v>
      </c>
      <c r="D956" s="5">
        <v>2026</v>
      </c>
      <c r="F956" s="25" t="s">
        <v>324</v>
      </c>
      <c r="G956" s="5" t="s">
        <v>61</v>
      </c>
      <c r="H956" s="5" t="s">
        <v>325</v>
      </c>
      <c r="I956" s="5">
        <v>645</v>
      </c>
      <c r="J956" s="5" t="str">
        <f>IFERROR(VLOOKUP(I956,[1]INFO_LOCALES!$B:$C,2,FALSE),"")</f>
        <v>MEMBRILLAR</v>
      </c>
      <c r="K956" s="5" t="str">
        <f>IFERROR(VLOOKUP(Tabla2[[#This Row],[TIENDA]],[1]INFO_LOCALES!$B:$D,3,FALSE),"")</f>
        <v>VI - O'Higgins</v>
      </c>
      <c r="L956" s="5" t="str">
        <f>IFERROR(VLOOKUP(I956,[1]INFO_LOCALES!$B:$I,8,FALSE),"")</f>
        <v>Rancagua</v>
      </c>
      <c r="M956" s="5" t="str">
        <f>IFERROR(VLOOKUP(I956,[1]INFO_LOCALES!$B:$H,7,FALSE),"")</f>
        <v>Av. Membrillar 10</v>
      </c>
      <c r="N956" s="5">
        <f>IFERROR(VLOOKUP(I956,[1]INFO_LOCALES!$B:$E,4,FALSE),"")</f>
        <v>84</v>
      </c>
      <c r="O956" s="5" t="str">
        <f>VLOOKUP(Tabla2[[#This Row],[TIENDA]],[1]INFO_LOCALES!$B:$J,9,0)</f>
        <v>SIN CONVENIO</v>
      </c>
      <c r="P956" s="5" t="str">
        <f>IFERROR(VLOOKUP(I956,[1]INFO_LOCALES!$B:$F,5,FALSE),"")</f>
        <v>ESSBIO S.A.</v>
      </c>
      <c r="Q956" s="5" t="s">
        <v>85</v>
      </c>
      <c r="R956" s="5" t="s">
        <v>86</v>
      </c>
      <c r="S956" s="6"/>
      <c r="T956" s="5" t="str">
        <f>UPPER(IF(Tabla2[[#This Row],[FECHA DE MUESTREO ]]=0,"",TEXT(Tabla2[[#This Row],[FECHA DE MUESTREO ]],("MMMM"))))</f>
        <v>JUNIO</v>
      </c>
      <c r="U956" s="6">
        <v>46177</v>
      </c>
      <c r="V956" s="5" t="s">
        <v>59</v>
      </c>
      <c r="W9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56" s="7">
        <f t="shared" si="34"/>
        <v>2</v>
      </c>
      <c r="Y956" s="5">
        <v>62.6</v>
      </c>
      <c r="Z956" s="5">
        <v>7.55</v>
      </c>
      <c r="AA956" s="5">
        <v>2</v>
      </c>
      <c r="AB956" s="5">
        <v>17</v>
      </c>
      <c r="AC956" s="5">
        <v>333.2</v>
      </c>
      <c r="AD956" s="5">
        <v>3.4</v>
      </c>
      <c r="AE956" s="5">
        <v>13.4</v>
      </c>
      <c r="AF956" s="5">
        <v>0.2</v>
      </c>
      <c r="AG956" s="5">
        <v>130</v>
      </c>
      <c r="AH956" s="5">
        <v>2.79</v>
      </c>
      <c r="AI956" s="5">
        <f t="shared" si="33"/>
        <v>83.7</v>
      </c>
    </row>
    <row r="957" spans="1:35" x14ac:dyDescent="0.25">
      <c r="A957" s="5" t="s">
        <v>52</v>
      </c>
      <c r="D957" s="5">
        <v>2026</v>
      </c>
      <c r="E957" s="5" t="s">
        <v>329</v>
      </c>
      <c r="F957" s="25" t="s">
        <v>324</v>
      </c>
      <c r="G957" s="26" t="s">
        <v>258</v>
      </c>
      <c r="H957" s="16" t="s">
        <v>325</v>
      </c>
      <c r="I957" s="5">
        <v>771</v>
      </c>
      <c r="J957" s="5" t="str">
        <f>IFERROR(VLOOKUP(I957,[1]INFO_LOCALES!$B:$C,2,FALSE),"")</f>
        <v>MIRASOL</v>
      </c>
      <c r="K957" s="5" t="str">
        <f>IFERROR(VLOOKUP(Tabla2[[#This Row],[TIENDA]],[1]INFO_LOCALES!$B:$D,3,FALSE),"")</f>
        <v>X - Los Lagos</v>
      </c>
      <c r="L957" s="5" t="str">
        <f>IFERROR(VLOOKUP(I957,[1]INFO_LOCALES!$B:$I,8,FALSE),"")</f>
        <v>Puerto Montt</v>
      </c>
      <c r="M957" s="5" t="str">
        <f>IFERROR(VLOOKUP(I957,[1]INFO_LOCALES!$B:$H,7,FALSE),"")</f>
        <v>Av. La Cruz 2006</v>
      </c>
      <c r="N957" s="5">
        <f>IFERROR(VLOOKUP(I957,[1]INFO_LOCALES!$B:$E,4,FALSE),"")</f>
        <v>3723</v>
      </c>
      <c r="O957" s="5" t="str">
        <f>VLOOKUP(Tabla2[[#This Row],[TIENDA]],[1]INFO_LOCALES!$B:$J,9,0)</f>
        <v>SIN CONVENIO</v>
      </c>
      <c r="P957" s="5" t="str">
        <f>IFERROR(VLOOKUP(I957,[1]INFO_LOCALES!$B:$F,5,FALSE),"")</f>
        <v>SURALIS</v>
      </c>
      <c r="Q957" s="5" t="s">
        <v>85</v>
      </c>
      <c r="R957" s="5" t="s">
        <v>86</v>
      </c>
      <c r="S957" s="6"/>
      <c r="T957" s="5" t="str">
        <f>UPPER(IF(Tabla2[[#This Row],[FECHA DE MUESTREO ]]=0,"",TEXT(Tabla2[[#This Row],[FECHA DE MUESTREO ]],("MMMM"))))</f>
        <v>JUNIO</v>
      </c>
      <c r="U957" s="6">
        <v>46184</v>
      </c>
      <c r="V957" s="5" t="s">
        <v>59</v>
      </c>
      <c r="W9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57" s="7">
        <f t="shared" si="34"/>
        <v>2</v>
      </c>
      <c r="Y957" s="5">
        <v>144.30000000000001</v>
      </c>
      <c r="Z957" s="5">
        <v>6.76</v>
      </c>
      <c r="AA957" s="5">
        <v>9</v>
      </c>
      <c r="AB957" s="5">
        <v>14.1</v>
      </c>
      <c r="AC957" s="5">
        <v>432.6</v>
      </c>
      <c r="AD957" s="5">
        <v>9.6999999999999993</v>
      </c>
      <c r="AE957" s="5">
        <v>27.3</v>
      </c>
      <c r="AF957" s="5">
        <v>20</v>
      </c>
      <c r="AG957" s="5">
        <v>388</v>
      </c>
      <c r="AI957" s="5">
        <f t="shared" si="33"/>
        <v>0</v>
      </c>
    </row>
    <row r="958" spans="1:35" x14ac:dyDescent="0.25">
      <c r="A958" s="5" t="s">
        <v>52</v>
      </c>
      <c r="D958" s="5">
        <v>2026</v>
      </c>
      <c r="F958" s="25" t="s">
        <v>324</v>
      </c>
      <c r="G958" s="5" t="s">
        <v>61</v>
      </c>
      <c r="H958" s="5" t="s">
        <v>277</v>
      </c>
      <c r="I958" s="5">
        <v>777</v>
      </c>
      <c r="J958" s="5" t="str">
        <f>IFERROR(VLOOKUP(I958,[1]INFO_LOCALES!$B:$C,2,FALSE),"")</f>
        <v>CENTRAL</v>
      </c>
      <c r="K958" s="5" t="str">
        <f>IFERROR(VLOOKUP(Tabla2[[#This Row],[TIENDA]],[1]INFO_LOCALES!$B:$D,3,FALSE),"")</f>
        <v>X - Los Lagos</v>
      </c>
      <c r="L958" s="5" t="str">
        <f>IFERROR(VLOOKUP(I958,[1]INFO_LOCALES!$B:$I,8,FALSE),"")</f>
        <v>Osorno</v>
      </c>
      <c r="M958" s="5" t="str">
        <f>IFERROR(VLOOKUP(I958,[1]INFO_LOCALES!$B:$H,7,FALSE),"")</f>
        <v>Patricio Lynch 1278</v>
      </c>
      <c r="N958" s="5">
        <f>IFERROR(VLOOKUP(I958,[1]INFO_LOCALES!$B:$E,4,FALSE),"")</f>
        <v>3684</v>
      </c>
      <c r="O958" s="5" t="str">
        <f>VLOOKUP(Tabla2[[#This Row],[TIENDA]],[1]INFO_LOCALES!$B:$J,9,0)</f>
        <v>CONVENIO</v>
      </c>
      <c r="P958" s="5" t="str">
        <f>IFERROR(VLOOKUP(I958,[1]INFO_LOCALES!$B:$F,5,FALSE),"")</f>
        <v>SURALIS</v>
      </c>
      <c r="Q958" s="5" t="s">
        <v>85</v>
      </c>
      <c r="R958" s="5" t="s">
        <v>86</v>
      </c>
      <c r="S958" s="6"/>
      <c r="T958" s="5" t="str">
        <f>UPPER(IF(Tabla2[[#This Row],[FECHA DE MUESTREO ]]=0,"",TEXT(Tabla2[[#This Row],[FECHA DE MUESTREO ]],("MMMM"))))</f>
        <v>JUNIO</v>
      </c>
      <c r="U958" s="6">
        <v>46182</v>
      </c>
      <c r="V958" s="5" t="s">
        <v>59</v>
      </c>
      <c r="W9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58" s="7">
        <f t="shared" si="34"/>
        <v>1</v>
      </c>
      <c r="Y958" s="5">
        <v>5.3</v>
      </c>
      <c r="Z958" s="5">
        <v>7.48</v>
      </c>
      <c r="AA958" s="5">
        <v>3</v>
      </c>
      <c r="AB958" s="5">
        <v>14.23</v>
      </c>
      <c r="AC958" s="5">
        <v>73.3</v>
      </c>
      <c r="AD958" s="5">
        <v>3.2</v>
      </c>
      <c r="AE958" s="5">
        <v>9.9</v>
      </c>
      <c r="AF958" s="5">
        <v>1</v>
      </c>
      <c r="AG958" s="5">
        <v>28</v>
      </c>
      <c r="AH958" s="5">
        <v>2</v>
      </c>
      <c r="AI958" s="5">
        <f t="shared" si="33"/>
        <v>60</v>
      </c>
    </row>
    <row r="959" spans="1:35" x14ac:dyDescent="0.25">
      <c r="A959" s="5" t="s">
        <v>52</v>
      </c>
      <c r="D959" s="5">
        <v>2026</v>
      </c>
      <c r="F959" s="25" t="s">
        <v>324</v>
      </c>
      <c r="G959" s="5" t="s">
        <v>61</v>
      </c>
      <c r="H959" s="5" t="s">
        <v>277</v>
      </c>
      <c r="I959" s="5">
        <v>778</v>
      </c>
      <c r="J959" s="5" t="str">
        <f>IFERROR(VLOOKUP(I959,[1]INFO_LOCALES!$B:$C,2,FALSE),"")</f>
        <v>ORIENTE</v>
      </c>
      <c r="K959" s="5" t="str">
        <f>IFERROR(VLOOKUP(Tabla2[[#This Row],[TIENDA]],[1]INFO_LOCALES!$B:$D,3,FALSE),"")</f>
        <v>X - Los Lagos</v>
      </c>
      <c r="L959" s="5" t="str">
        <f>IFERROR(VLOOKUP(I959,[1]INFO_LOCALES!$B:$I,8,FALSE),"")</f>
        <v>Osorno</v>
      </c>
      <c r="M959" s="5" t="str">
        <f>IFERROR(VLOOKUP(I959,[1]INFO_LOCALES!$B:$H,7,FALSE),"")</f>
        <v>Julio Buschman 2223</v>
      </c>
      <c r="N959" s="5">
        <f>IFERROR(VLOOKUP(I959,[1]INFO_LOCALES!$B:$E,4,FALSE),"")</f>
        <v>2867</v>
      </c>
      <c r="O959" s="5" t="str">
        <f>VLOOKUP(Tabla2[[#This Row],[TIENDA]],[1]INFO_LOCALES!$B:$J,9,0)</f>
        <v>CONVENIO</v>
      </c>
      <c r="P959" s="5" t="str">
        <f>IFERROR(VLOOKUP(I959,[1]INFO_LOCALES!$B:$F,5,FALSE),"")</f>
        <v>SURALIS</v>
      </c>
      <c r="Q959" s="5" t="s">
        <v>85</v>
      </c>
      <c r="R959" s="5" t="s">
        <v>86</v>
      </c>
      <c r="S959" s="6"/>
      <c r="T959" s="5" t="str">
        <f>UPPER(IF(Tabla2[[#This Row],[FECHA DE MUESTREO ]]=0,"",TEXT(Tabla2[[#This Row],[FECHA DE MUESTREO ]],("MMMM"))))</f>
        <v>JUNIO</v>
      </c>
      <c r="U959" s="6">
        <v>46182</v>
      </c>
      <c r="V959" s="5" t="s">
        <v>59</v>
      </c>
      <c r="W9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59" s="7">
        <f t="shared" si="34"/>
        <v>1</v>
      </c>
      <c r="Y959" s="5">
        <v>15.2</v>
      </c>
      <c r="Z959" s="5">
        <v>7.41</v>
      </c>
      <c r="AA959" s="5">
        <v>4</v>
      </c>
      <c r="AB959" s="5">
        <v>16.690000000000001</v>
      </c>
      <c r="AC959" s="5">
        <v>148.30000000000001</v>
      </c>
      <c r="AD959" s="5">
        <v>7.4</v>
      </c>
      <c r="AE959" s="5">
        <v>17.100000000000001</v>
      </c>
      <c r="AF959" s="5">
        <v>1.4</v>
      </c>
      <c r="AG959" s="5">
        <v>59</v>
      </c>
      <c r="AH959" s="5">
        <v>3</v>
      </c>
      <c r="AI959" s="5">
        <f t="shared" si="33"/>
        <v>90</v>
      </c>
    </row>
    <row r="960" spans="1:35" x14ac:dyDescent="0.25">
      <c r="A960" s="5" t="s">
        <v>52</v>
      </c>
      <c r="D960" s="5">
        <v>2026</v>
      </c>
      <c r="E960" s="5" t="s">
        <v>330</v>
      </c>
      <c r="F960" s="25" t="s">
        <v>324</v>
      </c>
      <c r="G960" s="26" t="s">
        <v>331</v>
      </c>
      <c r="H960" s="26" t="s">
        <v>325</v>
      </c>
      <c r="I960" s="5">
        <v>780</v>
      </c>
      <c r="J960" s="5" t="str">
        <f>IFERROR(VLOOKUP(I960,[1]INFO_LOCALES!$B:$C,2,FALSE),"")</f>
        <v>VICTORIA</v>
      </c>
      <c r="K960" s="5" t="str">
        <f>IFERROR(VLOOKUP(Tabla2[[#This Row],[TIENDA]],[1]INFO_LOCALES!$B:$D,3,FALSE),"")</f>
        <v>X - Los Lagos</v>
      </c>
      <c r="L960" s="5" t="str">
        <f>IFERROR(VLOOKUP(I960,[1]INFO_LOCALES!$B:$I,8,FALSE),"")</f>
        <v>Osorno</v>
      </c>
      <c r="M960" s="5" t="str">
        <f>IFERROR(VLOOKUP(I960,[1]INFO_LOCALES!$B:$H,7,FALSE),"")</f>
        <v>Victoria 367 Rahue Bajo</v>
      </c>
      <c r="N960" s="5">
        <f>IFERROR(VLOOKUP(I960,[1]INFO_LOCALES!$B:$E,4,FALSE),"")</f>
        <v>1362</v>
      </c>
      <c r="O960" s="5" t="str">
        <f>VLOOKUP(Tabla2[[#This Row],[TIENDA]],[1]INFO_LOCALES!$B:$J,9,0)</f>
        <v>SIN CONVENIO</v>
      </c>
      <c r="P960" s="5" t="str">
        <f>IFERROR(VLOOKUP(I960,[1]INFO_LOCALES!$B:$F,5,FALSE),"")</f>
        <v>SURALIS</v>
      </c>
      <c r="Q960" s="5" t="s">
        <v>85</v>
      </c>
      <c r="R960" s="5" t="s">
        <v>86</v>
      </c>
      <c r="S960" s="6"/>
      <c r="T960" s="5" t="str">
        <f>UPPER(IF(Tabla2[[#This Row],[FECHA DE MUESTREO ]]=0,"",TEXT(Tabla2[[#This Row],[FECHA DE MUESTREO ]],("MMMM"))))</f>
        <v>JUNIO</v>
      </c>
      <c r="U960" s="6">
        <v>46183</v>
      </c>
      <c r="V960" s="5" t="s">
        <v>59</v>
      </c>
      <c r="W9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60" s="7">
        <f t="shared" si="34"/>
        <v>2</v>
      </c>
      <c r="Y960" s="5">
        <v>70.599999999999994</v>
      </c>
      <c r="Z960" s="5">
        <v>7.24</v>
      </c>
      <c r="AA960" s="5">
        <v>10</v>
      </c>
      <c r="AB960" s="5">
        <v>15.99</v>
      </c>
      <c r="AC960" s="5">
        <v>449.3</v>
      </c>
      <c r="AD960" s="5">
        <v>5.6</v>
      </c>
      <c r="AE960" s="5">
        <v>26.7</v>
      </c>
      <c r="AF960" s="5">
        <v>2</v>
      </c>
      <c r="AG960" s="5">
        <v>114</v>
      </c>
      <c r="AH960" s="5">
        <v>1</v>
      </c>
      <c r="AI960" s="5">
        <f t="shared" si="33"/>
        <v>30</v>
      </c>
    </row>
    <row r="961" spans="1:51" x14ac:dyDescent="0.25">
      <c r="A961" s="5" t="s">
        <v>152</v>
      </c>
      <c r="D961" s="5">
        <v>2026</v>
      </c>
      <c r="F961" s="25" t="s">
        <v>324</v>
      </c>
      <c r="G961" s="5" t="s">
        <v>61</v>
      </c>
      <c r="H961" s="5" t="s">
        <v>277</v>
      </c>
      <c r="I961" s="5">
        <v>3014</v>
      </c>
      <c r="J961" s="5" t="str">
        <f>IFERROR(VLOOKUP(I961,[1]INFO_LOCALES!$B:$C,2,FALSE),"")</f>
        <v>M10 SAN FERNANDO</v>
      </c>
      <c r="K961" s="5" t="str">
        <f>IFERROR(VLOOKUP(Tabla2[[#This Row],[TIENDA]],[1]INFO_LOCALES!$B:$D,3,FALSE),"")</f>
        <v>VI - O'Higgins</v>
      </c>
      <c r="L961" s="5" t="str">
        <f>IFERROR(VLOOKUP(I961,[1]INFO_LOCALES!$B:$I,8,FALSE),"")</f>
        <v>San Fernando</v>
      </c>
      <c r="M961" s="5" t="str">
        <f>IFERROR(VLOOKUP(I961,[1]INFO_LOCALES!$B:$H,7,FALSE),"")</f>
        <v>Chillan 745</v>
      </c>
      <c r="N961" s="5">
        <f>IFERROR(VLOOKUP(I961,[1]INFO_LOCALES!$B:$E,4,FALSE),"")</f>
        <v>1298</v>
      </c>
      <c r="O961" s="5" t="str">
        <f>VLOOKUP(Tabla2[[#This Row],[TIENDA]],[1]INFO_LOCALES!$B:$J,9,0)</f>
        <v>TERMINADO</v>
      </c>
      <c r="P961" s="5" t="str">
        <f>IFERROR(VLOOKUP(I961,[1]INFO_LOCALES!$B:$F,5,FALSE),"")</f>
        <v>ESSBIO S.A.</v>
      </c>
      <c r="Q961" s="5" t="s">
        <v>85</v>
      </c>
      <c r="R961" s="5" t="s">
        <v>86</v>
      </c>
      <c r="S961" s="6"/>
      <c r="T961" s="5" t="str">
        <f>UPPER(IF(Tabla2[[#This Row],[FECHA DE MUESTREO ]]=0,"",TEXT(Tabla2[[#This Row],[FECHA DE MUESTREO ]],("MMMM"))))</f>
        <v>JUNIO</v>
      </c>
      <c r="U961" s="6">
        <v>46178</v>
      </c>
      <c r="V961" s="5" t="s">
        <v>59</v>
      </c>
      <c r="W9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61" s="7">
        <f t="shared" si="34"/>
        <v>1</v>
      </c>
      <c r="Y961" s="5">
        <v>9.6999999999999993</v>
      </c>
      <c r="Z961" s="5">
        <v>7.28</v>
      </c>
      <c r="AA961" s="5">
        <v>2</v>
      </c>
      <c r="AB961" s="5">
        <v>16.98</v>
      </c>
      <c r="AC961" s="5">
        <v>42.1</v>
      </c>
      <c r="AD961" s="5">
        <v>3.6</v>
      </c>
      <c r="AE961" s="5">
        <v>12.4</v>
      </c>
      <c r="AF961" s="5">
        <v>0.7</v>
      </c>
      <c r="AG961" s="5">
        <v>50</v>
      </c>
      <c r="AH961" s="5">
        <v>1.94</v>
      </c>
      <c r="AI961" s="5">
        <f t="shared" si="33"/>
        <v>58.199999999999996</v>
      </c>
    </row>
    <row r="962" spans="1:51" x14ac:dyDescent="0.25">
      <c r="A962" s="5" t="s">
        <v>60</v>
      </c>
      <c r="D962" s="5">
        <v>2026</v>
      </c>
      <c r="F962" s="25" t="s">
        <v>324</v>
      </c>
      <c r="G962" s="5" t="s">
        <v>61</v>
      </c>
      <c r="H962" s="5" t="s">
        <v>277</v>
      </c>
      <c r="I962" s="5">
        <v>3022</v>
      </c>
      <c r="J962" s="5" t="str">
        <f>IFERROR(VLOOKUP(I962,[1]INFO_LOCALES!$B:$C,2,FALSE),"")</f>
        <v>M10 TEMUCO II</v>
      </c>
      <c r="K962" s="5" t="str">
        <f>IFERROR(VLOOKUP(Tabla2[[#This Row],[TIENDA]],[1]INFO_LOCALES!$B:$D,3,FALSE),"")</f>
        <v>IX - Araucanía</v>
      </c>
      <c r="L962" s="5" t="str">
        <f>IFERROR(VLOOKUP(I962,[1]INFO_LOCALES!$B:$I,8,FALSE),"")</f>
        <v>Temuco</v>
      </c>
      <c r="M962" s="5" t="str">
        <f>IFERROR(VLOOKUP(I962,[1]INFO_LOCALES!$B:$H,7,FALSE),"")</f>
        <v>Pedro De Valdivia 2285</v>
      </c>
      <c r="N962" s="5">
        <f>IFERROR(VLOOKUP(I962,[1]INFO_LOCALES!$B:$E,4,FALSE),"")</f>
        <v>3721</v>
      </c>
      <c r="O962" s="5" t="str">
        <f>VLOOKUP(Tabla2[[#This Row],[TIENDA]],[1]INFO_LOCALES!$B:$J,9,0)</f>
        <v>CONVENIO</v>
      </c>
      <c r="P962" s="5" t="str">
        <f>IFERROR(VLOOKUP(I962,[1]INFO_LOCALES!$B:$F,5,FALSE),"")</f>
        <v>AGUAS ARAUCANIA S A</v>
      </c>
      <c r="Q962" s="5" t="s">
        <v>85</v>
      </c>
      <c r="R962" s="5" t="s">
        <v>86</v>
      </c>
      <c r="S962" s="6"/>
      <c r="T962" s="5" t="str">
        <f>UPPER(IF(Tabla2[[#This Row],[FECHA DE MUESTREO ]]=0,"",TEXT(Tabla2[[#This Row],[FECHA DE MUESTREO ]],("MMMM"))))</f>
        <v>JUNIO</v>
      </c>
      <c r="U962" s="6">
        <v>46189</v>
      </c>
      <c r="V962" s="5" t="s">
        <v>59</v>
      </c>
      <c r="W9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62" s="7">
        <f t="shared" si="34"/>
        <v>1</v>
      </c>
      <c r="Y962" s="5">
        <v>11.5</v>
      </c>
      <c r="Z962" s="5">
        <v>6.79</v>
      </c>
      <c r="AA962" s="5">
        <v>3</v>
      </c>
      <c r="AB962" s="5">
        <v>12.81</v>
      </c>
      <c r="AC962" s="5">
        <v>174.9</v>
      </c>
      <c r="AD962" s="5">
        <v>4.2</v>
      </c>
      <c r="AE962" s="5">
        <v>11.2</v>
      </c>
      <c r="AF962" s="5">
        <v>1.5</v>
      </c>
      <c r="AG962" s="5">
        <v>126</v>
      </c>
      <c r="AH962" s="5">
        <v>32</v>
      </c>
      <c r="AI962" s="5">
        <f t="shared" si="33"/>
        <v>960</v>
      </c>
    </row>
    <row r="963" spans="1:51" x14ac:dyDescent="0.25">
      <c r="A963" s="5" t="s">
        <v>152</v>
      </c>
      <c r="D963" s="5">
        <v>2026</v>
      </c>
      <c r="E963" s="5" t="s">
        <v>332</v>
      </c>
      <c r="F963" s="25" t="s">
        <v>324</v>
      </c>
      <c r="G963" s="5" t="s">
        <v>333</v>
      </c>
      <c r="I963" s="5">
        <v>3197</v>
      </c>
      <c r="J963" s="5" t="str">
        <f>IFERROR(VLOOKUP(I963,[1]INFO_LOCALES!$B:$C,2,FALSE),"")</f>
        <v>ALVI PICARTE VALDIVIA</v>
      </c>
      <c r="K963" s="5" t="str">
        <f>IFERROR(VLOOKUP(Tabla2[[#This Row],[TIENDA]],[1]INFO_LOCALES!$B:$D,3,FALSE),"")</f>
        <v>XIV - Los Ríos</v>
      </c>
      <c r="L963" s="5" t="str">
        <f>IFERROR(VLOOKUP(I963,[1]INFO_LOCALES!$B:$I,8,FALSE),"")</f>
        <v>Valdivia</v>
      </c>
      <c r="M963" s="5" t="str">
        <f>IFERROR(VLOOKUP(I963,[1]INFO_LOCALES!$B:$H,7,FALSE),"")</f>
        <v>Av. Ramon Picarte 2593</v>
      </c>
      <c r="N963" s="5">
        <f>IFERROR(VLOOKUP(I963,[1]INFO_LOCALES!$B:$E,4,FALSE),"")</f>
        <v>1961</v>
      </c>
      <c r="O963" s="5" t="str">
        <f>VLOOKUP(Tabla2[[#This Row],[TIENDA]],[1]INFO_LOCALES!$B:$J,9,0)</f>
        <v>CONVENIO</v>
      </c>
      <c r="P963" s="5" t="str">
        <f>IFERROR(VLOOKUP(I963,[1]INFO_LOCALES!$B:$F,5,FALSE),"")</f>
        <v>AGUAS DECIMA S A</v>
      </c>
      <c r="Q963" s="5" t="s">
        <v>85</v>
      </c>
      <c r="R963" s="5" t="s">
        <v>86</v>
      </c>
      <c r="S963" s="6"/>
      <c r="T963" s="5" t="str">
        <f>UPPER(IF(Tabla2[[#This Row],[FECHA DE MUESTREO ]]=0,"",TEXT(Tabla2[[#This Row],[FECHA DE MUESTREO ]],("MMMM"))))</f>
        <v/>
      </c>
      <c r="U963" s="6"/>
      <c r="V963" s="5" t="s">
        <v>59</v>
      </c>
      <c r="W9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63" s="7">
        <f t="shared" si="34"/>
        <v>1</v>
      </c>
      <c r="AI963" s="5">
        <f t="shared" si="33"/>
        <v>0</v>
      </c>
    </row>
    <row r="964" spans="1:51" x14ac:dyDescent="0.25">
      <c r="A964" s="5" t="s">
        <v>152</v>
      </c>
      <c r="D964" s="5">
        <v>2026</v>
      </c>
      <c r="E964" s="16" t="s">
        <v>276</v>
      </c>
      <c r="F964" s="25" t="s">
        <v>324</v>
      </c>
      <c r="G964" s="5" t="s">
        <v>61</v>
      </c>
      <c r="H964" s="5" t="s">
        <v>277</v>
      </c>
      <c r="I964" s="5">
        <v>3143</v>
      </c>
      <c r="J964" s="5" t="str">
        <f>IFERROR(VLOOKUP(I964,[1]INFO_LOCALES!$B:$C,2,FALSE),"")</f>
        <v>M10 TEMUCO IV</v>
      </c>
      <c r="K964" s="5" t="str">
        <f>IFERROR(VLOOKUP(Tabla2[[#This Row],[TIENDA]],[1]INFO_LOCALES!$B:$D,3,FALSE),"")</f>
        <v>IX - Araucanía</v>
      </c>
      <c r="L964" s="5" t="str">
        <f>IFERROR(VLOOKUP(I964,[1]INFO_LOCALES!$B:$I,8,FALSE),"")</f>
        <v>Temuco</v>
      </c>
      <c r="M964" s="5" t="str">
        <f>IFERROR(VLOOKUP(I964,[1]INFO_LOCALES!$B:$H,7,FALSE),"")</f>
        <v>Francisco Salazar 01650</v>
      </c>
      <c r="N964" s="5">
        <f>IFERROR(VLOOKUP(I964,[1]INFO_LOCALES!$B:$E,4,FALSE),"")</f>
        <v>4422</v>
      </c>
      <c r="O964" s="5" t="str">
        <f>VLOOKUP(Tabla2[[#This Row],[TIENDA]],[1]INFO_LOCALES!$B:$J,9,0)</f>
        <v>CONVENIO</v>
      </c>
      <c r="P964" s="5" t="str">
        <f>IFERROR(VLOOKUP(I964,[1]INFO_LOCALES!$B:$F,5,FALSE),"")</f>
        <v>AGUAS ARAUCANIA S A</v>
      </c>
      <c r="Q964" s="5" t="s">
        <v>85</v>
      </c>
      <c r="R964" s="5" t="s">
        <v>86</v>
      </c>
      <c r="S964" s="6"/>
      <c r="T964" s="5" t="str">
        <f>UPPER(IF(Tabla2[[#This Row],[FECHA DE MUESTREO ]]=0,"",TEXT(Tabla2[[#This Row],[FECHA DE MUESTREO ]],("MMMM"))))</f>
        <v>JUNIO</v>
      </c>
      <c r="U964" s="6">
        <v>46189</v>
      </c>
      <c r="V964" s="5" t="s">
        <v>59</v>
      </c>
      <c r="W9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64" s="7">
        <f t="shared" si="34"/>
        <v>1</v>
      </c>
      <c r="Y964" s="5">
        <v>21.2</v>
      </c>
      <c r="Z964" s="5">
        <v>6.63</v>
      </c>
      <c r="AA964" s="5">
        <v>2</v>
      </c>
      <c r="AB964" s="5">
        <v>13.18</v>
      </c>
      <c r="AC964" s="5">
        <v>102.7</v>
      </c>
      <c r="AD964" s="5">
        <v>4.7</v>
      </c>
      <c r="AE964" s="5">
        <v>13.8</v>
      </c>
      <c r="AF964" s="5">
        <v>0.2</v>
      </c>
      <c r="AG964" s="5">
        <v>62.7</v>
      </c>
      <c r="AH964" s="5">
        <v>32</v>
      </c>
      <c r="AI964" s="5">
        <f t="shared" si="33"/>
        <v>960</v>
      </c>
    </row>
    <row r="965" spans="1:51" x14ac:dyDescent="0.25">
      <c r="A965" s="5" t="s">
        <v>210</v>
      </c>
      <c r="D965" s="5">
        <v>2026</v>
      </c>
      <c r="F965" s="25" t="s">
        <v>324</v>
      </c>
      <c r="G965" s="5" t="s">
        <v>65</v>
      </c>
      <c r="H965" s="5" t="s">
        <v>57</v>
      </c>
      <c r="I965" s="5">
        <v>9051</v>
      </c>
      <c r="J965" s="5" t="str">
        <f>IFERROR(VLOOKUP(I965,[1]INFO_LOCALES!$B:$C,2,FALSE),"")</f>
        <v>CD NUEVO COQUIMBO</v>
      </c>
      <c r="K965" s="5" t="str">
        <f>IFERROR(VLOOKUP(Tabla2[[#This Row],[TIENDA]],[1]INFO_LOCALES!$B:$D,3,FALSE),"")</f>
        <v>IV - Coquimbo</v>
      </c>
      <c r="L965" s="5" t="str">
        <f>IFERROR(VLOOKUP(I965,[1]INFO_LOCALES!$B:$I,8,FALSE),"")</f>
        <v>Coquimbo</v>
      </c>
      <c r="M965" s="5" t="str">
        <f>IFERROR(VLOOKUP(I965,[1]INFO_LOCALES!$B:$H,7,FALSE),"")</f>
        <v>PAN DE AZUCAR S/N</v>
      </c>
      <c r="N965" s="5">
        <f>IFERROR(VLOOKUP(I965,[1]INFO_LOCALES!$B:$E,4,FALSE),"")</f>
        <v>0</v>
      </c>
      <c r="O965" s="5" t="str">
        <f>VLOOKUP(Tabla2[[#This Row],[TIENDA]],[1]INFO_LOCALES!$B:$J,9,0)</f>
        <v>SIN CONVENIO</v>
      </c>
      <c r="P965" s="5" t="str">
        <f>IFERROR(VLOOKUP(I965,[1]INFO_LOCALES!$B:$F,5,FALSE),"")</f>
        <v>RENTAS COQUIMBO SPA</v>
      </c>
      <c r="Q965" s="5" t="s">
        <v>85</v>
      </c>
      <c r="R965" s="5" t="s">
        <v>86</v>
      </c>
      <c r="S965" s="6"/>
      <c r="T965" s="5" t="str">
        <f>UPPER(IF(Tabla2[[#This Row],[FECHA DE MUESTREO ]]=0,"",TEXT(Tabla2[[#This Row],[FECHA DE MUESTREO ]],("MMMM"))))</f>
        <v>JUNIO</v>
      </c>
      <c r="U965" s="6">
        <v>46188</v>
      </c>
      <c r="V965" s="5" t="s">
        <v>118</v>
      </c>
      <c r="W9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65" s="7">
        <f t="shared" si="34"/>
        <v>1</v>
      </c>
      <c r="Y965" s="5">
        <v>26.9</v>
      </c>
      <c r="Z965" s="5">
        <v>7.7</v>
      </c>
      <c r="AA965" s="5">
        <v>2</v>
      </c>
      <c r="AB965" s="5">
        <v>19.8</v>
      </c>
      <c r="AC965" s="5">
        <v>43.6</v>
      </c>
      <c r="AD965" s="5">
        <v>6.4</v>
      </c>
      <c r="AE965" s="5">
        <v>8.9</v>
      </c>
      <c r="AG965" s="5">
        <v>45.3</v>
      </c>
      <c r="AI965" s="5">
        <f t="shared" si="33"/>
        <v>0</v>
      </c>
      <c r="AJ965" s="5">
        <v>0.23</v>
      </c>
      <c r="AK965" s="5">
        <v>3.0000000000000001E-3</v>
      </c>
      <c r="AL965" s="5">
        <v>0.221</v>
      </c>
      <c r="AM965" s="5">
        <v>4.0000000000000001E-3</v>
      </c>
      <c r="AN965" s="5">
        <v>2E-3</v>
      </c>
      <c r="AO965" s="5">
        <v>0.09</v>
      </c>
      <c r="AP965" s="5">
        <v>1.2E-2</v>
      </c>
      <c r="AR965" s="5">
        <v>0.03</v>
      </c>
      <c r="AS965" s="5">
        <v>4.0999999999999996</v>
      </c>
      <c r="AT965" s="5">
        <v>2.5999999999999999E-2</v>
      </c>
      <c r="AU965" s="5">
        <v>1E-3</v>
      </c>
      <c r="AV965" s="5">
        <v>1.4999999999999999E-2</v>
      </c>
      <c r="AW965" s="5">
        <v>0.04</v>
      </c>
      <c r="AX965" s="5">
        <v>216.1</v>
      </c>
      <c r="AY965" s="5">
        <v>0.04</v>
      </c>
    </row>
    <row r="966" spans="1:51" x14ac:dyDescent="0.25">
      <c r="A966" s="5" t="s">
        <v>210</v>
      </c>
      <c r="D966" s="5">
        <v>2026</v>
      </c>
      <c r="F966" s="25" t="s">
        <v>324</v>
      </c>
      <c r="G966" s="5" t="s">
        <v>326</v>
      </c>
      <c r="H966" s="5" t="s">
        <v>277</v>
      </c>
      <c r="I966" s="5">
        <v>9139</v>
      </c>
      <c r="J966" s="5" t="str">
        <f>IFERROR(VLOOKUP(I966,[1]INFO_LOCALES!$B:$C,2,FALSE),"")</f>
        <v>CD LO AGUIRRE</v>
      </c>
      <c r="K966" s="5" t="str">
        <f>IFERROR(VLOOKUP(Tabla2[[#This Row],[TIENDA]],[1]INFO_LOCALES!$B:$D,3,FALSE),"")</f>
        <v>RM - Santiago</v>
      </c>
      <c r="L966" s="5" t="str">
        <f>IFERROR(VLOOKUP(I966,[1]INFO_LOCALES!$B:$I,8,FALSE),"")</f>
        <v>Pudahuel</v>
      </c>
      <c r="M966" s="5" t="str">
        <f>IFERROR(VLOOKUP(I966,[1]INFO_LOCALES!$B:$H,7,FALSE),"")</f>
        <v>CAMINO LO AGUIRRE SUR 537</v>
      </c>
      <c r="N966" s="5">
        <f>IFERROR(VLOOKUP(I966,[1]INFO_LOCALES!$B:$E,4,FALSE),"")</f>
        <v>3552</v>
      </c>
      <c r="O966" s="5" t="str">
        <f>VLOOKUP(Tabla2[[#This Row],[TIENDA]],[1]INFO_LOCALES!$B:$J,9,0)</f>
        <v>SIN CONVENIO</v>
      </c>
      <c r="P966" s="5" t="str">
        <f>IFERROR(VLOOKUP(I966,[1]INFO_LOCALES!$B:$F,5,FALSE),"")</f>
        <v>AGUAS IZARRA</v>
      </c>
      <c r="Q966" s="5" t="s">
        <v>85</v>
      </c>
      <c r="R966" s="5" t="s">
        <v>86</v>
      </c>
      <c r="S966" s="6"/>
      <c r="T966" s="5" t="str">
        <f>UPPER(IF(Tabla2[[#This Row],[FECHA DE MUESTREO ]]=0,"",TEXT(Tabla2[[#This Row],[FECHA DE MUESTREO ]],("MMMM"))))</f>
        <v>JUNIO</v>
      </c>
      <c r="U966" s="6">
        <v>46196</v>
      </c>
      <c r="V966" s="5" t="s">
        <v>59</v>
      </c>
      <c r="W9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66" s="7">
        <f t="shared" si="34"/>
        <v>2</v>
      </c>
      <c r="Y966" s="5">
        <v>2</v>
      </c>
      <c r="Z966" s="5">
        <v>7.07</v>
      </c>
      <c r="AA966" s="5">
        <v>2</v>
      </c>
      <c r="AB966" s="5">
        <v>18.649999999999999</v>
      </c>
      <c r="AC966" s="5">
        <v>131.19999999999999</v>
      </c>
      <c r="AD966" s="5">
        <v>3.8</v>
      </c>
      <c r="AE966" s="5">
        <v>81</v>
      </c>
      <c r="AF966" s="5">
        <v>0.2</v>
      </c>
      <c r="AG966" s="5">
        <v>52</v>
      </c>
      <c r="AH966" s="5">
        <v>6.21</v>
      </c>
      <c r="AI966" s="5">
        <f t="shared" si="33"/>
        <v>186.3</v>
      </c>
    </row>
    <row r="967" spans="1:51" x14ac:dyDescent="0.25">
      <c r="A967" s="5" t="s">
        <v>52</v>
      </c>
      <c r="D967" s="5">
        <v>2026</v>
      </c>
      <c r="F967" s="25" t="s">
        <v>324</v>
      </c>
      <c r="I967" s="5">
        <v>442</v>
      </c>
      <c r="J967" s="5" t="str">
        <f>IFERROR(VLOOKUP(I967,[1]INFO_LOCALES!$B:$C,2,FALSE),"")</f>
        <v>COYHAIQUE</v>
      </c>
      <c r="K967" s="5" t="str">
        <f>IFERROR(VLOOKUP(Tabla2[[#This Row],[TIENDA]],[1]INFO_LOCALES!$B:$D,3,FALSE),"")</f>
        <v>XI - Aysén</v>
      </c>
      <c r="L967" s="5" t="str">
        <f>IFERROR(VLOOKUP(I967,[1]INFO_LOCALES!$B:$I,8,FALSE),"")</f>
        <v>Coyhaique</v>
      </c>
      <c r="M967" s="5" t="str">
        <f>IFERROR(VLOOKUP(I967,[1]INFO_LOCALES!$B:$H,7,FALSE),"")</f>
        <v>Lautaro 331</v>
      </c>
      <c r="N967" s="5">
        <f>IFERROR(VLOOKUP(I967,[1]INFO_LOCALES!$B:$E,4,FALSE),"")</f>
        <v>1320</v>
      </c>
      <c r="O967" s="5" t="str">
        <f>VLOOKUP(Tabla2[[#This Row],[TIENDA]],[1]INFO_LOCALES!$B:$J,9,0)</f>
        <v>SIN CONVENIO</v>
      </c>
      <c r="P967" s="5" t="str">
        <f>IFERROR(VLOOKUP(I967,[1]INFO_LOCALES!$B:$F,5,FALSE),"")</f>
        <v>AGUAS PATAGONIA</v>
      </c>
      <c r="Q967" s="5" t="s">
        <v>144</v>
      </c>
      <c r="R967" s="5" t="s">
        <v>86</v>
      </c>
      <c r="S967" s="6"/>
      <c r="T967" s="5" t="str">
        <f>UPPER(IF(Tabla2[[#This Row],[FECHA DE MUESTREO ]]=0,"",TEXT(Tabla2[[#This Row],[FECHA DE MUESTREO ]],("MMMM"))))</f>
        <v/>
      </c>
      <c r="U967" s="6"/>
      <c r="V967" s="5" t="s">
        <v>59</v>
      </c>
      <c r="W9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67" s="7">
        <f t="shared" si="34"/>
        <v>1</v>
      </c>
      <c r="AI967" s="5">
        <f t="shared" ref="AI967:AI1030" si="35">AH967*30</f>
        <v>0</v>
      </c>
    </row>
    <row r="968" spans="1:51" x14ac:dyDescent="0.25">
      <c r="A968" s="5" t="s">
        <v>52</v>
      </c>
      <c r="D968" s="5">
        <v>2026</v>
      </c>
      <c r="F968" s="25" t="s">
        <v>324</v>
      </c>
      <c r="I968" s="5">
        <v>681</v>
      </c>
      <c r="J968" s="5" t="str">
        <f>IFERROR(VLOOKUP(I968,[1]INFO_LOCALES!$B:$C,2,FALSE),"")</f>
        <v>ROTONDA ARICA</v>
      </c>
      <c r="K968" s="5" t="str">
        <f>IFERROR(VLOOKUP(Tabla2[[#This Row],[TIENDA]],[1]INFO_LOCALES!$B:$D,3,FALSE),"")</f>
        <v>XV - Arica y Parinacota</v>
      </c>
      <c r="L968" s="5" t="str">
        <f>IFERROR(VLOOKUP(I968,[1]INFO_LOCALES!$B:$I,8,FALSE),"")</f>
        <v>Arica</v>
      </c>
      <c r="M968" s="5" t="str">
        <f>IFERROR(VLOOKUP(I968,[1]INFO_LOCALES!$B:$H,7,FALSE),"")</f>
        <v>AVDA 18 SEPTIEMBRE 2501</v>
      </c>
      <c r="N968" s="5">
        <f>IFERROR(VLOOKUP(I968,[1]INFO_LOCALES!$B:$E,4,FALSE),"")</f>
        <v>0</v>
      </c>
      <c r="O968" s="5" t="str">
        <f>VLOOKUP(Tabla2[[#This Row],[TIENDA]],[1]INFO_LOCALES!$B:$J,9,0)</f>
        <v>SIN CONVENIO</v>
      </c>
      <c r="P968" s="5" t="str">
        <f>IFERROR(VLOOKUP(I968,[1]INFO_LOCALES!$B:$F,5,FALSE),"")</f>
        <v>AGUAS DEL ALTIPLANO S.A.</v>
      </c>
      <c r="Q968" s="5" t="s">
        <v>85</v>
      </c>
      <c r="R968" s="5" t="s">
        <v>86</v>
      </c>
      <c r="S968" s="6"/>
      <c r="U968" s="6"/>
      <c r="V968" s="5" t="s">
        <v>59</v>
      </c>
      <c r="W9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68" s="7">
        <f>IF(W968="CUMPLE",1,IF(W968="CUMPLE CON TOLERANCIA",2,IF(W968="NO CUMPLE",3)))</f>
        <v>1</v>
      </c>
      <c r="AH968" s="5">
        <f ca="1">Tabla2[[#This Row],[VOLUMEN DE DESCARGA MENSUAL (M3/M)]]*30</f>
        <v>0</v>
      </c>
      <c r="AI968" s="5">
        <f t="shared" ca="1" si="35"/>
        <v>17.399999999999999</v>
      </c>
    </row>
    <row r="969" spans="1:51" x14ac:dyDescent="0.25">
      <c r="A969" s="5" t="s">
        <v>52</v>
      </c>
      <c r="D969" s="5">
        <v>2026</v>
      </c>
      <c r="F969" s="5" t="s">
        <v>58</v>
      </c>
      <c r="G969" s="5" t="s">
        <v>229</v>
      </c>
      <c r="H969" s="5" t="s">
        <v>277</v>
      </c>
      <c r="I969" s="5">
        <v>773</v>
      </c>
      <c r="J969" s="5" t="str">
        <f>IFERROR(VLOOKUP(I969,[1]INFO_LOCALES!$B:$C,2,FALSE),"")</f>
        <v>LLANQUIHUE</v>
      </c>
      <c r="K969" s="5" t="str">
        <f>IFERROR(VLOOKUP(Tabla2[[#This Row],[TIENDA]],[1]INFO_LOCALES!$B:$D,3,FALSE),"")</f>
        <v>X - Los Lagos</v>
      </c>
      <c r="L969" s="5" t="str">
        <f>IFERROR(VLOOKUP(I969,[1]INFO_LOCALES!$B:$I,8,FALSE),"")</f>
        <v>Llanquihue</v>
      </c>
      <c r="M969" s="5" t="str">
        <f>IFERROR(VLOOKUP(I969,[1]INFO_LOCALES!$B:$H,7,FALSE),"")</f>
        <v>Baquedano 612</v>
      </c>
      <c r="N969" s="5">
        <f>IFERROR(VLOOKUP(I969,[1]INFO_LOCALES!$B:$E,4,FALSE),"")</f>
        <v>0</v>
      </c>
      <c r="O969" s="5" t="str">
        <f>VLOOKUP(Tabla2[[#This Row],[TIENDA]],[1]INFO_LOCALES!$B:$J,9,0)</f>
        <v>SIN CONVENIO</v>
      </c>
      <c r="P969" s="5" t="str">
        <f>IFERROR(VLOOKUP(I969,[1]INFO_LOCALES!$B:$F,5,FALSE),"")</f>
        <v>SURALIS</v>
      </c>
      <c r="Q969" s="5" t="s">
        <v>105</v>
      </c>
      <c r="R969" s="5" t="s">
        <v>58</v>
      </c>
      <c r="S969" s="6">
        <v>46171</v>
      </c>
      <c r="T969" s="5" t="str">
        <f>UPPER(IF(Tabla2[[#This Row],[FECHA DE MUESTREO ]]=0,"",TEXT(Tabla2[[#This Row],[FECHA DE MUESTREO ]],("MMMM"))))</f>
        <v>ABRIL</v>
      </c>
      <c r="U969" s="6">
        <v>46129</v>
      </c>
      <c r="V969" s="5" t="s">
        <v>59</v>
      </c>
      <c r="W9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69" s="7">
        <f t="shared" si="34"/>
        <v>1</v>
      </c>
      <c r="Y969" s="5">
        <v>14</v>
      </c>
      <c r="Z969" s="5">
        <v>7.71</v>
      </c>
      <c r="AA969" s="5">
        <v>2</v>
      </c>
      <c r="AB969" s="5">
        <v>13.4</v>
      </c>
      <c r="AC969" s="5">
        <v>83</v>
      </c>
      <c r="AD969" s="5">
        <v>2.9</v>
      </c>
      <c r="AE969" s="5">
        <v>5.55</v>
      </c>
      <c r="AF969" s="5">
        <v>0.5</v>
      </c>
      <c r="AG969" s="5">
        <v>21</v>
      </c>
      <c r="AH969" s="5">
        <v>7.83</v>
      </c>
      <c r="AI969" s="5">
        <f t="shared" si="35"/>
        <v>234.9</v>
      </c>
    </row>
    <row r="970" spans="1:51" x14ac:dyDescent="0.25">
      <c r="A970" s="5" t="s">
        <v>52</v>
      </c>
      <c r="D970" s="5">
        <v>2026</v>
      </c>
      <c r="F970" s="5" t="s">
        <v>58</v>
      </c>
      <c r="G970" s="5" t="s">
        <v>229</v>
      </c>
      <c r="H970" s="5" t="s">
        <v>277</v>
      </c>
      <c r="I970" s="5">
        <v>778</v>
      </c>
      <c r="J970" s="5" t="str">
        <f>IFERROR(VLOOKUP(I970,[1]INFO_LOCALES!$B:$C,2,FALSE),"")</f>
        <v>ORIENTE</v>
      </c>
      <c r="K970" s="5" t="str">
        <f>IFERROR(VLOOKUP(Tabla2[[#This Row],[TIENDA]],[1]INFO_LOCALES!$B:$D,3,FALSE),"")</f>
        <v>X - Los Lagos</v>
      </c>
      <c r="L970" s="5" t="str">
        <f>IFERROR(VLOOKUP(I970,[1]INFO_LOCALES!$B:$I,8,FALSE),"")</f>
        <v>Osorno</v>
      </c>
      <c r="M970" s="5" t="str">
        <f>IFERROR(VLOOKUP(I970,[1]INFO_LOCALES!$B:$H,7,FALSE),"")</f>
        <v>Julio Buschman 2223</v>
      </c>
      <c r="N970" s="5">
        <f>IFERROR(VLOOKUP(I970,[1]INFO_LOCALES!$B:$E,4,FALSE),"")</f>
        <v>2867</v>
      </c>
      <c r="O970" s="5" t="str">
        <f>VLOOKUP(Tabla2[[#This Row],[TIENDA]],[1]INFO_LOCALES!$B:$J,9,0)</f>
        <v>CONVENIO</v>
      </c>
      <c r="P970" s="5" t="str">
        <f>IFERROR(VLOOKUP(I970,[1]INFO_LOCALES!$B:$F,5,FALSE),"")</f>
        <v>SURALIS</v>
      </c>
      <c r="Q970" s="5" t="s">
        <v>105</v>
      </c>
      <c r="R970" s="5" t="s">
        <v>86</v>
      </c>
      <c r="S970" s="6">
        <v>46171</v>
      </c>
      <c r="T970" s="5" t="str">
        <f>UPPER(IF(Tabla2[[#This Row],[FECHA DE MUESTREO ]]=0,"",TEXT(Tabla2[[#This Row],[FECHA DE MUESTREO ]],("MMMM"))))</f>
        <v>ABRIL</v>
      </c>
      <c r="U970" s="6">
        <v>46129</v>
      </c>
      <c r="V970" s="5" t="s">
        <v>59</v>
      </c>
      <c r="W9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70" s="7">
        <f t="shared" si="34"/>
        <v>1</v>
      </c>
      <c r="Y970" s="5">
        <v>14</v>
      </c>
      <c r="Z970" s="5">
        <v>7.46</v>
      </c>
      <c r="AA970" s="5">
        <v>2</v>
      </c>
      <c r="AB970" s="5">
        <v>13.4</v>
      </c>
      <c r="AC970" s="5">
        <v>122</v>
      </c>
      <c r="AD970" s="5">
        <v>6.9</v>
      </c>
      <c r="AE970" s="5">
        <v>37.409999999999997</v>
      </c>
      <c r="AF970" s="5">
        <v>0.5</v>
      </c>
      <c r="AG970" s="5">
        <v>62</v>
      </c>
      <c r="AH970" s="5">
        <v>9.8000000000000007</v>
      </c>
      <c r="AI970" s="5">
        <f t="shared" si="35"/>
        <v>294</v>
      </c>
    </row>
    <row r="971" spans="1:51" x14ac:dyDescent="0.25">
      <c r="A971" s="5" t="s">
        <v>52</v>
      </c>
      <c r="D971" s="5">
        <v>2026</v>
      </c>
      <c r="F971" s="5" t="s">
        <v>58</v>
      </c>
      <c r="G971" s="5" t="s">
        <v>229</v>
      </c>
      <c r="H971" s="5" t="s">
        <v>57</v>
      </c>
      <c r="I971" s="5">
        <v>777</v>
      </c>
      <c r="J971" s="5" t="str">
        <f>IFERROR(VLOOKUP(I971,[1]INFO_LOCALES!$B:$C,2,FALSE),"")</f>
        <v>CENTRAL</v>
      </c>
      <c r="K971" s="5" t="str">
        <f>IFERROR(VLOOKUP(Tabla2[[#This Row],[TIENDA]],[1]INFO_LOCALES!$B:$D,3,FALSE),"")</f>
        <v>X - Los Lagos</v>
      </c>
      <c r="L971" s="5" t="str">
        <f>IFERROR(VLOOKUP(I971,[1]INFO_LOCALES!$B:$I,8,FALSE),"")</f>
        <v>Osorno</v>
      </c>
      <c r="M971" s="5" t="str">
        <f>IFERROR(VLOOKUP(I971,[1]INFO_LOCALES!$B:$H,7,FALSE),"")</f>
        <v>Patricio Lynch 1278</v>
      </c>
      <c r="N971" s="5">
        <f>IFERROR(VLOOKUP(I971,[1]INFO_LOCALES!$B:$E,4,FALSE),"")</f>
        <v>3684</v>
      </c>
      <c r="O971" s="5" t="str">
        <f>VLOOKUP(Tabla2[[#This Row],[TIENDA]],[1]INFO_LOCALES!$B:$J,9,0)</f>
        <v>CONVENIO</v>
      </c>
      <c r="P971" s="5" t="str">
        <f>IFERROR(VLOOKUP(I971,[1]INFO_LOCALES!$B:$F,5,FALSE),"")</f>
        <v>SURALIS</v>
      </c>
      <c r="Q971" s="5" t="s">
        <v>105</v>
      </c>
      <c r="R971" s="5" t="s">
        <v>58</v>
      </c>
      <c r="S971" s="6">
        <v>46171</v>
      </c>
      <c r="T971" s="5" t="str">
        <f>UPPER(IF(Tabla2[[#This Row],[FECHA DE MUESTREO ]]=0,"",TEXT(Tabla2[[#This Row],[FECHA DE MUESTREO ]],("MMMM"))))</f>
        <v>ABRIL</v>
      </c>
      <c r="U971" s="6">
        <v>46122</v>
      </c>
      <c r="V971" s="5" t="s">
        <v>59</v>
      </c>
      <c r="W9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71" s="7">
        <f t="shared" si="34"/>
        <v>1</v>
      </c>
      <c r="Y971" s="5">
        <v>14</v>
      </c>
      <c r="Z971" s="5">
        <v>6.88</v>
      </c>
      <c r="AA971" s="5">
        <v>2</v>
      </c>
      <c r="AB971" s="5">
        <v>14.9</v>
      </c>
      <c r="AC971" s="5">
        <v>80</v>
      </c>
      <c r="AD971" s="5">
        <v>5.4</v>
      </c>
      <c r="AE971" s="5">
        <v>9.2200000000000006</v>
      </c>
      <c r="AF971" s="5">
        <v>1</v>
      </c>
      <c r="AG971" s="5">
        <v>54</v>
      </c>
      <c r="AH971" s="5">
        <v>2.5920000000000001</v>
      </c>
      <c r="AI971" s="5">
        <f t="shared" si="35"/>
        <v>77.760000000000005</v>
      </c>
    </row>
    <row r="972" spans="1:51" x14ac:dyDescent="0.25">
      <c r="A972" s="5" t="s">
        <v>52</v>
      </c>
      <c r="D972" s="5">
        <v>2026</v>
      </c>
      <c r="F972" s="5" t="s">
        <v>58</v>
      </c>
      <c r="G972" s="5" t="s">
        <v>229</v>
      </c>
      <c r="H972" s="5" t="s">
        <v>325</v>
      </c>
      <c r="I972" s="5">
        <v>780</v>
      </c>
      <c r="J972" s="5" t="str">
        <f>IFERROR(VLOOKUP(I972,[1]INFO_LOCALES!$B:$C,2,FALSE),"")</f>
        <v>VICTORIA</v>
      </c>
      <c r="K972" s="5" t="str">
        <f>IFERROR(VLOOKUP(Tabla2[[#This Row],[TIENDA]],[1]INFO_LOCALES!$B:$D,3,FALSE),"")</f>
        <v>X - Los Lagos</v>
      </c>
      <c r="L972" s="5" t="str">
        <f>IFERROR(VLOOKUP(I972,[1]INFO_LOCALES!$B:$I,8,FALSE),"")</f>
        <v>Osorno</v>
      </c>
      <c r="M972" s="5" t="str">
        <f>IFERROR(VLOOKUP(I972,[1]INFO_LOCALES!$B:$H,7,FALSE),"")</f>
        <v>Victoria 367 Rahue Bajo</v>
      </c>
      <c r="N972" s="5">
        <f>IFERROR(VLOOKUP(I972,[1]INFO_LOCALES!$B:$E,4,FALSE),"")</f>
        <v>1362</v>
      </c>
      <c r="O972" s="5" t="str">
        <f>VLOOKUP(Tabla2[[#This Row],[TIENDA]],[1]INFO_LOCALES!$B:$J,9,0)</f>
        <v>SIN CONVENIO</v>
      </c>
      <c r="P972" s="5" t="str">
        <f>IFERROR(VLOOKUP(I972,[1]INFO_LOCALES!$B:$F,5,FALSE),"")</f>
        <v>SURALIS</v>
      </c>
      <c r="Q972" s="5" t="s">
        <v>105</v>
      </c>
      <c r="R972" s="5" t="s">
        <v>58</v>
      </c>
      <c r="S972" s="6">
        <v>46171</v>
      </c>
      <c r="T972" s="5" t="str">
        <f>UPPER(IF(Tabla2[[#This Row],[FECHA DE MUESTREO ]]=0,"",TEXT(Tabla2[[#This Row],[FECHA DE MUESTREO ]],("MMMM"))))</f>
        <v>ABRIL</v>
      </c>
      <c r="U972" s="6">
        <v>46136</v>
      </c>
      <c r="V972" s="5" t="s">
        <v>59</v>
      </c>
      <c r="W9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72" s="7">
        <f t="shared" si="34"/>
        <v>2</v>
      </c>
      <c r="Y972" s="5">
        <v>14</v>
      </c>
      <c r="Z972" s="5">
        <v>7.54</v>
      </c>
      <c r="AA972" s="5">
        <v>12</v>
      </c>
      <c r="AB972" s="5">
        <v>14.3</v>
      </c>
      <c r="AC972" s="5">
        <v>120</v>
      </c>
      <c r="AD972" s="5">
        <v>9.6999999999999993</v>
      </c>
      <c r="AE972" s="5">
        <v>30.7</v>
      </c>
      <c r="AF972" s="5">
        <v>0.5</v>
      </c>
      <c r="AG972" s="5">
        <v>47</v>
      </c>
      <c r="AH972" s="5">
        <v>1.181</v>
      </c>
      <c r="AI972" s="5">
        <f t="shared" si="35"/>
        <v>35.43</v>
      </c>
    </row>
    <row r="973" spans="1:51" x14ac:dyDescent="0.25">
      <c r="A973" s="5" t="s">
        <v>52</v>
      </c>
      <c r="D973" s="5">
        <v>2026</v>
      </c>
      <c r="F973" s="5" t="s">
        <v>58</v>
      </c>
      <c r="G973" s="5" t="s">
        <v>229</v>
      </c>
      <c r="H973" s="5" t="s">
        <v>57</v>
      </c>
      <c r="I973" s="5">
        <v>777</v>
      </c>
      <c r="J973" s="5" t="str">
        <f>IFERROR(VLOOKUP(I973,[1]INFO_LOCALES!$B:$C,2,FALSE),"")</f>
        <v>CENTRAL</v>
      </c>
      <c r="K973" s="5" t="str">
        <f>IFERROR(VLOOKUP(Tabla2[[#This Row],[TIENDA]],[1]INFO_LOCALES!$B:$D,3,FALSE),"")</f>
        <v>X - Los Lagos</v>
      </c>
      <c r="L973" s="5" t="str">
        <f>IFERROR(VLOOKUP(I973,[1]INFO_LOCALES!$B:$I,8,FALSE),"")</f>
        <v>Osorno</v>
      </c>
      <c r="M973" s="5" t="str">
        <f>IFERROR(VLOOKUP(I973,[1]INFO_LOCALES!$B:$H,7,FALSE),"")</f>
        <v>Patricio Lynch 1278</v>
      </c>
      <c r="N973" s="5">
        <f>IFERROR(VLOOKUP(I973,[1]INFO_LOCALES!$B:$E,4,FALSE),"")</f>
        <v>3684</v>
      </c>
      <c r="O973" s="5" t="str">
        <f>VLOOKUP(Tabla2[[#This Row],[TIENDA]],[1]INFO_LOCALES!$B:$J,9,0)</f>
        <v>CONVENIO</v>
      </c>
      <c r="P973" s="5" t="str">
        <f>IFERROR(VLOOKUP(I973,[1]INFO_LOCALES!$B:$F,5,FALSE),"")</f>
        <v>SURALIS</v>
      </c>
      <c r="Q973" s="5" t="s">
        <v>105</v>
      </c>
      <c r="R973" s="5" t="s">
        <v>58</v>
      </c>
      <c r="S973" s="6"/>
      <c r="T973" s="5" t="str">
        <f>UPPER(IF(Tabla2[[#This Row],[FECHA DE MUESTREO ]]=0,"",TEXT(Tabla2[[#This Row],[FECHA DE MUESTREO ]],("MMMM"))))</f>
        <v>MARZO</v>
      </c>
      <c r="U973" s="6">
        <v>46100</v>
      </c>
      <c r="V973" s="5" t="s">
        <v>59</v>
      </c>
      <c r="W9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73" s="7">
        <f t="shared" si="34"/>
        <v>1</v>
      </c>
      <c r="Y973" s="5">
        <v>14</v>
      </c>
      <c r="Z973" s="5">
        <v>7.4</v>
      </c>
      <c r="AA973" s="5">
        <v>4</v>
      </c>
      <c r="AB973" s="5">
        <v>15.7</v>
      </c>
      <c r="AC973" s="5">
        <v>273</v>
      </c>
      <c r="AD973" s="5">
        <v>10.9</v>
      </c>
      <c r="AE973" s="5">
        <v>6.6</v>
      </c>
      <c r="AF973" s="5">
        <v>0.5</v>
      </c>
      <c r="AG973" s="5">
        <v>131</v>
      </c>
      <c r="AH973" s="5">
        <v>3</v>
      </c>
      <c r="AI973" s="5">
        <f t="shared" si="35"/>
        <v>90</v>
      </c>
    </row>
    <row r="974" spans="1:51" x14ac:dyDescent="0.25">
      <c r="A974" s="5" t="s">
        <v>52</v>
      </c>
      <c r="D974" s="5">
        <v>2026</v>
      </c>
      <c r="F974" s="5" t="s">
        <v>58</v>
      </c>
      <c r="G974" s="5" t="s">
        <v>229</v>
      </c>
      <c r="H974" s="5" t="s">
        <v>277</v>
      </c>
      <c r="I974" s="5">
        <v>544</v>
      </c>
      <c r="J974" s="5" t="str">
        <f>IFERROR(VLOOKUP(I974,[1]INFO_LOCALES!$B:$C,2,FALSE),"")</f>
        <v>PURRANQUE</v>
      </c>
      <c r="K974" s="5" t="str">
        <f>IFERROR(VLOOKUP(Tabla2[[#This Row],[TIENDA]],[1]INFO_LOCALES!$B:$D,3,FALSE),"")</f>
        <v>X - Los Lagos</v>
      </c>
      <c r="L974" s="5" t="str">
        <f>IFERROR(VLOOKUP(I974,[1]INFO_LOCALES!$B:$I,8,FALSE),"")</f>
        <v>Purranque</v>
      </c>
      <c r="M974" s="5" t="str">
        <f>IFERROR(VLOOKUP(I974,[1]INFO_LOCALES!$B:$H,7,FALSE),"")</f>
        <v>Eleuterio Ramirez 549</v>
      </c>
      <c r="N974" s="5">
        <f>IFERROR(VLOOKUP(I974,[1]INFO_LOCALES!$B:$E,4,FALSE),"")</f>
        <v>0</v>
      </c>
      <c r="O974" s="5" t="str">
        <f>VLOOKUP(Tabla2[[#This Row],[TIENDA]],[1]INFO_LOCALES!$B:$J,9,0)</f>
        <v>SIN CONVENIO</v>
      </c>
      <c r="P974" s="5" t="str">
        <f>IFERROR(VLOOKUP(I974,[1]INFO_LOCALES!$B:$F,5,FALSE),"")</f>
        <v>SURALIS</v>
      </c>
      <c r="Q974" s="5" t="s">
        <v>105</v>
      </c>
      <c r="R974" s="5" t="s">
        <v>58</v>
      </c>
      <c r="S974" s="6"/>
      <c r="T974" s="5" t="str">
        <f>UPPER(IF(Tabla2[[#This Row],[FECHA DE MUESTREO ]]=0,"",TEXT(Tabla2[[#This Row],[FECHA DE MUESTREO ]],("MMMM"))))</f>
        <v>MARZO</v>
      </c>
      <c r="U974" s="6">
        <v>46087</v>
      </c>
      <c r="V974" s="5" t="s">
        <v>59</v>
      </c>
      <c r="W9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74" s="7">
        <f t="shared" si="34"/>
        <v>1</v>
      </c>
      <c r="Y974" s="5">
        <v>30</v>
      </c>
      <c r="Z974" s="5">
        <v>7.2</v>
      </c>
      <c r="AA974" s="5">
        <v>2</v>
      </c>
      <c r="AB974" s="5">
        <v>15.8</v>
      </c>
      <c r="AC974" s="5">
        <v>216</v>
      </c>
      <c r="AD974" s="5">
        <v>5.4</v>
      </c>
      <c r="AE974" s="5">
        <v>8.1</v>
      </c>
      <c r="AF974" s="5">
        <v>0.8</v>
      </c>
      <c r="AG974" s="5">
        <v>140</v>
      </c>
      <c r="AH974" s="5">
        <v>25</v>
      </c>
      <c r="AI974" s="5">
        <f t="shared" si="35"/>
        <v>750</v>
      </c>
    </row>
    <row r="975" spans="1:51" x14ac:dyDescent="0.25">
      <c r="A975" s="5" t="s">
        <v>52</v>
      </c>
      <c r="D975" s="5">
        <v>2026</v>
      </c>
      <c r="F975" s="5" t="s">
        <v>58</v>
      </c>
      <c r="G975" s="5" t="s">
        <v>229</v>
      </c>
      <c r="H975" s="5" t="s">
        <v>57</v>
      </c>
      <c r="I975" s="5">
        <v>771</v>
      </c>
      <c r="J975" s="5" t="str">
        <f>IFERROR(VLOOKUP(I975,[1]INFO_LOCALES!$B:$C,2,FALSE),"")</f>
        <v>MIRASOL</v>
      </c>
      <c r="K975" s="5" t="str">
        <f>IFERROR(VLOOKUP(Tabla2[[#This Row],[TIENDA]],[1]INFO_LOCALES!$B:$D,3,FALSE),"")</f>
        <v>X - Los Lagos</v>
      </c>
      <c r="L975" s="5" t="str">
        <f>IFERROR(VLOOKUP(I975,[1]INFO_LOCALES!$B:$I,8,FALSE),"")</f>
        <v>Puerto Montt</v>
      </c>
      <c r="M975" s="5" t="str">
        <f>IFERROR(VLOOKUP(I975,[1]INFO_LOCALES!$B:$H,7,FALSE),"")</f>
        <v>Av. La Cruz 2006</v>
      </c>
      <c r="N975" s="5">
        <f>IFERROR(VLOOKUP(I975,[1]INFO_LOCALES!$B:$E,4,FALSE),"")</f>
        <v>3723</v>
      </c>
      <c r="O975" s="5" t="str">
        <f>VLOOKUP(Tabla2[[#This Row],[TIENDA]],[1]INFO_LOCALES!$B:$J,9,0)</f>
        <v>SIN CONVENIO</v>
      </c>
      <c r="P975" s="5" t="str">
        <f>IFERROR(VLOOKUP(I975,[1]INFO_LOCALES!$B:$F,5,FALSE),"")</f>
        <v>SURALIS</v>
      </c>
      <c r="Q975" s="5" t="s">
        <v>105</v>
      </c>
      <c r="R975" s="5" t="s">
        <v>58</v>
      </c>
      <c r="S975" s="6"/>
      <c r="T975" s="5" t="str">
        <f>UPPER(IF(Tabla2[[#This Row],[FECHA DE MUESTREO ]]=0,"",TEXT(Tabla2[[#This Row],[FECHA DE MUESTREO ]],("MMMM"))))</f>
        <v>MARZO</v>
      </c>
      <c r="U975" s="6">
        <v>46108</v>
      </c>
      <c r="V975" s="5" t="s">
        <v>59</v>
      </c>
      <c r="W9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75" s="7">
        <f t="shared" si="34"/>
        <v>2</v>
      </c>
      <c r="Y975" s="5">
        <v>44</v>
      </c>
      <c r="Z975" s="5">
        <v>7.9</v>
      </c>
      <c r="AA975" s="5">
        <v>2</v>
      </c>
      <c r="AB975" s="5">
        <v>14.6</v>
      </c>
      <c r="AC975" s="5">
        <v>155</v>
      </c>
      <c r="AD975" s="5">
        <v>11.5</v>
      </c>
      <c r="AE975" s="5">
        <v>94.8</v>
      </c>
      <c r="AF975" s="5">
        <v>1</v>
      </c>
      <c r="AG975" s="5">
        <v>66</v>
      </c>
      <c r="AH975" s="5">
        <v>0</v>
      </c>
      <c r="AI975" s="5">
        <f t="shared" si="35"/>
        <v>0</v>
      </c>
    </row>
    <row r="976" spans="1:51" x14ac:dyDescent="0.25">
      <c r="A976" s="5" t="s">
        <v>52</v>
      </c>
      <c r="D976" s="5">
        <v>2026</v>
      </c>
      <c r="F976" s="5" t="s">
        <v>58</v>
      </c>
      <c r="G976" s="5" t="s">
        <v>229</v>
      </c>
      <c r="H976" s="5" t="s">
        <v>277</v>
      </c>
      <c r="I976" s="5">
        <v>778</v>
      </c>
      <c r="J976" s="5" t="str">
        <f>IFERROR(VLOOKUP(I976,[1]INFO_LOCALES!$B:$C,2,FALSE),"")</f>
        <v>ORIENTE</v>
      </c>
      <c r="K976" s="5" t="str">
        <f>IFERROR(VLOOKUP(Tabla2[[#This Row],[TIENDA]],[1]INFO_LOCALES!$B:$D,3,FALSE),"")</f>
        <v>X - Los Lagos</v>
      </c>
      <c r="L976" s="5" t="str">
        <f>IFERROR(VLOOKUP(I976,[1]INFO_LOCALES!$B:$I,8,FALSE),"")</f>
        <v>Osorno</v>
      </c>
      <c r="M976" s="5" t="str">
        <f>IFERROR(VLOOKUP(I976,[1]INFO_LOCALES!$B:$H,7,FALSE),"")</f>
        <v>Julio Buschman 2223</v>
      </c>
      <c r="N976" s="5">
        <f>IFERROR(VLOOKUP(I976,[1]INFO_LOCALES!$B:$E,4,FALSE),"")</f>
        <v>2867</v>
      </c>
      <c r="O976" s="5" t="str">
        <f>VLOOKUP(Tabla2[[#This Row],[TIENDA]],[1]INFO_LOCALES!$B:$J,9,0)</f>
        <v>CONVENIO</v>
      </c>
      <c r="P976" s="5" t="str">
        <f>IFERROR(VLOOKUP(I976,[1]INFO_LOCALES!$B:$F,5,FALSE),"")</f>
        <v>SURALIS</v>
      </c>
      <c r="Q976" s="5" t="s">
        <v>105</v>
      </c>
      <c r="R976" s="5" t="s">
        <v>58</v>
      </c>
      <c r="S976" s="6"/>
      <c r="T976" s="5" t="str">
        <f>UPPER(IF(Tabla2[[#This Row],[FECHA DE MUESTREO ]]=0,"",TEXT(Tabla2[[#This Row],[FECHA DE MUESTREO ]],("MMMM"))))</f>
        <v>MARZO</v>
      </c>
      <c r="U976" s="6">
        <v>46084</v>
      </c>
      <c r="V976" s="5" t="s">
        <v>59</v>
      </c>
      <c r="W9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76" s="7">
        <f t="shared" si="34"/>
        <v>1</v>
      </c>
      <c r="Y976" s="5">
        <v>14</v>
      </c>
      <c r="Z976" s="5">
        <v>7.2</v>
      </c>
      <c r="AA976" s="5">
        <v>2</v>
      </c>
      <c r="AB976" s="5">
        <v>14</v>
      </c>
      <c r="AC976" s="5">
        <v>153</v>
      </c>
      <c r="AD976" s="5">
        <v>8.6</v>
      </c>
      <c r="AE976" s="5">
        <v>76.599999999999994</v>
      </c>
      <c r="AF976" s="5">
        <v>0.5</v>
      </c>
      <c r="AG976" s="5">
        <v>112</v>
      </c>
      <c r="AH976" s="5">
        <v>25</v>
      </c>
      <c r="AI976" s="5">
        <f t="shared" si="35"/>
        <v>750</v>
      </c>
    </row>
    <row r="977" spans="1:35" x14ac:dyDescent="0.25">
      <c r="A977" s="5" t="s">
        <v>52</v>
      </c>
      <c r="D977" s="5">
        <v>2026</v>
      </c>
      <c r="F977" s="5" t="s">
        <v>58</v>
      </c>
      <c r="G977" s="5" t="s">
        <v>229</v>
      </c>
      <c r="H977" s="5" t="s">
        <v>277</v>
      </c>
      <c r="I977" s="5">
        <v>763</v>
      </c>
      <c r="J977" s="5" t="str">
        <f>IFERROR(VLOOKUP(I977,[1]INFO_LOCALES!$B:$C,2,FALSE),"")</f>
        <v>JUAN SOLER</v>
      </c>
      <c r="K977" s="5" t="str">
        <f>IFERROR(VLOOKUP(Tabla2[[#This Row],[TIENDA]],[1]INFO_LOCALES!$B:$D,3,FALSE),"")</f>
        <v>X - Los Lagos</v>
      </c>
      <c r="L977" s="5" t="str">
        <f>IFERROR(VLOOKUP(I977,[1]INFO_LOCALES!$B:$I,8,FALSE),"")</f>
        <v>Puerto Montt</v>
      </c>
      <c r="M977" s="5" t="str">
        <f>IFERROR(VLOOKUP(I977,[1]INFO_LOCALES!$B:$H,7,FALSE),"")</f>
        <v>Juan Soler Manfredini 51</v>
      </c>
      <c r="N977" s="5">
        <f>IFERROR(VLOOKUP(I977,[1]INFO_LOCALES!$B:$E,4,FALSE),"")</f>
        <v>0</v>
      </c>
      <c r="O977" s="5" t="str">
        <f>VLOOKUP(Tabla2[[#This Row],[TIENDA]],[1]INFO_LOCALES!$B:$J,9,0)</f>
        <v>SIN CONVENIO</v>
      </c>
      <c r="P977" s="5" t="str">
        <f>IFERROR(VLOOKUP(I977,[1]INFO_LOCALES!$B:$F,5,FALSE),"")</f>
        <v>SURALIS</v>
      </c>
      <c r="Q977" s="5" t="s">
        <v>105</v>
      </c>
      <c r="R977" s="5" t="s">
        <v>58</v>
      </c>
      <c r="S977" s="6"/>
      <c r="T977" s="5" t="str">
        <f>UPPER(IF(Tabla2[[#This Row],[FECHA DE MUESTREO ]]=0,"",TEXT(Tabla2[[#This Row],[FECHA DE MUESTREO ]],("MMMM"))))</f>
        <v>MARZO</v>
      </c>
      <c r="U977" s="6">
        <v>46108</v>
      </c>
      <c r="V977" s="5" t="s">
        <v>59</v>
      </c>
      <c r="W9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77" s="7">
        <f t="shared" si="34"/>
        <v>1</v>
      </c>
      <c r="Y977" s="5">
        <v>14</v>
      </c>
      <c r="Z977" s="5">
        <v>7.2</v>
      </c>
      <c r="AA977" s="5">
        <v>2</v>
      </c>
      <c r="AB977" s="5">
        <v>15.2</v>
      </c>
      <c r="AC977" s="5">
        <v>33</v>
      </c>
      <c r="AD977" s="5">
        <v>2.7</v>
      </c>
      <c r="AE977" s="5">
        <v>17.399999999999999</v>
      </c>
      <c r="AF977" s="5">
        <v>0.5</v>
      </c>
      <c r="AG977" s="5">
        <v>37</v>
      </c>
      <c r="AH977" s="5">
        <v>63</v>
      </c>
      <c r="AI977" s="5">
        <f t="shared" si="35"/>
        <v>1890</v>
      </c>
    </row>
    <row r="978" spans="1:35" x14ac:dyDescent="0.25">
      <c r="A978" s="5" t="s">
        <v>52</v>
      </c>
      <c r="D978" s="5">
        <v>2026</v>
      </c>
      <c r="F978" s="5" t="s">
        <v>58</v>
      </c>
      <c r="G978" s="5" t="s">
        <v>229</v>
      </c>
      <c r="H978" s="5" t="s">
        <v>277</v>
      </c>
      <c r="I978" s="5">
        <v>576</v>
      </c>
      <c r="J978" s="5" t="str">
        <f>IFERROR(VLOOKUP(I978,[1]INFO_LOCALES!$B:$C,2,FALSE),"")</f>
        <v>CASTRO I</v>
      </c>
      <c r="K978" s="5" t="str">
        <f>IFERROR(VLOOKUP(Tabla2[[#This Row],[TIENDA]],[1]INFO_LOCALES!$B:$D,3,FALSE),"")</f>
        <v>X - Los Lagos</v>
      </c>
      <c r="L978" s="5" t="str">
        <f>IFERROR(VLOOKUP(I978,[1]INFO_LOCALES!$B:$I,8,FALSE),"")</f>
        <v>Castro</v>
      </c>
      <c r="M978" s="5" t="str">
        <f>IFERROR(VLOOKUP(I978,[1]INFO_LOCALES!$B:$H,7,FALSE),"")</f>
        <v>O'Higgins 711</v>
      </c>
      <c r="N978" s="5">
        <f>IFERROR(VLOOKUP(I978,[1]INFO_LOCALES!$B:$E,4,FALSE),"")</f>
        <v>3875</v>
      </c>
      <c r="O978" s="5" t="str">
        <f>VLOOKUP(Tabla2[[#This Row],[TIENDA]],[1]INFO_LOCALES!$B:$J,9,0)</f>
        <v>SIN CONVENIO</v>
      </c>
      <c r="P978" s="5" t="str">
        <f>IFERROR(VLOOKUP(I978,[1]INFO_LOCALES!$B:$F,5,FALSE),"")</f>
        <v>SURALIS</v>
      </c>
      <c r="Q978" s="5" t="s">
        <v>105</v>
      </c>
      <c r="R978" s="5" t="s">
        <v>58</v>
      </c>
      <c r="S978" s="6"/>
      <c r="T978" s="5" t="str">
        <f>UPPER(IF(Tabla2[[#This Row],[FECHA DE MUESTREO ]]=0,"",TEXT(Tabla2[[#This Row],[FECHA DE MUESTREO ]],("MMMM"))))</f>
        <v>ABRIL</v>
      </c>
      <c r="U978" s="6">
        <v>46122</v>
      </c>
      <c r="V978" s="5" t="s">
        <v>59</v>
      </c>
      <c r="W9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78" s="7">
        <f t="shared" si="34"/>
        <v>1</v>
      </c>
      <c r="Y978" s="5">
        <v>14</v>
      </c>
      <c r="Z978" s="5">
        <v>8</v>
      </c>
      <c r="AA978" s="5">
        <v>2</v>
      </c>
      <c r="AB978" s="5">
        <v>14.4</v>
      </c>
      <c r="AC978" s="5">
        <v>289</v>
      </c>
      <c r="AD978" s="5">
        <v>6.6</v>
      </c>
      <c r="AE978" s="5">
        <v>18.600000000000001</v>
      </c>
      <c r="AF978" s="5">
        <v>0.5</v>
      </c>
      <c r="AG978" s="5">
        <v>53</v>
      </c>
      <c r="AH978" s="5">
        <v>5</v>
      </c>
      <c r="AI978" s="5">
        <f t="shared" si="35"/>
        <v>150</v>
      </c>
    </row>
    <row r="979" spans="1:35" x14ac:dyDescent="0.25">
      <c r="A979" s="5" t="s">
        <v>52</v>
      </c>
      <c r="D979" s="5">
        <v>2026</v>
      </c>
      <c r="F979" s="5" t="s">
        <v>58</v>
      </c>
      <c r="G979" s="5" t="s">
        <v>334</v>
      </c>
      <c r="H979" s="5" t="s">
        <v>325</v>
      </c>
      <c r="I979" s="5">
        <v>681</v>
      </c>
      <c r="J979" s="5" t="str">
        <f>IFERROR(VLOOKUP(I979,[1]INFO_LOCALES!$B:$C,2,FALSE),"")</f>
        <v>ROTONDA ARICA</v>
      </c>
      <c r="K979" s="5" t="str">
        <f>IFERROR(VLOOKUP(Tabla2[[#This Row],[TIENDA]],[1]INFO_LOCALES!$B:$D,3,FALSE),"")</f>
        <v>XV - Arica y Parinacota</v>
      </c>
      <c r="L979" s="5" t="str">
        <f>IFERROR(VLOOKUP(I979,[1]INFO_LOCALES!$B:$I,8,FALSE),"")</f>
        <v>Arica</v>
      </c>
      <c r="M979" s="5" t="str">
        <f>IFERROR(VLOOKUP(I979,[1]INFO_LOCALES!$B:$H,7,FALSE),"")</f>
        <v>AVDA 18 SEPTIEMBRE 2501</v>
      </c>
      <c r="N979" s="5">
        <f>IFERROR(VLOOKUP(I979,[1]INFO_LOCALES!$B:$E,4,FALSE),"")</f>
        <v>0</v>
      </c>
      <c r="O979" s="5" t="str">
        <f>VLOOKUP(Tabla2[[#This Row],[TIENDA]],[1]INFO_LOCALES!$B:$J,9,0)</f>
        <v>SIN CONVENIO</v>
      </c>
      <c r="P979" s="5" t="str">
        <f>IFERROR(VLOOKUP(I979,[1]INFO_LOCALES!$B:$F,5,FALSE),"")</f>
        <v>AGUAS DEL ALTIPLANO S.A.</v>
      </c>
      <c r="Q979" s="5" t="s">
        <v>313</v>
      </c>
      <c r="R979" s="5" t="s">
        <v>58</v>
      </c>
      <c r="S979" s="6"/>
      <c r="T979" s="5" t="str">
        <f>UPPER(IF(Tabla2[[#This Row],[FECHA DE MUESTREO ]]=0,"",TEXT(Tabla2[[#This Row],[FECHA DE MUESTREO ]],("MMMM"))))</f>
        <v>MARZO</v>
      </c>
      <c r="U979" s="6">
        <v>46106</v>
      </c>
      <c r="V979" s="5" t="s">
        <v>59</v>
      </c>
      <c r="W9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979" s="7">
        <f t="shared" si="34"/>
        <v>3</v>
      </c>
      <c r="Y979" s="5">
        <v>10</v>
      </c>
      <c r="Z979" s="5">
        <v>6.9</v>
      </c>
      <c r="AA979" s="5">
        <v>1</v>
      </c>
      <c r="AB979" s="5">
        <v>23.5</v>
      </c>
      <c r="AC979" s="5">
        <v>4533</v>
      </c>
      <c r="AD979" s="5">
        <v>3.5</v>
      </c>
      <c r="AE979" s="5">
        <v>25.2</v>
      </c>
      <c r="AF979" s="5">
        <v>0.1</v>
      </c>
      <c r="AG979" s="5">
        <v>48</v>
      </c>
      <c r="AI979" s="5">
        <f t="shared" si="35"/>
        <v>0</v>
      </c>
    </row>
    <row r="980" spans="1:35" x14ac:dyDescent="0.25">
      <c r="A980" s="5" t="s">
        <v>52</v>
      </c>
      <c r="D980" s="5">
        <v>2026</v>
      </c>
      <c r="F980" s="5" t="s">
        <v>58</v>
      </c>
      <c r="G980" s="5" t="s">
        <v>229</v>
      </c>
      <c r="H980" s="5" t="s">
        <v>277</v>
      </c>
      <c r="I980" s="5">
        <v>335</v>
      </c>
      <c r="J980" s="5" t="str">
        <f>IFERROR(VLOOKUP(I980,[1]INFO_LOCALES!$B:$C,2,FALSE),"")</f>
        <v>SANTA MARIA</v>
      </c>
      <c r="K980" s="5" t="str">
        <f>IFERROR(VLOOKUP(Tabla2[[#This Row],[TIENDA]],[1]INFO_LOCALES!$B:$D,3,FALSE),"")</f>
        <v>RM - Santiago</v>
      </c>
      <c r="L980" s="5" t="str">
        <f>IFERROR(VLOOKUP(I980,[1]INFO_LOCALES!$B:$I,8,FALSE),"")</f>
        <v>Vitacura</v>
      </c>
      <c r="M980" s="5" t="str">
        <f>IFERROR(VLOOKUP(I980,[1]INFO_LOCALES!$B:$H,7,FALSE),"")</f>
        <v>Santa Maria 6940</v>
      </c>
      <c r="N980" s="5">
        <f>IFERROR(VLOOKUP(I980,[1]INFO_LOCALES!$B:$E,4,FALSE),"")</f>
        <v>0</v>
      </c>
      <c r="O980" s="5" t="str">
        <f>VLOOKUP(Tabla2[[#This Row],[TIENDA]],[1]INFO_LOCALES!$B:$J,9,0)</f>
        <v>SIN CONVENIO</v>
      </c>
      <c r="P980" s="5" t="str">
        <f>IFERROR(VLOOKUP(I980,[1]INFO_LOCALES!$B:$F,5,FALSE),"")</f>
        <v>AGUAS MANQUEHUE SA</v>
      </c>
      <c r="R980" s="5" t="s">
        <v>58</v>
      </c>
      <c r="S980" s="6"/>
      <c r="T980" s="5" t="str">
        <f>UPPER(IF(Tabla2[[#This Row],[FECHA DE MUESTREO ]]=0,"",TEXT(Tabla2[[#This Row],[FECHA DE MUESTREO ]],("MMMM"))))</f>
        <v>ABRIL</v>
      </c>
      <c r="U980" s="6">
        <v>46129</v>
      </c>
      <c r="V980" s="5" t="s">
        <v>59</v>
      </c>
      <c r="W9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80" s="7">
        <f t="shared" si="34"/>
        <v>1</v>
      </c>
      <c r="Y980" s="5">
        <v>14</v>
      </c>
      <c r="Z980" s="5">
        <v>7.78</v>
      </c>
      <c r="AA980" s="5">
        <v>5.3</v>
      </c>
      <c r="AB980" s="5">
        <v>23.7</v>
      </c>
      <c r="AC980" s="5">
        <v>203</v>
      </c>
      <c r="AD980" s="5">
        <v>5.22</v>
      </c>
      <c r="AE980" s="5">
        <v>67.209999999999994</v>
      </c>
      <c r="AF980" s="5">
        <v>0.2</v>
      </c>
      <c r="AG980" s="5">
        <v>52</v>
      </c>
      <c r="AH980" s="5">
        <v>4</v>
      </c>
      <c r="AI980" s="5">
        <f t="shared" si="35"/>
        <v>120</v>
      </c>
    </row>
    <row r="981" spans="1:35" x14ac:dyDescent="0.25">
      <c r="A981" s="5" t="s">
        <v>52</v>
      </c>
      <c r="D981" s="5">
        <v>2025</v>
      </c>
      <c r="F981" s="5" t="s">
        <v>58</v>
      </c>
      <c r="G981" s="5" t="s">
        <v>229</v>
      </c>
      <c r="H981" s="5" t="s">
        <v>277</v>
      </c>
      <c r="I981" s="5">
        <v>681</v>
      </c>
      <c r="J981" s="5" t="str">
        <f>IFERROR(VLOOKUP(I981,[1]INFO_LOCALES!$B:$C,2,FALSE),"")</f>
        <v>ROTONDA ARICA</v>
      </c>
      <c r="K981" s="5" t="str">
        <f>IFERROR(VLOOKUP(Tabla2[[#This Row],[TIENDA]],[1]INFO_LOCALES!$B:$D,3,FALSE),"")</f>
        <v>XV - Arica y Parinacota</v>
      </c>
      <c r="L981" s="5" t="str">
        <f>IFERROR(VLOOKUP(I981,[1]INFO_LOCALES!$B:$I,8,FALSE),"")</f>
        <v>Arica</v>
      </c>
      <c r="M981" s="5" t="str">
        <f>IFERROR(VLOOKUP(I981,[1]INFO_LOCALES!$B:$H,7,FALSE),"")</f>
        <v>AVDA 18 SEPTIEMBRE 2501</v>
      </c>
      <c r="N981" s="5">
        <f>IFERROR(VLOOKUP(I981,[1]INFO_LOCALES!$B:$E,4,FALSE),"")</f>
        <v>0</v>
      </c>
      <c r="O981" s="5" t="str">
        <f>VLOOKUP(Tabla2[[#This Row],[TIENDA]],[1]INFO_LOCALES!$B:$J,9,0)</f>
        <v>SIN CONVENIO</v>
      </c>
      <c r="P981" s="5" t="str">
        <f>IFERROR(VLOOKUP(I981,[1]INFO_LOCALES!$B:$F,5,FALSE),"")</f>
        <v>AGUAS DEL ALTIPLANO S.A.</v>
      </c>
      <c r="Q981" s="5" t="s">
        <v>71</v>
      </c>
      <c r="R981" s="5" t="s">
        <v>58</v>
      </c>
      <c r="S981" s="6"/>
      <c r="T981" s="5" t="str">
        <f>UPPER(IF(Tabla2[[#This Row],[FECHA DE MUESTREO ]]=0,"",TEXT(Tabla2[[#This Row],[FECHA DE MUESTREO ]],("MMMM"))))</f>
        <v>MAYO</v>
      </c>
      <c r="U981" s="6">
        <v>46157</v>
      </c>
      <c r="V981" s="5" t="s">
        <v>59</v>
      </c>
      <c r="W9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81" s="7">
        <f t="shared" si="34"/>
        <v>1</v>
      </c>
      <c r="Y981" s="5">
        <v>0.5</v>
      </c>
      <c r="Z981" s="5">
        <v>7.87</v>
      </c>
      <c r="AA981" s="5">
        <v>2</v>
      </c>
      <c r="AB981" s="5">
        <v>22.3</v>
      </c>
      <c r="AC981" s="5">
        <v>130</v>
      </c>
      <c r="AD981" s="5">
        <v>13.7</v>
      </c>
      <c r="AE981" s="5">
        <v>38</v>
      </c>
      <c r="AF981" s="5">
        <v>0.1</v>
      </c>
      <c r="AG981" s="5">
        <v>82</v>
      </c>
      <c r="AH981" s="5">
        <v>10</v>
      </c>
      <c r="AI981" s="5">
        <f t="shared" si="35"/>
        <v>300</v>
      </c>
    </row>
    <row r="982" spans="1:35" x14ac:dyDescent="0.25">
      <c r="A982" s="5" t="s">
        <v>52</v>
      </c>
      <c r="D982" s="5">
        <v>2025</v>
      </c>
      <c r="F982" s="5" t="s">
        <v>58</v>
      </c>
      <c r="G982" s="5" t="s">
        <v>229</v>
      </c>
      <c r="H982" s="5" t="s">
        <v>277</v>
      </c>
      <c r="I982" s="5">
        <v>681</v>
      </c>
      <c r="J982" s="5" t="str">
        <f>IFERROR(VLOOKUP(I982,[1]INFO_LOCALES!$B:$C,2,FALSE),"")</f>
        <v>ROTONDA ARICA</v>
      </c>
      <c r="K982" s="5" t="str">
        <f>IFERROR(VLOOKUP(Tabla2[[#This Row],[TIENDA]],[1]INFO_LOCALES!$B:$D,3,FALSE),"")</f>
        <v>XV - Arica y Parinacota</v>
      </c>
      <c r="L982" s="5" t="str">
        <f>IFERROR(VLOOKUP(I982,[1]INFO_LOCALES!$B:$I,8,FALSE),"")</f>
        <v>Arica</v>
      </c>
      <c r="M982" s="5" t="str">
        <f>IFERROR(VLOOKUP(I982,[1]INFO_LOCALES!$B:$H,7,FALSE),"")</f>
        <v>AVDA 18 SEPTIEMBRE 2501</v>
      </c>
      <c r="N982" s="5">
        <f>IFERROR(VLOOKUP(I982,[1]INFO_LOCALES!$B:$E,4,FALSE),"")</f>
        <v>0</v>
      </c>
      <c r="O982" s="5" t="str">
        <f>VLOOKUP(Tabla2[[#This Row],[TIENDA]],[1]INFO_LOCALES!$B:$J,9,0)</f>
        <v>SIN CONVENIO</v>
      </c>
      <c r="P982" s="5" t="str">
        <f>IFERROR(VLOOKUP(I982,[1]INFO_LOCALES!$B:$F,5,FALSE),"")</f>
        <v>AGUAS DEL ALTIPLANO S.A.</v>
      </c>
      <c r="Q982" s="5" t="s">
        <v>71</v>
      </c>
      <c r="R982" s="5" t="s">
        <v>58</v>
      </c>
      <c r="S982" s="6"/>
      <c r="T982" s="5" t="str">
        <f>UPPER(IF(Tabla2[[#This Row],[FECHA DE MUESTREO ]]=0,"",TEXT(Tabla2[[#This Row],[FECHA DE MUESTREO ]],("MMMM"))))</f>
        <v>NOVIEMBRE</v>
      </c>
      <c r="U982" s="6">
        <v>46352</v>
      </c>
      <c r="V982" s="5" t="s">
        <v>59</v>
      </c>
      <c r="W9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 CON TOLERANCIA</v>
      </c>
      <c r="X982" s="7">
        <f t="shared" si="34"/>
        <v>2</v>
      </c>
      <c r="Y982" s="5">
        <v>0.73</v>
      </c>
      <c r="Z982" s="5">
        <v>6.7</v>
      </c>
      <c r="AA982" s="5">
        <v>2</v>
      </c>
      <c r="AB982" s="5">
        <v>25</v>
      </c>
      <c r="AC982" s="5">
        <v>369</v>
      </c>
      <c r="AD982" s="5">
        <v>17.53</v>
      </c>
      <c r="AE982" s="5">
        <v>22</v>
      </c>
      <c r="AF982" s="5">
        <v>1.5</v>
      </c>
      <c r="AG982" s="5">
        <v>81</v>
      </c>
      <c r="AH982" s="5">
        <v>5</v>
      </c>
      <c r="AI982" s="5">
        <f t="shared" si="35"/>
        <v>150</v>
      </c>
    </row>
    <row r="983" spans="1:35" x14ac:dyDescent="0.25">
      <c r="A983" s="5" t="s">
        <v>52</v>
      </c>
      <c r="D983" s="5">
        <v>2025</v>
      </c>
      <c r="F983" s="5" t="s">
        <v>58</v>
      </c>
      <c r="G983" s="5" t="s">
        <v>229</v>
      </c>
      <c r="H983" s="5" t="s">
        <v>277</v>
      </c>
      <c r="I983" s="5">
        <v>923</v>
      </c>
      <c r="J983" s="5" t="str">
        <f>IFERROR(VLOOKUP(I983,[1]INFO_LOCALES!$B:$C,2,FALSE),"")</f>
        <v>SANTA MARIA ARICA</v>
      </c>
      <c r="K983" s="5" t="str">
        <f>IFERROR(VLOOKUP(Tabla2[[#This Row],[TIENDA]],[1]INFO_LOCALES!$B:$D,3,FALSE),"")</f>
        <v>XV - Arica y Parinacota</v>
      </c>
      <c r="L983" s="5" t="str">
        <f>IFERROR(VLOOKUP(I983,[1]INFO_LOCALES!$B:$I,8,FALSE),"")</f>
        <v>Arica</v>
      </c>
      <c r="M983" s="5" t="str">
        <f>IFERROR(VLOOKUP(I983,[1]INFO_LOCALES!$B:$H,7,FALSE),"")</f>
        <v>AV.STA. MARIA  2465</v>
      </c>
      <c r="N983" s="5">
        <f>IFERROR(VLOOKUP(I983,[1]INFO_LOCALES!$B:$E,4,FALSE),"")</f>
        <v>0</v>
      </c>
      <c r="O983" s="5" t="str">
        <f>VLOOKUP(Tabla2[[#This Row],[TIENDA]],[1]INFO_LOCALES!$B:$J,9,0)</f>
        <v>SIN CONVENIO</v>
      </c>
      <c r="P983" s="5" t="str">
        <f>IFERROR(VLOOKUP(I983,[1]INFO_LOCALES!$B:$F,5,FALSE),"")</f>
        <v>AGUAS DEL ALTIPLANO S.A.</v>
      </c>
      <c r="Q983" s="5" t="s">
        <v>71</v>
      </c>
      <c r="R983" s="5" t="s">
        <v>58</v>
      </c>
      <c r="S983" s="6">
        <v>46188</v>
      </c>
      <c r="T983" s="5" t="str">
        <f>UPPER(IF(Tabla2[[#This Row],[FECHA DE MUESTREO ]]=0,"",TEXT(Tabla2[[#This Row],[FECHA DE MUESTREO ]],("MMMM"))))</f>
        <v>NOVIEMBRE</v>
      </c>
      <c r="U983" s="6">
        <v>45986</v>
      </c>
      <c r="V983" s="5" t="s">
        <v>59</v>
      </c>
      <c r="W9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83" s="7">
        <f t="shared" si="34"/>
        <v>1</v>
      </c>
      <c r="Y983" s="5">
        <v>0.5</v>
      </c>
      <c r="Z983" s="5">
        <v>7.56</v>
      </c>
      <c r="AA983" s="5">
        <v>2</v>
      </c>
      <c r="AB983" s="5">
        <v>25</v>
      </c>
      <c r="AC983" s="5">
        <v>216</v>
      </c>
      <c r="AD983" s="5">
        <v>8.66</v>
      </c>
      <c r="AE983" s="5">
        <v>77</v>
      </c>
      <c r="AF983" s="5">
        <v>5</v>
      </c>
      <c r="AG983" s="5">
        <v>166</v>
      </c>
      <c r="AH983" s="5">
        <v>0.51400000000000001</v>
      </c>
      <c r="AI983" s="5">
        <f t="shared" si="35"/>
        <v>15.42</v>
      </c>
    </row>
    <row r="984" spans="1:35" x14ac:dyDescent="0.25">
      <c r="A984" s="5" t="s">
        <v>52</v>
      </c>
      <c r="D984" s="5">
        <v>2026</v>
      </c>
      <c r="F984" s="5" t="s">
        <v>58</v>
      </c>
      <c r="G984" s="5" t="s">
        <v>229</v>
      </c>
      <c r="H984" s="5" t="s">
        <v>277</v>
      </c>
      <c r="I984" s="5">
        <v>923</v>
      </c>
      <c r="J984" s="5" t="str">
        <f>IFERROR(VLOOKUP(I984,[1]INFO_LOCALES!$B:$C,2,FALSE),"")</f>
        <v>SANTA MARIA ARICA</v>
      </c>
      <c r="K984" s="5" t="str">
        <f>IFERROR(VLOOKUP(Tabla2[[#This Row],[TIENDA]],[1]INFO_LOCALES!$B:$D,3,FALSE),"")</f>
        <v>XV - Arica y Parinacota</v>
      </c>
      <c r="L984" s="5" t="str">
        <f>IFERROR(VLOOKUP(I984,[1]INFO_LOCALES!$B:$I,8,FALSE),"")</f>
        <v>Arica</v>
      </c>
      <c r="M984" s="5" t="str">
        <f>IFERROR(VLOOKUP(I984,[1]INFO_LOCALES!$B:$H,7,FALSE),"")</f>
        <v>AV.STA. MARIA  2465</v>
      </c>
      <c r="N984" s="5">
        <f>IFERROR(VLOOKUP(I984,[1]INFO_LOCALES!$B:$E,4,FALSE),"")</f>
        <v>0</v>
      </c>
      <c r="O984" s="5" t="str">
        <f>VLOOKUP(Tabla2[[#This Row],[TIENDA]],[1]INFO_LOCALES!$B:$J,9,0)</f>
        <v>SIN CONVENIO</v>
      </c>
      <c r="P984" s="5" t="str">
        <f>IFERROR(VLOOKUP(I984,[1]INFO_LOCALES!$B:$F,5,FALSE),"")</f>
        <v>AGUAS DEL ALTIPLANO S.A.</v>
      </c>
      <c r="Q984" s="5" t="s">
        <v>71</v>
      </c>
      <c r="R984" s="5" t="s">
        <v>58</v>
      </c>
      <c r="S984" s="6">
        <v>46188</v>
      </c>
      <c r="T984" s="5" t="str">
        <f>UPPER(IF(Tabla2[[#This Row],[FECHA DE MUESTREO ]]=0,"",TEXT(Tabla2[[#This Row],[FECHA DE MUESTREO ]],("MMMM"))))</f>
        <v>ENERO</v>
      </c>
      <c r="U984" s="6">
        <v>46050</v>
      </c>
      <c r="V984" s="5" t="s">
        <v>59</v>
      </c>
      <c r="W9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84" s="7">
        <f t="shared" si="34"/>
        <v>1</v>
      </c>
      <c r="Y984" s="5">
        <v>0.5</v>
      </c>
      <c r="Z984" s="5">
        <v>7.81</v>
      </c>
      <c r="AA984" s="5">
        <v>2</v>
      </c>
      <c r="AB984" s="5">
        <v>23.2</v>
      </c>
      <c r="AC984" s="5">
        <v>279</v>
      </c>
      <c r="AD984" s="5">
        <v>2.8</v>
      </c>
      <c r="AE984" s="5">
        <v>35</v>
      </c>
      <c r="AF984" s="5">
        <v>0.1</v>
      </c>
      <c r="AG984" s="5">
        <v>5</v>
      </c>
      <c r="AH984" s="5">
        <v>1</v>
      </c>
      <c r="AI984" s="5">
        <f t="shared" si="35"/>
        <v>30</v>
      </c>
    </row>
    <row r="985" spans="1:35" x14ac:dyDescent="0.25">
      <c r="A985" s="5" t="s">
        <v>52</v>
      </c>
      <c r="D985" s="5">
        <v>2026</v>
      </c>
      <c r="E985" s="5" t="s">
        <v>335</v>
      </c>
      <c r="F985" s="5" t="s">
        <v>58</v>
      </c>
      <c r="G985" s="5" t="s">
        <v>56</v>
      </c>
      <c r="H985" s="5" t="s">
        <v>249</v>
      </c>
      <c r="I985" s="5">
        <v>963</v>
      </c>
      <c r="J985" s="5" t="str">
        <f>IFERROR(VLOOKUP(I985,[1]INFO_LOCALES!$B:$C,2,FALSE),"")</f>
        <v>FLORIDA</v>
      </c>
      <c r="K985" s="5" t="str">
        <f>IFERROR(VLOOKUP(Tabla2[[#This Row],[TIENDA]],[1]INFO_LOCALES!$B:$D,3,FALSE),"")</f>
        <v>IV - Coquimbo</v>
      </c>
      <c r="L985" s="5" t="str">
        <f>IFERROR(VLOOKUP(I985,[1]INFO_LOCALES!$B:$I,8,FALSE),"")</f>
        <v>La Serena</v>
      </c>
      <c r="M985" s="5" t="str">
        <f>IFERROR(VLOOKUP(I985,[1]INFO_LOCALES!$B:$H,7,FALSE),"")</f>
        <v>Avenida Las Parcelas ULS PC 304-A</v>
      </c>
      <c r="N985" s="5">
        <f>IFERROR(VLOOKUP(I985,[1]INFO_LOCALES!$B:$E,4,FALSE),"")</f>
        <v>0</v>
      </c>
      <c r="O985" s="5" t="str">
        <f>VLOOKUP(Tabla2[[#This Row],[TIENDA]],[1]INFO_LOCALES!$B:$J,9,0)</f>
        <v>SIN CONVENIO</v>
      </c>
      <c r="P985" s="5" t="str">
        <f>IFERROR(VLOOKUP(I985,[1]INFO_LOCALES!$B:$F,5,FALSE),"")</f>
        <v>S Y R INVERSIONES S. A.</v>
      </c>
      <c r="Q985" s="5" t="s">
        <v>66</v>
      </c>
      <c r="R985" s="5" t="s">
        <v>58</v>
      </c>
      <c r="S985" s="6"/>
      <c r="T985" s="5" t="str">
        <f>UPPER(IF(Tabla2[[#This Row],[FECHA DE MUESTREO ]]=0,"",TEXT(Tabla2[[#This Row],[FECHA DE MUESTREO ]],("MMMM"))))</f>
        <v>ABRIL</v>
      </c>
      <c r="U985" s="6">
        <v>46127</v>
      </c>
      <c r="V985" s="5" t="s">
        <v>59</v>
      </c>
      <c r="W9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NO CUMPLE</v>
      </c>
      <c r="X985" s="7">
        <f t="shared" si="34"/>
        <v>3</v>
      </c>
      <c r="Y985" s="5">
        <v>12.13</v>
      </c>
      <c r="Z985" s="5">
        <v>7.54</v>
      </c>
      <c r="AA985" s="5">
        <v>23</v>
      </c>
      <c r="AB985" s="5">
        <v>19.91</v>
      </c>
      <c r="AC985" s="5">
        <v>311</v>
      </c>
      <c r="AD985" s="5">
        <v>10.64</v>
      </c>
      <c r="AE985" s="5">
        <v>51</v>
      </c>
      <c r="AF985" s="5">
        <v>1</v>
      </c>
      <c r="AG985" s="5">
        <v>180.33</v>
      </c>
      <c r="AH985" s="5">
        <v>5.82</v>
      </c>
      <c r="AI985" s="5">
        <f t="shared" si="35"/>
        <v>174.60000000000002</v>
      </c>
    </row>
    <row r="986" spans="1:35" x14ac:dyDescent="0.25">
      <c r="A986" s="5" t="s">
        <v>52</v>
      </c>
      <c r="D986" s="5">
        <v>2026</v>
      </c>
      <c r="F986" s="10" t="s">
        <v>336</v>
      </c>
      <c r="I986" s="5">
        <v>7</v>
      </c>
      <c r="J986" s="5" t="str">
        <f>IFERROR(VLOOKUP(I986,[1]INFO_LOCALES!$B:$C,2,FALSE),"")</f>
        <v>VALLENAR I</v>
      </c>
      <c r="K986" s="5" t="str">
        <f>IFERROR(VLOOKUP(Tabla2[[#This Row],[TIENDA]],[1]INFO_LOCALES!$B:$D,3,FALSE),"")</f>
        <v>III - Atacama</v>
      </c>
      <c r="L986" s="5" t="str">
        <f>IFERROR(VLOOKUP(I986,[1]INFO_LOCALES!$B:$I,8,FALSE),"")</f>
        <v>Vallenar</v>
      </c>
      <c r="M986" s="5" t="str">
        <f>IFERROR(VLOOKUP(I986,[1]INFO_LOCALES!$B:$H,7,FALSE),"")</f>
        <v>Brasil 663</v>
      </c>
      <c r="N986" s="5">
        <f>IFERROR(VLOOKUP(I986,[1]INFO_LOCALES!$B:$E,4,FALSE),"")</f>
        <v>0</v>
      </c>
      <c r="O986" s="5" t="str">
        <f>VLOOKUP(Tabla2[[#This Row],[TIENDA]],[1]INFO_LOCALES!$B:$J,9,0)</f>
        <v>CONVENIO</v>
      </c>
      <c r="P986" s="5" t="str">
        <f>IFERROR(VLOOKUP(I986,[1]INFO_LOCALES!$B:$F,5,FALSE),"")</f>
        <v>NUEVA ATACAMA</v>
      </c>
      <c r="Q986" s="5" t="s">
        <v>85</v>
      </c>
      <c r="R986" s="5" t="s">
        <v>86</v>
      </c>
      <c r="S986" s="6"/>
      <c r="T986" s="5" t="str">
        <f>UPPER(IF(Tabla2[[#This Row],[FECHA DE MUESTREO ]]=0,"",TEXT(Tabla2[[#This Row],[FECHA DE MUESTREO ]],("MMMM"))))</f>
        <v/>
      </c>
      <c r="U986" s="6"/>
      <c r="V986" s="5" t="s">
        <v>59</v>
      </c>
      <c r="W9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86" s="7">
        <f t="shared" si="34"/>
        <v>1</v>
      </c>
      <c r="AI986" s="5">
        <f t="shared" si="35"/>
        <v>0</v>
      </c>
    </row>
    <row r="987" spans="1:35" x14ac:dyDescent="0.25">
      <c r="A987" s="5" t="s">
        <v>52</v>
      </c>
      <c r="D987" s="5">
        <v>2026</v>
      </c>
      <c r="F987" s="10" t="s">
        <v>336</v>
      </c>
      <c r="I987" s="5">
        <v>14</v>
      </c>
      <c r="J987" s="5" t="str">
        <f>IFERROR(VLOOKUP(I987,[1]INFO_LOCALES!$B:$C,2,FALSE),"")</f>
        <v>COPIAPO</v>
      </c>
      <c r="K987" s="5" t="str">
        <f>IFERROR(VLOOKUP(Tabla2[[#This Row],[TIENDA]],[1]INFO_LOCALES!$B:$D,3,FALSE),"")</f>
        <v>III - Atacama</v>
      </c>
      <c r="L987" s="5" t="str">
        <f>IFERROR(VLOOKUP(I987,[1]INFO_LOCALES!$B:$I,8,FALSE),"")</f>
        <v>Copiapó</v>
      </c>
      <c r="M987" s="5" t="str">
        <f>IFERROR(VLOOKUP(I987,[1]INFO_LOCALES!$B:$H,7,FALSE),"")</f>
        <v>Av. Henrriquez N° 523</v>
      </c>
      <c r="N987" s="5">
        <f>IFERROR(VLOOKUP(I987,[1]INFO_LOCALES!$B:$E,4,FALSE),"")</f>
        <v>0</v>
      </c>
      <c r="O987" s="5" t="str">
        <f>VLOOKUP(Tabla2[[#This Row],[TIENDA]],[1]INFO_LOCALES!$B:$J,9,0)</f>
        <v>CONVENIO</v>
      </c>
      <c r="P987" s="5" t="str">
        <f>IFERROR(VLOOKUP(I987,[1]INFO_LOCALES!$B:$F,5,FALSE),"")</f>
        <v>NUEVA ATACAMA</v>
      </c>
      <c r="Q987" s="5" t="s">
        <v>85</v>
      </c>
      <c r="R987" s="5" t="s">
        <v>86</v>
      </c>
      <c r="S987" s="6"/>
      <c r="T987" s="5" t="str">
        <f>UPPER(IF(Tabla2[[#This Row],[FECHA DE MUESTREO ]]=0,"",TEXT(Tabla2[[#This Row],[FECHA DE MUESTREO ]],("MMMM"))))</f>
        <v/>
      </c>
      <c r="U987" s="6"/>
      <c r="V987" s="5" t="s">
        <v>59</v>
      </c>
      <c r="W9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87" s="7">
        <f t="shared" si="34"/>
        <v>1</v>
      </c>
      <c r="AI987" s="5">
        <f t="shared" si="35"/>
        <v>0</v>
      </c>
    </row>
    <row r="988" spans="1:35" x14ac:dyDescent="0.25">
      <c r="A988" s="5" t="s">
        <v>52</v>
      </c>
      <c r="D988" s="5">
        <v>2026</v>
      </c>
      <c r="F988" s="10" t="s">
        <v>336</v>
      </c>
      <c r="I988" s="5">
        <v>16</v>
      </c>
      <c r="J988" s="5" t="str">
        <f>IFERROR(VLOOKUP(I988,[1]INFO_LOCALES!$B:$C,2,FALSE),"")</f>
        <v>VALLENAR II</v>
      </c>
      <c r="K988" s="5" t="str">
        <f>IFERROR(VLOOKUP(Tabla2[[#This Row],[TIENDA]],[1]INFO_LOCALES!$B:$D,3,FALSE),"")</f>
        <v>III - Atacama</v>
      </c>
      <c r="L988" s="5" t="str">
        <f>IFERROR(VLOOKUP(I988,[1]INFO_LOCALES!$B:$I,8,FALSE),"")</f>
        <v>Vallenar</v>
      </c>
      <c r="M988" s="5" t="str">
        <f>IFERROR(VLOOKUP(I988,[1]INFO_LOCALES!$B:$H,7,FALSE),"")</f>
        <v>Arturo Prat 2350</v>
      </c>
      <c r="N988" s="5">
        <f>IFERROR(VLOOKUP(I988,[1]INFO_LOCALES!$B:$E,4,FALSE),"")</f>
        <v>0</v>
      </c>
      <c r="O988" s="5" t="str">
        <f>VLOOKUP(Tabla2[[#This Row],[TIENDA]],[1]INFO_LOCALES!$B:$J,9,0)</f>
        <v>TERMINADO</v>
      </c>
      <c r="P988" s="5" t="str">
        <f>IFERROR(VLOOKUP(I988,[1]INFO_LOCALES!$B:$F,5,FALSE),"")</f>
        <v>NUEVA ATACAMA</v>
      </c>
      <c r="Q988" s="5" t="s">
        <v>85</v>
      </c>
      <c r="R988" s="5" t="s">
        <v>86</v>
      </c>
      <c r="S988" s="6"/>
      <c r="T988" s="5" t="str">
        <f>UPPER(IF(Tabla2[[#This Row],[FECHA DE MUESTREO ]]=0,"",TEXT(Tabla2[[#This Row],[FECHA DE MUESTREO ]],("MMMM"))))</f>
        <v/>
      </c>
      <c r="U988" s="6"/>
      <c r="V988" s="5" t="s">
        <v>59</v>
      </c>
      <c r="W9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88" s="7">
        <f t="shared" si="34"/>
        <v>1</v>
      </c>
      <c r="AI988" s="5">
        <f t="shared" si="35"/>
        <v>0</v>
      </c>
    </row>
    <row r="989" spans="1:35" x14ac:dyDescent="0.25">
      <c r="A989" s="5" t="s">
        <v>52</v>
      </c>
      <c r="D989" s="5">
        <v>2026</v>
      </c>
      <c r="F989" s="10" t="s">
        <v>336</v>
      </c>
      <c r="I989" s="5">
        <v>22</v>
      </c>
      <c r="J989" s="5" t="str">
        <f>IFERROR(VLOOKUP(I989,[1]INFO_LOCALES!$B:$C,2,FALSE),"")</f>
        <v>ATACAMA</v>
      </c>
      <c r="K989" s="5" t="str">
        <f>IFERROR(VLOOKUP(Tabla2[[#This Row],[TIENDA]],[1]INFO_LOCALES!$B:$D,3,FALSE),"")</f>
        <v>III - Atacama</v>
      </c>
      <c r="L989" s="5" t="str">
        <f>IFERROR(VLOOKUP(I989,[1]INFO_LOCALES!$B:$I,8,FALSE),"")</f>
        <v>Copiapó</v>
      </c>
      <c r="M989" s="5" t="str">
        <f>IFERROR(VLOOKUP(I989,[1]INFO_LOCALES!$B:$H,7,FALSE),"")</f>
        <v>Los Carreras 2242</v>
      </c>
      <c r="N989" s="5">
        <f>IFERROR(VLOOKUP(I989,[1]INFO_LOCALES!$B:$E,4,FALSE),"")</f>
        <v>2666</v>
      </c>
      <c r="O989" s="5" t="str">
        <f>VLOOKUP(Tabla2[[#This Row],[TIENDA]],[1]INFO_LOCALES!$B:$J,9,0)</f>
        <v>CONVENIO</v>
      </c>
      <c r="P989" s="5" t="str">
        <f>IFERROR(VLOOKUP(I989,[1]INFO_LOCALES!$B:$F,5,FALSE),"")</f>
        <v>NUEVA ATACAMA</v>
      </c>
      <c r="Q989" s="5" t="s">
        <v>85</v>
      </c>
      <c r="R989" s="5" t="s">
        <v>86</v>
      </c>
      <c r="S989" s="6"/>
      <c r="T989" s="5" t="str">
        <f>UPPER(IF(Tabla2[[#This Row],[FECHA DE MUESTREO ]]=0,"",TEXT(Tabla2[[#This Row],[FECHA DE MUESTREO ]],("MMMM"))))</f>
        <v/>
      </c>
      <c r="U989" s="6"/>
      <c r="V989" s="5" t="s">
        <v>59</v>
      </c>
      <c r="W9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89" s="7">
        <f t="shared" si="34"/>
        <v>1</v>
      </c>
      <c r="AI989" s="5">
        <f t="shared" si="35"/>
        <v>0</v>
      </c>
    </row>
    <row r="990" spans="1:35" x14ac:dyDescent="0.25">
      <c r="A990" s="5" t="s">
        <v>52</v>
      </c>
      <c r="D990" s="5">
        <v>2026</v>
      </c>
      <c r="F990" s="10" t="s">
        <v>336</v>
      </c>
      <c r="I990" s="5">
        <v>23</v>
      </c>
      <c r="J990" s="5" t="str">
        <f>IFERROR(VLOOKUP(I990,[1]INFO_LOCALES!$B:$C,2,FALSE),"")</f>
        <v>LOS CARRERAS</v>
      </c>
      <c r="K990" s="5" t="str">
        <f>IFERROR(VLOOKUP(Tabla2[[#This Row],[TIENDA]],[1]INFO_LOCALES!$B:$D,3,FALSE),"")</f>
        <v>III - Atacama</v>
      </c>
      <c r="L990" s="5" t="str">
        <f>IFERROR(VLOOKUP(I990,[1]INFO_LOCALES!$B:$I,8,FALSE),"")</f>
        <v>Copiapó</v>
      </c>
      <c r="M990" s="5" t="str">
        <f>IFERROR(VLOOKUP(I990,[1]INFO_LOCALES!$B:$H,7,FALSE),"")</f>
        <v>Los Carrera 479</v>
      </c>
      <c r="N990" s="5">
        <f>IFERROR(VLOOKUP(I990,[1]INFO_LOCALES!$B:$E,4,FALSE),"")</f>
        <v>0</v>
      </c>
      <c r="O990" s="5" t="str">
        <f>VLOOKUP(Tabla2[[#This Row],[TIENDA]],[1]INFO_LOCALES!$B:$J,9,0)</f>
        <v>SIN CONVENIO</v>
      </c>
      <c r="P990" s="5" t="str">
        <f>IFERROR(VLOOKUP(I990,[1]INFO_LOCALES!$B:$F,5,FALSE),"")</f>
        <v>NUEVA ATACAMA</v>
      </c>
      <c r="Q990" s="5" t="s">
        <v>85</v>
      </c>
      <c r="R990" s="5" t="s">
        <v>86</v>
      </c>
      <c r="S990" s="6"/>
      <c r="T990" s="5" t="str">
        <f>UPPER(IF(Tabla2[[#This Row],[FECHA DE MUESTREO ]]=0,"",TEXT(Tabla2[[#This Row],[FECHA DE MUESTREO ]],("MMMM"))))</f>
        <v/>
      </c>
      <c r="U990" s="6"/>
      <c r="V990" s="5" t="s">
        <v>59</v>
      </c>
      <c r="W9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0" s="7">
        <f t="shared" si="34"/>
        <v>1</v>
      </c>
      <c r="AI990" s="5">
        <f t="shared" si="35"/>
        <v>0</v>
      </c>
    </row>
    <row r="991" spans="1:35" x14ac:dyDescent="0.25">
      <c r="A991" s="5" t="s">
        <v>52</v>
      </c>
      <c r="D991" s="5">
        <v>2026</v>
      </c>
      <c r="F991" s="10" t="s">
        <v>336</v>
      </c>
      <c r="I991" s="5">
        <v>24</v>
      </c>
      <c r="J991" s="5" t="str">
        <f>IFERROR(VLOOKUP(I991,[1]INFO_LOCALES!$B:$C,2,FALSE),"")</f>
        <v>CHACABUCO</v>
      </c>
      <c r="K991" s="5" t="str">
        <f>IFERROR(VLOOKUP(Tabla2[[#This Row],[TIENDA]],[1]INFO_LOCALES!$B:$D,3,FALSE),"")</f>
        <v>III - Atacama</v>
      </c>
      <c r="L991" s="5" t="str">
        <f>IFERROR(VLOOKUP(I991,[1]INFO_LOCALES!$B:$I,8,FALSE),"")</f>
        <v>Copiapó</v>
      </c>
      <c r="M991" s="5" t="str">
        <f>IFERROR(VLOOKUP(I991,[1]INFO_LOCALES!$B:$H,7,FALSE),"")</f>
        <v>Los Carreras  586</v>
      </c>
      <c r="N991" s="5">
        <f>IFERROR(VLOOKUP(I991,[1]INFO_LOCALES!$B:$E,4,FALSE),"")</f>
        <v>0</v>
      </c>
      <c r="O991" s="5" t="str">
        <f>VLOOKUP(Tabla2[[#This Row],[TIENDA]],[1]INFO_LOCALES!$B:$J,9,0)</f>
        <v>SIN CONVENIO</v>
      </c>
      <c r="P991" s="5" t="str">
        <f>IFERROR(VLOOKUP(I991,[1]INFO_LOCALES!$B:$F,5,FALSE),"")</f>
        <v>NUEVA ATACAMA</v>
      </c>
      <c r="Q991" s="5" t="s">
        <v>85</v>
      </c>
      <c r="R991" s="5" t="s">
        <v>86</v>
      </c>
      <c r="S991" s="6"/>
      <c r="T991" s="5" t="str">
        <f>UPPER(IF(Tabla2[[#This Row],[FECHA DE MUESTREO ]]=0,"",TEXT(Tabla2[[#This Row],[FECHA DE MUESTREO ]],("MMMM"))))</f>
        <v/>
      </c>
      <c r="U991" s="6"/>
      <c r="V991" s="5" t="s">
        <v>59</v>
      </c>
      <c r="W9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1" s="7">
        <f t="shared" si="34"/>
        <v>1</v>
      </c>
      <c r="AI991" s="5">
        <f t="shared" si="35"/>
        <v>0</v>
      </c>
    </row>
    <row r="992" spans="1:35" x14ac:dyDescent="0.25">
      <c r="A992" s="5" t="s">
        <v>52</v>
      </c>
      <c r="D992" s="5">
        <v>2026</v>
      </c>
      <c r="F992" s="10" t="s">
        <v>336</v>
      </c>
      <c r="I992" s="5">
        <v>25</v>
      </c>
      <c r="J992" s="5" t="str">
        <f>IFERROR(VLOOKUP(I992,[1]INFO_LOCALES!$B:$C,2,FALSE),"")</f>
        <v>EL PALOMAR</v>
      </c>
      <c r="K992" s="5" t="str">
        <f>IFERROR(VLOOKUP(Tabla2[[#This Row],[TIENDA]],[1]INFO_LOCALES!$B:$D,3,FALSE),"")</f>
        <v>III - Atacama</v>
      </c>
      <c r="L992" s="5" t="str">
        <f>IFERROR(VLOOKUP(I992,[1]INFO_LOCALES!$B:$I,8,FALSE),"")</f>
        <v>Copiapó</v>
      </c>
      <c r="M992" s="5" t="str">
        <f>IFERROR(VLOOKUP(I992,[1]INFO_LOCALES!$B:$H,7,FALSE),"")</f>
        <v>Av. Palomar 1525</v>
      </c>
      <c r="N992" s="5">
        <f>IFERROR(VLOOKUP(I992,[1]INFO_LOCALES!$B:$E,4,FALSE),"")</f>
        <v>3868</v>
      </c>
      <c r="O992" s="5" t="str">
        <f>VLOOKUP(Tabla2[[#This Row],[TIENDA]],[1]INFO_LOCALES!$B:$J,9,0)</f>
        <v>TERMINADO</v>
      </c>
      <c r="P992" s="5" t="str">
        <f>IFERROR(VLOOKUP(I992,[1]INFO_LOCALES!$B:$F,5,FALSE),"")</f>
        <v>NUEVA ATACAMA</v>
      </c>
      <c r="Q992" s="5" t="s">
        <v>85</v>
      </c>
      <c r="R992" s="5" t="s">
        <v>86</v>
      </c>
      <c r="S992" s="6"/>
      <c r="T992" s="5" t="str">
        <f>UPPER(IF(Tabla2[[#This Row],[FECHA DE MUESTREO ]]=0,"",TEXT(Tabla2[[#This Row],[FECHA DE MUESTREO ]],("MMMM"))))</f>
        <v/>
      </c>
      <c r="U992" s="6"/>
      <c r="V992" s="5" t="s">
        <v>59</v>
      </c>
      <c r="W9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2" s="7">
        <f t="shared" si="34"/>
        <v>1</v>
      </c>
      <c r="AI992" s="5">
        <f t="shared" si="35"/>
        <v>0</v>
      </c>
    </row>
    <row r="993" spans="1:35" x14ac:dyDescent="0.25">
      <c r="A993" s="5" t="s">
        <v>52</v>
      </c>
      <c r="D993" s="5">
        <v>2026</v>
      </c>
      <c r="F993" s="10" t="s">
        <v>336</v>
      </c>
      <c r="I993" s="5">
        <v>32</v>
      </c>
      <c r="J993" s="5" t="str">
        <f>IFERROR(VLOOKUP(I993,[1]INFO_LOCALES!$B:$C,2,FALSE),"")</f>
        <v>CHAÑARCILLO</v>
      </c>
      <c r="K993" s="5" t="str">
        <f>IFERROR(VLOOKUP(Tabla2[[#This Row],[TIENDA]],[1]INFO_LOCALES!$B:$D,3,FALSE),"")</f>
        <v>III - Atacama</v>
      </c>
      <c r="L993" s="5" t="str">
        <f>IFERROR(VLOOKUP(I993,[1]INFO_LOCALES!$B:$I,8,FALSE),"")</f>
        <v>Copiapó</v>
      </c>
      <c r="M993" s="5" t="str">
        <f>IFERROR(VLOOKUP(I993,[1]INFO_LOCALES!$B:$H,7,FALSE),"")</f>
        <v>Chacabuco Nº 231</v>
      </c>
      <c r="N993" s="5">
        <f>IFERROR(VLOOKUP(I993,[1]INFO_LOCALES!$B:$E,4,FALSE),"")</f>
        <v>0</v>
      </c>
      <c r="O993" s="5" t="str">
        <f>VLOOKUP(Tabla2[[#This Row],[TIENDA]],[1]INFO_LOCALES!$B:$J,9,0)</f>
        <v>CONVENIO</v>
      </c>
      <c r="P993" s="5" t="str">
        <f>IFERROR(VLOOKUP(I993,[1]INFO_LOCALES!$B:$F,5,FALSE),"")</f>
        <v>NUEVA ATACAMA</v>
      </c>
      <c r="Q993" s="5" t="s">
        <v>85</v>
      </c>
      <c r="R993" s="5" t="s">
        <v>86</v>
      </c>
      <c r="S993" s="6"/>
      <c r="T993" s="5" t="str">
        <f>UPPER(IF(Tabla2[[#This Row],[FECHA DE MUESTREO ]]=0,"",TEXT(Tabla2[[#This Row],[FECHA DE MUESTREO ]],("MMMM"))))</f>
        <v/>
      </c>
      <c r="U993" s="6"/>
      <c r="V993" s="5" t="s">
        <v>59</v>
      </c>
      <c r="W9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3" s="7">
        <f t="shared" si="34"/>
        <v>1</v>
      </c>
      <c r="AI993" s="5">
        <f t="shared" si="35"/>
        <v>0</v>
      </c>
    </row>
    <row r="994" spans="1:35" x14ac:dyDescent="0.25">
      <c r="A994" s="5" t="s">
        <v>52</v>
      </c>
      <c r="D994" s="5">
        <v>2026</v>
      </c>
      <c r="F994" s="10" t="s">
        <v>336</v>
      </c>
      <c r="I994" s="5">
        <v>344</v>
      </c>
      <c r="J994" s="5" t="str">
        <f>IFERROR(VLOOKUP(I994,[1]INFO_LOCALES!$B:$C,2,FALSE),"")</f>
        <v>CURICO ALAMEDA</v>
      </c>
      <c r="K994" s="5" t="str">
        <f>IFERROR(VLOOKUP(Tabla2[[#This Row],[TIENDA]],[1]INFO_LOCALES!$B:$D,3,FALSE),"")</f>
        <v>VII - Maule</v>
      </c>
      <c r="L994" s="5" t="str">
        <f>IFERROR(VLOOKUP(I994,[1]INFO_LOCALES!$B:$I,8,FALSE),"")</f>
        <v>Curicó</v>
      </c>
      <c r="M994" s="5" t="str">
        <f>IFERROR(VLOOKUP(I994,[1]INFO_LOCALES!$B:$H,7,FALSE),"")</f>
        <v>Estado 43</v>
      </c>
      <c r="N994" s="5">
        <f>IFERROR(VLOOKUP(I994,[1]INFO_LOCALES!$B:$E,4,FALSE),"")</f>
        <v>4530</v>
      </c>
      <c r="O994" s="5" t="str">
        <f>VLOOKUP(Tabla2[[#This Row],[TIENDA]],[1]INFO_LOCALES!$B:$J,9,0)</f>
        <v>SIN CONVENIO</v>
      </c>
      <c r="P994" s="5" t="str">
        <f>IFERROR(VLOOKUP(I994,[1]INFO_LOCALES!$B:$F,5,FALSE),"")</f>
        <v>NUEVOSUR S.A.</v>
      </c>
      <c r="Q994" s="5" t="s">
        <v>291</v>
      </c>
      <c r="R994" s="5" t="s">
        <v>86</v>
      </c>
      <c r="S994" s="6"/>
      <c r="T994" s="5" t="str">
        <f>UPPER(IF(Tabla2[[#This Row],[FECHA DE MUESTREO ]]=0,"",TEXT(Tabla2[[#This Row],[FECHA DE MUESTREO ]],("MMMM"))))</f>
        <v/>
      </c>
      <c r="U994" s="6"/>
      <c r="V994" s="5" t="s">
        <v>135</v>
      </c>
      <c r="W9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4" s="7">
        <f t="shared" si="34"/>
        <v>1</v>
      </c>
      <c r="AI994" s="5">
        <f t="shared" si="35"/>
        <v>0</v>
      </c>
    </row>
    <row r="995" spans="1:35" x14ac:dyDescent="0.25">
      <c r="A995" s="5" t="s">
        <v>52</v>
      </c>
      <c r="D995" s="5">
        <v>2026</v>
      </c>
      <c r="F995" s="10" t="s">
        <v>336</v>
      </c>
      <c r="I995" s="5">
        <v>465</v>
      </c>
      <c r="J995" s="5" t="str">
        <f>IFERROR(VLOOKUP(I995,[1]INFO_LOCALES!$B:$C,2,FALSE),"")</f>
        <v>PUERTO NATALES</v>
      </c>
      <c r="K995" s="5" t="str">
        <f>IFERROR(VLOOKUP(Tabla2[[#This Row],[TIENDA]],[1]INFO_LOCALES!$B:$D,3,FALSE),"")</f>
        <v>XII - Magallanes</v>
      </c>
      <c r="L995" s="5" t="str">
        <f>IFERROR(VLOOKUP(I995,[1]INFO_LOCALES!$B:$I,8,FALSE),"")</f>
        <v>Puerto Natales</v>
      </c>
      <c r="M995" s="5" t="str">
        <f>IFERROR(VLOOKUP(I995,[1]INFO_LOCALES!$B:$H,7,FALSE),"")</f>
        <v>Bulnes 742</v>
      </c>
      <c r="N995" s="5">
        <f>IFERROR(VLOOKUP(I995,[1]INFO_LOCALES!$B:$E,4,FALSE),"")</f>
        <v>1133</v>
      </c>
      <c r="O995" s="5" t="str">
        <f>VLOOKUP(Tabla2[[#This Row],[TIENDA]],[1]INFO_LOCALES!$B:$J,9,0)</f>
        <v>SIN CONVENIO</v>
      </c>
      <c r="P995" s="5" t="str">
        <f>IFERROR(VLOOKUP(I995,[1]INFO_LOCALES!$B:$F,5,FALSE),"")</f>
        <v>AGUAS MAGALLANES S.A.</v>
      </c>
      <c r="Q995" s="5" t="s">
        <v>291</v>
      </c>
      <c r="R995" s="5" t="s">
        <v>86</v>
      </c>
      <c r="S995" s="6"/>
      <c r="T995" s="5" t="str">
        <f>UPPER(IF(Tabla2[[#This Row],[FECHA DE MUESTREO ]]=0,"",TEXT(Tabla2[[#This Row],[FECHA DE MUESTREO ]],("MMMM"))))</f>
        <v/>
      </c>
      <c r="U995" s="6"/>
      <c r="V995" s="5" t="s">
        <v>135</v>
      </c>
      <c r="W9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5" s="7">
        <f t="shared" si="34"/>
        <v>1</v>
      </c>
      <c r="AI995" s="5">
        <f t="shared" si="35"/>
        <v>0</v>
      </c>
    </row>
    <row r="996" spans="1:35" x14ac:dyDescent="0.25">
      <c r="A996" s="5" t="s">
        <v>52</v>
      </c>
      <c r="D996" s="5">
        <v>2026</v>
      </c>
      <c r="F996" s="10" t="s">
        <v>336</v>
      </c>
      <c r="I996" s="5">
        <v>472</v>
      </c>
      <c r="J996" s="5" t="str">
        <f>IFERROR(VLOOKUP(I996,[1]INFO_LOCALES!$B:$C,2,FALSE),"")</f>
        <v>CALDERA I</v>
      </c>
      <c r="K996" s="5" t="str">
        <f>IFERROR(VLOOKUP(Tabla2[[#This Row],[TIENDA]],[1]INFO_LOCALES!$B:$D,3,FALSE),"")</f>
        <v>III - Atacama</v>
      </c>
      <c r="L996" s="5" t="str">
        <f>IFERROR(VLOOKUP(I996,[1]INFO_LOCALES!$B:$I,8,FALSE),"")</f>
        <v>Caldera</v>
      </c>
      <c r="M996" s="5" t="str">
        <f>IFERROR(VLOOKUP(I996,[1]INFO_LOCALES!$B:$H,7,FALSE),"")</f>
        <v>Batallon Atacama 319</v>
      </c>
      <c r="N996" s="5">
        <f>IFERROR(VLOOKUP(I996,[1]INFO_LOCALES!$B:$E,4,FALSE),"")</f>
        <v>0</v>
      </c>
      <c r="O996" s="5" t="str">
        <f>VLOOKUP(Tabla2[[#This Row],[TIENDA]],[1]INFO_LOCALES!$B:$J,9,0)</f>
        <v>CONVENIO</v>
      </c>
      <c r="P996" s="5" t="str">
        <f>IFERROR(VLOOKUP(I996,[1]INFO_LOCALES!$B:$F,5,FALSE),"")</f>
        <v>NUEVA ATACAMA</v>
      </c>
      <c r="Q996" s="5" t="s">
        <v>85</v>
      </c>
      <c r="R996" s="5" t="s">
        <v>86</v>
      </c>
      <c r="S996" s="6"/>
      <c r="T996" s="5" t="str">
        <f>UPPER(IF(Tabla2[[#This Row],[FECHA DE MUESTREO ]]=0,"",TEXT(Tabla2[[#This Row],[FECHA DE MUESTREO ]],("MMMM"))))</f>
        <v/>
      </c>
      <c r="U996" s="6"/>
      <c r="V996" s="5" t="s">
        <v>59</v>
      </c>
      <c r="W9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6" s="7">
        <f t="shared" si="34"/>
        <v>1</v>
      </c>
      <c r="AI996" s="5">
        <f t="shared" si="35"/>
        <v>0</v>
      </c>
    </row>
    <row r="997" spans="1:35" x14ac:dyDescent="0.25">
      <c r="A997" s="5" t="s">
        <v>52</v>
      </c>
      <c r="D997" s="5">
        <v>2026</v>
      </c>
      <c r="F997" s="10" t="s">
        <v>336</v>
      </c>
      <c r="I997" s="5">
        <v>477</v>
      </c>
      <c r="J997" s="5" t="str">
        <f>IFERROR(VLOOKUP(I997,[1]INFO_LOCALES!$B:$C,2,FALSE),"")</f>
        <v>CURAUMA</v>
      </c>
      <c r="K997" s="5" t="str">
        <f>IFERROR(VLOOKUP(Tabla2[[#This Row],[TIENDA]],[1]INFO_LOCALES!$B:$D,3,FALSE),"")</f>
        <v>V - Valparaiso</v>
      </c>
      <c r="L997" s="5" t="str">
        <f>IFERROR(VLOOKUP(I997,[1]INFO_LOCALES!$B:$I,8,FALSE),"")</f>
        <v>Valparaíso</v>
      </c>
      <c r="M997" s="5" t="str">
        <f>IFERROR(VLOOKUP(I997,[1]INFO_LOCALES!$B:$H,7,FALSE),"")</f>
        <v>Obispo Valdes 1170</v>
      </c>
      <c r="N997" s="5">
        <f>IFERROR(VLOOKUP(I997,[1]INFO_LOCALES!$B:$E,4,FALSE),"")</f>
        <v>2721</v>
      </c>
      <c r="O997" s="5" t="str">
        <f>VLOOKUP(Tabla2[[#This Row],[TIENDA]],[1]INFO_LOCALES!$B:$J,9,0)</f>
        <v>SIN CONVENIO</v>
      </c>
      <c r="P997" s="5" t="str">
        <f>IFERROR(VLOOKUP(I997,[1]INFO_LOCALES!$B:$F,5,FALSE),"")</f>
        <v>ESVAL S.A.</v>
      </c>
      <c r="Q997" s="5" t="s">
        <v>85</v>
      </c>
      <c r="R997" s="5" t="s">
        <v>86</v>
      </c>
      <c r="S997" s="6"/>
      <c r="T997" s="5" t="str">
        <f>UPPER(IF(Tabla2[[#This Row],[FECHA DE MUESTREO ]]=0,"",TEXT(Tabla2[[#This Row],[FECHA DE MUESTREO ]],("MMMM"))))</f>
        <v/>
      </c>
      <c r="U997" s="6"/>
      <c r="V997" s="5" t="s">
        <v>59</v>
      </c>
      <c r="W9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7" s="7">
        <f t="shared" si="34"/>
        <v>1</v>
      </c>
      <c r="AI997" s="5">
        <f t="shared" si="35"/>
        <v>0</v>
      </c>
    </row>
    <row r="998" spans="1:35" x14ac:dyDescent="0.25">
      <c r="A998" s="5" t="s">
        <v>52</v>
      </c>
      <c r="D998" s="5">
        <v>2026</v>
      </c>
      <c r="F998" s="10" t="s">
        <v>336</v>
      </c>
      <c r="I998" s="5">
        <v>555</v>
      </c>
      <c r="J998" s="5" t="str">
        <f>IFERROR(VLOOKUP(I998,[1]INFO_LOCALES!$B:$C,2,FALSE),"")</f>
        <v>GRANEROS</v>
      </c>
      <c r="K998" s="5" t="str">
        <f>IFERROR(VLOOKUP(Tabla2[[#This Row],[TIENDA]],[1]INFO_LOCALES!$B:$D,3,FALSE),"")</f>
        <v>VI - O'Higgins</v>
      </c>
      <c r="L998" s="5" t="str">
        <f>IFERROR(VLOOKUP(I998,[1]INFO_LOCALES!$B:$I,8,FALSE),"")</f>
        <v>Graneros</v>
      </c>
      <c r="M998" s="5" t="str">
        <f>IFERROR(VLOOKUP(I998,[1]INFO_LOCALES!$B:$H,7,FALSE),"")</f>
        <v>Obispo Rafael Lira 042</v>
      </c>
      <c r="N998" s="5">
        <f>IFERROR(VLOOKUP(I998,[1]INFO_LOCALES!$B:$E,4,FALSE),"")</f>
        <v>4574</v>
      </c>
      <c r="O998" s="5" t="str">
        <f>VLOOKUP(Tabla2[[#This Row],[TIENDA]],[1]INFO_LOCALES!$B:$J,9,0)</f>
        <v>SIN CONVENIO</v>
      </c>
      <c r="P998" s="5" t="str">
        <f>IFERROR(VLOOKUP(I998,[1]INFO_LOCALES!$B:$F,5,FALSE),"")</f>
        <v>ESSBIO S.A.</v>
      </c>
      <c r="Q998" s="5" t="s">
        <v>85</v>
      </c>
      <c r="R998" s="5" t="s">
        <v>86</v>
      </c>
      <c r="S998" s="6"/>
      <c r="T998" s="5" t="str">
        <f>UPPER(IF(Tabla2[[#This Row],[FECHA DE MUESTREO ]]=0,"",TEXT(Tabla2[[#This Row],[FECHA DE MUESTREO ]],("MMMM"))))</f>
        <v/>
      </c>
      <c r="U998" s="6"/>
      <c r="V998" s="5" t="s">
        <v>59</v>
      </c>
      <c r="W9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8" s="7">
        <f t="shared" ref="X998:X1061" si="36">IF(W998="CUMPLE",1,IF(W998="CUMPLE CON TOLERANCIA",2,IF(W998="NO CUMPLE",3)))</f>
        <v>1</v>
      </c>
      <c r="AI998" s="5">
        <f t="shared" si="35"/>
        <v>0</v>
      </c>
    </row>
    <row r="999" spans="1:35" x14ac:dyDescent="0.25">
      <c r="A999" s="5" t="s">
        <v>152</v>
      </c>
      <c r="D999" s="5">
        <v>2026</v>
      </c>
      <c r="F999" s="10" t="s">
        <v>336</v>
      </c>
      <c r="I999" s="5">
        <v>3014</v>
      </c>
      <c r="J999" s="5" t="str">
        <f>IFERROR(VLOOKUP(I999,[1]INFO_LOCALES!$B:$C,2,FALSE),"")</f>
        <v>M10 SAN FERNANDO</v>
      </c>
      <c r="K999" s="5" t="str">
        <f>IFERROR(VLOOKUP(Tabla2[[#This Row],[TIENDA]],[1]INFO_LOCALES!$B:$D,3,FALSE),"")</f>
        <v>VI - O'Higgins</v>
      </c>
      <c r="L999" s="5" t="str">
        <f>IFERROR(VLOOKUP(I999,[1]INFO_LOCALES!$B:$I,8,FALSE),"")</f>
        <v>San Fernando</v>
      </c>
      <c r="M999" s="5" t="str">
        <f>IFERROR(VLOOKUP(I999,[1]INFO_LOCALES!$B:$H,7,FALSE),"")</f>
        <v>Chillan 745</v>
      </c>
      <c r="N999" s="5">
        <f>IFERROR(VLOOKUP(I999,[1]INFO_LOCALES!$B:$E,4,FALSE),"")</f>
        <v>1298</v>
      </c>
      <c r="O999" s="5" t="str">
        <f>VLOOKUP(Tabla2[[#This Row],[TIENDA]],[1]INFO_LOCALES!$B:$J,9,0)</f>
        <v>TERMINADO</v>
      </c>
      <c r="P999" s="5" t="str">
        <f>IFERROR(VLOOKUP(I999,[1]INFO_LOCALES!$B:$F,5,FALSE),"")</f>
        <v>ESSBIO S.A.</v>
      </c>
      <c r="Q999" s="5" t="s">
        <v>85</v>
      </c>
      <c r="R999" s="5" t="s">
        <v>86</v>
      </c>
      <c r="S999" s="6"/>
      <c r="T999" s="5" t="str">
        <f>UPPER(IF(Tabla2[[#This Row],[FECHA DE MUESTREO ]]=0,"",TEXT(Tabla2[[#This Row],[FECHA DE MUESTREO ]],("MMMM"))))</f>
        <v/>
      </c>
      <c r="U999" s="6"/>
      <c r="V999" s="5" t="s">
        <v>59</v>
      </c>
      <c r="W9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999" s="7">
        <f t="shared" si="36"/>
        <v>1</v>
      </c>
      <c r="AI999" s="5">
        <f t="shared" si="35"/>
        <v>0</v>
      </c>
    </row>
    <row r="1000" spans="1:35" x14ac:dyDescent="0.25">
      <c r="A1000" s="5" t="s">
        <v>52</v>
      </c>
      <c r="D1000" s="5">
        <v>2026</v>
      </c>
      <c r="F1000" s="10" t="s">
        <v>336</v>
      </c>
      <c r="I1000" s="5">
        <v>9051</v>
      </c>
      <c r="J1000" s="5" t="str">
        <f>IFERROR(VLOOKUP(I1000,[1]INFO_LOCALES!$B:$C,2,FALSE),"")</f>
        <v>CD NUEVO COQUIMBO</v>
      </c>
      <c r="K1000" s="5" t="str">
        <f>IFERROR(VLOOKUP(Tabla2[[#This Row],[TIENDA]],[1]INFO_LOCALES!$B:$D,3,FALSE),"")</f>
        <v>IV - Coquimbo</v>
      </c>
      <c r="L1000" s="5" t="str">
        <f>IFERROR(VLOOKUP(I1000,[1]INFO_LOCALES!$B:$I,8,FALSE),"")</f>
        <v>Coquimbo</v>
      </c>
      <c r="M1000" s="5" t="str">
        <f>IFERROR(VLOOKUP(I1000,[1]INFO_LOCALES!$B:$H,7,FALSE),"")</f>
        <v>PAN DE AZUCAR S/N</v>
      </c>
      <c r="N1000" s="5">
        <f>IFERROR(VLOOKUP(I1000,[1]INFO_LOCALES!$B:$E,4,FALSE),"")</f>
        <v>0</v>
      </c>
      <c r="O1000" s="5" t="str">
        <f>VLOOKUP(Tabla2[[#This Row],[TIENDA]],[1]INFO_LOCALES!$B:$J,9,0)</f>
        <v>SIN CONVENIO</v>
      </c>
      <c r="P1000" s="5" t="str">
        <f>IFERROR(VLOOKUP(I1000,[1]INFO_LOCALES!$B:$F,5,FALSE),"")</f>
        <v>RENTAS COQUIMBO SPA</v>
      </c>
      <c r="Q1000" s="5" t="s">
        <v>85</v>
      </c>
      <c r="R1000" s="5" t="s">
        <v>86</v>
      </c>
      <c r="S1000" s="6"/>
      <c r="T1000" s="5" t="str">
        <f>UPPER(IF(Tabla2[[#This Row],[FECHA DE MUESTREO ]]=0,"",TEXT(Tabla2[[#This Row],[FECHA DE MUESTREO ]],("MMMM"))))</f>
        <v/>
      </c>
      <c r="U1000" s="6"/>
      <c r="V1000" s="5" t="s">
        <v>118</v>
      </c>
      <c r="W10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0" s="7">
        <f t="shared" si="36"/>
        <v>1</v>
      </c>
      <c r="AI1000" s="5">
        <f t="shared" si="35"/>
        <v>0</v>
      </c>
    </row>
    <row r="1001" spans="1:35" x14ac:dyDescent="0.25">
      <c r="A1001" s="5" t="s">
        <v>52</v>
      </c>
      <c r="D1001" s="5">
        <v>2026</v>
      </c>
      <c r="F1001" s="10" t="s">
        <v>336</v>
      </c>
      <c r="I1001" s="5">
        <v>9139</v>
      </c>
      <c r="J1001" s="5" t="str">
        <f>IFERROR(VLOOKUP(I1001,[1]INFO_LOCALES!$B:$C,2,FALSE),"")</f>
        <v>CD LO AGUIRRE</v>
      </c>
      <c r="K1001" s="5" t="str">
        <f>IFERROR(VLOOKUP(Tabla2[[#This Row],[TIENDA]],[1]INFO_LOCALES!$B:$D,3,FALSE),"")</f>
        <v>RM - Santiago</v>
      </c>
      <c r="L1001" s="5" t="str">
        <f>IFERROR(VLOOKUP(I1001,[1]INFO_LOCALES!$B:$I,8,FALSE),"")</f>
        <v>Pudahuel</v>
      </c>
      <c r="M1001" s="5" t="str">
        <f>IFERROR(VLOOKUP(I1001,[1]INFO_LOCALES!$B:$H,7,FALSE),"")</f>
        <v>CAMINO LO AGUIRRE SUR 537</v>
      </c>
      <c r="N1001" s="5">
        <f>IFERROR(VLOOKUP(I1001,[1]INFO_LOCALES!$B:$E,4,FALSE),"")</f>
        <v>3552</v>
      </c>
      <c r="O1001" s="5" t="str">
        <f>VLOOKUP(Tabla2[[#This Row],[TIENDA]],[1]INFO_LOCALES!$B:$J,9,0)</f>
        <v>SIN CONVENIO</v>
      </c>
      <c r="P1001" s="5" t="str">
        <f>IFERROR(VLOOKUP(I1001,[1]INFO_LOCALES!$B:$F,5,FALSE),"")</f>
        <v>AGUAS IZARRA</v>
      </c>
      <c r="Q1001" s="5" t="s">
        <v>85</v>
      </c>
      <c r="R1001" s="5" t="s">
        <v>86</v>
      </c>
      <c r="S1001" s="6"/>
      <c r="T1001" s="5" t="str">
        <f>UPPER(IF(Tabla2[[#This Row],[FECHA DE MUESTREO ]]=0,"",TEXT(Tabla2[[#This Row],[FECHA DE MUESTREO ]],("MMMM"))))</f>
        <v/>
      </c>
      <c r="U1001" s="6"/>
      <c r="V1001" s="5" t="s">
        <v>59</v>
      </c>
      <c r="W10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1" s="7">
        <f t="shared" si="36"/>
        <v>1</v>
      </c>
      <c r="AI1001" s="5">
        <f t="shared" si="35"/>
        <v>0</v>
      </c>
    </row>
    <row r="1002" spans="1:35" x14ac:dyDescent="0.25">
      <c r="A1002" s="5" t="s">
        <v>52</v>
      </c>
      <c r="D1002" s="5">
        <v>2026</v>
      </c>
      <c r="E1002" s="5" t="s">
        <v>337</v>
      </c>
      <c r="F1002" s="10" t="s">
        <v>336</v>
      </c>
      <c r="I1002" s="5">
        <v>681</v>
      </c>
      <c r="J1002" s="5" t="str">
        <f>IFERROR(VLOOKUP(I1002,[1]INFO_LOCALES!$B:$C,2,FALSE),"")</f>
        <v>ROTONDA ARICA</v>
      </c>
      <c r="K1002" s="5" t="str">
        <f>IFERROR(VLOOKUP(Tabla2[[#This Row],[TIENDA]],[1]INFO_LOCALES!$B:$D,3,FALSE),"")</f>
        <v>XV - Arica y Parinacota</v>
      </c>
      <c r="L1002" s="5" t="str">
        <f>IFERROR(VLOOKUP(I1002,[1]INFO_LOCALES!$B:$I,8,FALSE),"")</f>
        <v>Arica</v>
      </c>
      <c r="M1002" s="5" t="str">
        <f>IFERROR(VLOOKUP(I1002,[1]INFO_LOCALES!$B:$H,7,FALSE),"")</f>
        <v>AVDA 18 SEPTIEMBRE 2501</v>
      </c>
      <c r="N1002" s="5">
        <f>IFERROR(VLOOKUP(I1002,[1]INFO_LOCALES!$B:$E,4,FALSE),"")</f>
        <v>0</v>
      </c>
      <c r="O1002" s="5" t="str">
        <f>VLOOKUP(Tabla2[[#This Row],[TIENDA]],[1]INFO_LOCALES!$B:$J,9,0)</f>
        <v>SIN CONVENIO</v>
      </c>
      <c r="P1002" s="5" t="str">
        <f>IFERROR(VLOOKUP(I1002,[1]INFO_LOCALES!$B:$F,5,FALSE),"")</f>
        <v>AGUAS DEL ALTIPLANO S.A.</v>
      </c>
      <c r="Q1002" s="5" t="s">
        <v>85</v>
      </c>
      <c r="R1002" s="5" t="s">
        <v>86</v>
      </c>
      <c r="S1002" s="6"/>
      <c r="T1002" s="5" t="str">
        <f>UPPER(IF(Tabla2[[#This Row],[FECHA DE MUESTREO ]]=0,"",TEXT(Tabla2[[#This Row],[FECHA DE MUESTREO ]],("MMMM"))))</f>
        <v/>
      </c>
      <c r="U1002" s="6"/>
      <c r="V1002" s="5" t="s">
        <v>59</v>
      </c>
      <c r="W10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2" s="7">
        <f t="shared" si="36"/>
        <v>1</v>
      </c>
      <c r="AI1002" s="5">
        <f t="shared" si="35"/>
        <v>0</v>
      </c>
    </row>
    <row r="1003" spans="1:35" x14ac:dyDescent="0.25">
      <c r="A1003" s="5" t="s">
        <v>52</v>
      </c>
      <c r="D1003" s="5">
        <v>2026</v>
      </c>
      <c r="E1003" s="5" t="s">
        <v>338</v>
      </c>
      <c r="F1003" s="5" t="s">
        <v>58</v>
      </c>
      <c r="G1003" s="26" t="s">
        <v>334</v>
      </c>
      <c r="H1003" s="26" t="s">
        <v>325</v>
      </c>
      <c r="I1003" s="5">
        <v>576</v>
      </c>
      <c r="J1003" s="5" t="str">
        <f>IFERROR(VLOOKUP(I1003,[1]INFO_LOCALES!$B:$C,2,FALSE),"")</f>
        <v>CASTRO I</v>
      </c>
      <c r="K1003" s="5" t="str">
        <f>IFERROR(VLOOKUP(Tabla2[[#This Row],[TIENDA]],[1]INFO_LOCALES!$B:$D,3,FALSE),"")</f>
        <v>X - Los Lagos</v>
      </c>
      <c r="L1003" s="5" t="str">
        <f>IFERROR(VLOOKUP(I1003,[1]INFO_LOCALES!$B:$I,8,FALSE),"")</f>
        <v>Castro</v>
      </c>
      <c r="M1003" s="5" t="str">
        <f>IFERROR(VLOOKUP(I1003,[1]INFO_LOCALES!$B:$H,7,FALSE),"")</f>
        <v>O'Higgins 711</v>
      </c>
      <c r="N1003" s="5">
        <f>IFERROR(VLOOKUP(I1003,[1]INFO_LOCALES!$B:$E,4,FALSE),"")</f>
        <v>3875</v>
      </c>
      <c r="O1003" s="5" t="str">
        <f>VLOOKUP(Tabla2[[#This Row],[TIENDA]],[1]INFO_LOCALES!$B:$J,9,0)</f>
        <v>SIN CONVENIO</v>
      </c>
      <c r="P1003" s="5" t="str">
        <f>IFERROR(VLOOKUP(I1003,[1]INFO_LOCALES!$B:$F,5,FALSE),"")</f>
        <v>SURALIS</v>
      </c>
      <c r="Q1003" s="5" t="s">
        <v>85</v>
      </c>
      <c r="R1003" s="5" t="s">
        <v>58</v>
      </c>
      <c r="S1003" s="6"/>
      <c r="T1003" s="5" t="str">
        <f>UPPER(IF(Tabla2[[#This Row],[FECHA DE MUESTREO ]]=0,"",TEXT(Tabla2[[#This Row],[FECHA DE MUESTREO ]],("MMMM"))))</f>
        <v>MAYO</v>
      </c>
      <c r="U1003" s="6">
        <v>46169</v>
      </c>
      <c r="V1003" s="5" t="s">
        <v>59</v>
      </c>
      <c r="W10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3" s="7">
        <f t="shared" si="36"/>
        <v>1</v>
      </c>
      <c r="Y1003" s="5">
        <v>12.7</v>
      </c>
      <c r="Z1003" s="5">
        <v>5.43</v>
      </c>
      <c r="AA1003" s="5">
        <v>3.7</v>
      </c>
      <c r="AB1003" s="5">
        <v>12.8</v>
      </c>
      <c r="AC1003" s="5">
        <v>271.3</v>
      </c>
      <c r="AD1003" s="5">
        <v>4.3</v>
      </c>
      <c r="AE1003" s="5">
        <v>27.1</v>
      </c>
      <c r="AF1003" s="5">
        <v>0.5</v>
      </c>
      <c r="AG1003" s="5">
        <v>46.7</v>
      </c>
      <c r="AH1003" s="5">
        <v>389</v>
      </c>
      <c r="AI1003" s="5">
        <f t="shared" si="35"/>
        <v>11670</v>
      </c>
    </row>
    <row r="1004" spans="1:35" x14ac:dyDescent="0.25">
      <c r="A1004" s="5" t="s">
        <v>52</v>
      </c>
      <c r="D1004" s="5">
        <v>2026</v>
      </c>
      <c r="F1004" s="5" t="s">
        <v>58</v>
      </c>
      <c r="G1004" s="5" t="s">
        <v>229</v>
      </c>
      <c r="H1004" s="5" t="s">
        <v>277</v>
      </c>
      <c r="I1004" s="5">
        <v>777</v>
      </c>
      <c r="J1004" s="5" t="str">
        <f>IFERROR(VLOOKUP(I1004,[1]INFO_LOCALES!$B:$C,2,FALSE),"")</f>
        <v>CENTRAL</v>
      </c>
      <c r="K1004" s="5" t="str">
        <f>IFERROR(VLOOKUP(Tabla2[[#This Row],[TIENDA]],[1]INFO_LOCALES!$B:$D,3,FALSE),"")</f>
        <v>X - Los Lagos</v>
      </c>
      <c r="L1004" s="5" t="str">
        <f>IFERROR(VLOOKUP(I1004,[1]INFO_LOCALES!$B:$I,8,FALSE),"")</f>
        <v>Osorno</v>
      </c>
      <c r="M1004" s="5" t="str">
        <f>IFERROR(VLOOKUP(I1004,[1]INFO_LOCALES!$B:$H,7,FALSE),"")</f>
        <v>Patricio Lynch 1278</v>
      </c>
      <c r="N1004" s="5">
        <f>IFERROR(VLOOKUP(I1004,[1]INFO_LOCALES!$B:$E,4,FALSE),"")</f>
        <v>3684</v>
      </c>
      <c r="O1004" s="5" t="str">
        <f>VLOOKUP(Tabla2[[#This Row],[TIENDA]],[1]INFO_LOCALES!$B:$J,9,0)</f>
        <v>CONVENIO</v>
      </c>
      <c r="P1004" s="5" t="str">
        <f>IFERROR(VLOOKUP(I1004,[1]INFO_LOCALES!$B:$F,5,FALSE),"")</f>
        <v>SURALIS</v>
      </c>
      <c r="Q1004" s="5" t="s">
        <v>85</v>
      </c>
      <c r="R1004" s="5" t="s">
        <v>58</v>
      </c>
      <c r="S1004" s="6"/>
      <c r="T1004" s="5" t="str">
        <f>UPPER(IF(Tabla2[[#This Row],[FECHA DE MUESTREO ]]=0,"",TEXT(Tabla2[[#This Row],[FECHA DE MUESTREO ]],("MMMM"))))</f>
        <v>MAYO</v>
      </c>
      <c r="U1004" s="6">
        <v>46154</v>
      </c>
      <c r="V1004" s="5" t="s">
        <v>59</v>
      </c>
      <c r="W10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4" s="7">
        <f t="shared" si="36"/>
        <v>1</v>
      </c>
      <c r="Y1004" s="5">
        <v>22</v>
      </c>
      <c r="Z1004" s="5">
        <v>7.1</v>
      </c>
      <c r="AA1004" s="5">
        <v>2</v>
      </c>
      <c r="AB1004" s="5">
        <v>11.9</v>
      </c>
      <c r="AC1004" s="5">
        <v>218</v>
      </c>
      <c r="AD1004" s="5">
        <v>4.9000000000000004</v>
      </c>
      <c r="AE1004" s="5">
        <v>4.1900000000000004</v>
      </c>
      <c r="AF1004" s="5">
        <v>0.8</v>
      </c>
      <c r="AG1004" s="5">
        <v>131</v>
      </c>
      <c r="AH1004" s="5">
        <v>4</v>
      </c>
      <c r="AI1004" s="5">
        <f t="shared" si="35"/>
        <v>120</v>
      </c>
    </row>
    <row r="1005" spans="1:35" x14ac:dyDescent="0.25">
      <c r="A1005" s="5" t="s">
        <v>52</v>
      </c>
      <c r="D1005" s="5">
        <v>2026</v>
      </c>
      <c r="F1005" s="5" t="s">
        <v>58</v>
      </c>
      <c r="G1005" s="5" t="s">
        <v>229</v>
      </c>
      <c r="H1005" s="5" t="s">
        <v>277</v>
      </c>
      <c r="I1005" s="5">
        <v>544</v>
      </c>
      <c r="J1005" s="5" t="str">
        <f>IFERROR(VLOOKUP(I1005,[1]INFO_LOCALES!$B:$C,2,FALSE),"")</f>
        <v>PURRANQUE</v>
      </c>
      <c r="K1005" s="5" t="str">
        <f>IFERROR(VLOOKUP(Tabla2[[#This Row],[TIENDA]],[1]INFO_LOCALES!$B:$D,3,FALSE),"")</f>
        <v>X - Los Lagos</v>
      </c>
      <c r="L1005" s="5" t="str">
        <f>IFERROR(VLOOKUP(I1005,[1]INFO_LOCALES!$B:$I,8,FALSE),"")</f>
        <v>Purranque</v>
      </c>
      <c r="M1005" s="5" t="str">
        <f>IFERROR(VLOOKUP(I1005,[1]INFO_LOCALES!$B:$H,7,FALSE),"")</f>
        <v>Eleuterio Ramirez 549</v>
      </c>
      <c r="N1005" s="5">
        <f>IFERROR(VLOOKUP(I1005,[1]INFO_LOCALES!$B:$E,4,FALSE),"")</f>
        <v>0</v>
      </c>
      <c r="O1005" s="5" t="str">
        <f>VLOOKUP(Tabla2[[#This Row],[TIENDA]],[1]INFO_LOCALES!$B:$J,9,0)</f>
        <v>SIN CONVENIO</v>
      </c>
      <c r="P1005" s="5" t="str">
        <f>IFERROR(VLOOKUP(I1005,[1]INFO_LOCALES!$B:$F,5,FALSE),"")</f>
        <v>SURALIS</v>
      </c>
      <c r="Q1005" s="5" t="s">
        <v>105</v>
      </c>
      <c r="R1005" s="5" t="s">
        <v>58</v>
      </c>
      <c r="S1005" s="6"/>
      <c r="T1005" s="5" t="str">
        <f>UPPER(IF(Tabla2[[#This Row],[FECHA DE MUESTREO ]]=0,"",TEXT(Tabla2[[#This Row],[FECHA DE MUESTREO ]],("MMMM"))))</f>
        <v>MAYO</v>
      </c>
      <c r="U1005" s="6">
        <v>46154</v>
      </c>
      <c r="V1005" s="5" t="s">
        <v>59</v>
      </c>
      <c r="W10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5" s="7">
        <f t="shared" si="36"/>
        <v>1</v>
      </c>
      <c r="Y1005" s="5">
        <v>22</v>
      </c>
      <c r="Z1005" s="5">
        <v>7.2</v>
      </c>
      <c r="AA1005" s="5">
        <v>2</v>
      </c>
      <c r="AB1005" s="5">
        <v>15.8</v>
      </c>
      <c r="AC1005" s="5">
        <v>146</v>
      </c>
      <c r="AD1005" s="5">
        <v>8.1</v>
      </c>
      <c r="AE1005" s="5">
        <v>45.4</v>
      </c>
      <c r="AF1005" s="5">
        <v>1</v>
      </c>
      <c r="AG1005" s="5">
        <v>103</v>
      </c>
      <c r="AH1005" s="5">
        <v>10</v>
      </c>
      <c r="AI1005" s="5">
        <f t="shared" si="35"/>
        <v>300</v>
      </c>
    </row>
    <row r="1006" spans="1:35" x14ac:dyDescent="0.25">
      <c r="A1006" s="5" t="s">
        <v>52</v>
      </c>
      <c r="D1006" s="5">
        <v>2026</v>
      </c>
      <c r="F1006" s="5" t="s">
        <v>58</v>
      </c>
      <c r="G1006" s="5" t="s">
        <v>229</v>
      </c>
      <c r="H1006" s="5" t="s">
        <v>277</v>
      </c>
      <c r="I1006" s="5">
        <v>778</v>
      </c>
      <c r="J1006" s="5" t="str">
        <f>IFERROR(VLOOKUP(I1006,[1]INFO_LOCALES!$B:$C,2,FALSE),"")</f>
        <v>ORIENTE</v>
      </c>
      <c r="K1006" s="5" t="str">
        <f>IFERROR(VLOOKUP(Tabla2[[#This Row],[TIENDA]],[1]INFO_LOCALES!$B:$D,3,FALSE),"")</f>
        <v>X - Los Lagos</v>
      </c>
      <c r="L1006" s="5" t="str">
        <f>IFERROR(VLOOKUP(I1006,[1]INFO_LOCALES!$B:$I,8,FALSE),"")</f>
        <v>Osorno</v>
      </c>
      <c r="M1006" s="5" t="str">
        <f>IFERROR(VLOOKUP(I1006,[1]INFO_LOCALES!$B:$H,7,FALSE),"")</f>
        <v>Julio Buschman 2223</v>
      </c>
      <c r="N1006" s="5">
        <f>IFERROR(VLOOKUP(I1006,[1]INFO_LOCALES!$B:$E,4,FALSE),"")</f>
        <v>2867</v>
      </c>
      <c r="O1006" s="5" t="str">
        <f>VLOOKUP(Tabla2[[#This Row],[TIENDA]],[1]INFO_LOCALES!$B:$J,9,0)</f>
        <v>CONVENIO</v>
      </c>
      <c r="P1006" s="5" t="str">
        <f>IFERROR(VLOOKUP(I1006,[1]INFO_LOCALES!$B:$F,5,FALSE),"")</f>
        <v>SURALIS</v>
      </c>
      <c r="Q1006" s="5" t="s">
        <v>105</v>
      </c>
      <c r="R1006" s="5" t="s">
        <v>58</v>
      </c>
      <c r="S1006" s="6"/>
      <c r="T1006" s="5" t="str">
        <f>UPPER(IF(Tabla2[[#This Row],[FECHA DE MUESTREO ]]=0,"",TEXT(Tabla2[[#This Row],[FECHA DE MUESTREO ]],("MMMM"))))</f>
        <v>MAYO</v>
      </c>
      <c r="U1006" s="6">
        <v>46147</v>
      </c>
      <c r="V1006" s="5" t="s">
        <v>59</v>
      </c>
      <c r="W10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6" s="7">
        <f t="shared" si="36"/>
        <v>1</v>
      </c>
      <c r="Y1006" s="5">
        <v>14</v>
      </c>
      <c r="Z1006" s="5">
        <v>7.3</v>
      </c>
      <c r="AA1006" s="5">
        <v>2</v>
      </c>
      <c r="AB1006" s="5">
        <v>13.4</v>
      </c>
      <c r="AC1006" s="5">
        <v>33</v>
      </c>
      <c r="AD1006" s="5">
        <v>1.9</v>
      </c>
      <c r="AE1006" s="5">
        <v>15.7</v>
      </c>
      <c r="AF1006" s="5">
        <v>0.5</v>
      </c>
      <c r="AG1006" s="5">
        <v>20</v>
      </c>
      <c r="AH1006" s="5">
        <v>14</v>
      </c>
      <c r="AI1006" s="5">
        <f t="shared" si="35"/>
        <v>420</v>
      </c>
    </row>
    <row r="1007" spans="1:35" x14ac:dyDescent="0.25">
      <c r="J1007" s="5" t="str">
        <f>IFERROR(VLOOKUP(I1007,[1]INFO_LOCALES!$B:$C,2,FALSE),"")</f>
        <v/>
      </c>
      <c r="K1007" s="5" t="str">
        <f>IFERROR(VLOOKUP(Tabla2[[#This Row],[TIENDA]],[1]INFO_LOCALES!$B:$D,3,FALSE),"")</f>
        <v/>
      </c>
      <c r="L1007" s="5" t="str">
        <f>IFERROR(VLOOKUP(I1007,[1]INFO_LOCALES!$B:$I,8,FALSE),"")</f>
        <v/>
      </c>
      <c r="M1007" s="5" t="str">
        <f>IFERROR(VLOOKUP(I1007,[1]INFO_LOCALES!$B:$H,7,FALSE),"")</f>
        <v/>
      </c>
      <c r="N1007" s="5" t="str">
        <f>IFERROR(VLOOKUP(I1007,[1]INFO_LOCALES!$B:$E,4,FALSE),"")</f>
        <v/>
      </c>
      <c r="O1007" s="5" t="e">
        <f>VLOOKUP(Tabla2[[#This Row],[TIENDA]],[1]INFO_LOCALES!$B:$J,9,0)</f>
        <v>#N/A</v>
      </c>
      <c r="P1007" s="5" t="str">
        <f>IFERROR(VLOOKUP(I1007,[1]INFO_LOCALES!$B:$F,5,FALSE),"")</f>
        <v/>
      </c>
      <c r="S1007" s="6"/>
      <c r="T1007" s="5" t="str">
        <f>UPPER(IF(Tabla2[[#This Row],[FECHA DE MUESTREO ]]=0,"",TEXT(Tabla2[[#This Row],[FECHA DE MUESTREO ]],("MMMM"))))</f>
        <v/>
      </c>
      <c r="U1007" s="6"/>
      <c r="W10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7" s="7">
        <f t="shared" si="36"/>
        <v>1</v>
      </c>
    </row>
    <row r="1008" spans="1:35" x14ac:dyDescent="0.25">
      <c r="J1008" s="5" t="str">
        <f>IFERROR(VLOOKUP(I1008,[1]INFO_LOCALES!$B:$C,2,FALSE),"")</f>
        <v/>
      </c>
      <c r="K1008" s="5" t="str">
        <f>IFERROR(VLOOKUP(Tabla2[[#This Row],[TIENDA]],[1]INFO_LOCALES!$B:$D,3,FALSE),"")</f>
        <v/>
      </c>
      <c r="L1008" s="5" t="str">
        <f>IFERROR(VLOOKUP(I1008,[1]INFO_LOCALES!$B:$I,8,FALSE),"")</f>
        <v/>
      </c>
      <c r="M1008" s="5" t="str">
        <f>IFERROR(VLOOKUP(I1008,[1]INFO_LOCALES!$B:$H,7,FALSE),"")</f>
        <v/>
      </c>
      <c r="N1008" s="5" t="str">
        <f>IFERROR(VLOOKUP(I1008,[1]INFO_LOCALES!$B:$E,4,FALSE),"")</f>
        <v/>
      </c>
      <c r="O1008" s="5" t="e">
        <f>VLOOKUP(Tabla2[[#This Row],[TIENDA]],[1]INFO_LOCALES!$B:$J,9,0)</f>
        <v>#N/A</v>
      </c>
      <c r="P1008" s="5" t="str">
        <f>IFERROR(VLOOKUP(I1008,[1]INFO_LOCALES!$B:$F,5,FALSE),"")</f>
        <v/>
      </c>
      <c r="S1008" s="6"/>
      <c r="T1008" s="5" t="str">
        <f>UPPER(IF(Tabla2[[#This Row],[FECHA DE MUESTREO ]]=0,"",TEXT(Tabla2[[#This Row],[FECHA DE MUESTREO ]],("MMMM"))))</f>
        <v/>
      </c>
      <c r="U1008" s="6"/>
      <c r="W10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8" s="7">
        <f t="shared" si="36"/>
        <v>1</v>
      </c>
    </row>
    <row r="1009" spans="10:24" x14ac:dyDescent="0.25">
      <c r="J1009" s="5" t="str">
        <f>IFERROR(VLOOKUP(I1009,[1]INFO_LOCALES!$B:$C,2,FALSE),"")</f>
        <v/>
      </c>
      <c r="K1009" s="5" t="str">
        <f>IFERROR(VLOOKUP(Tabla2[[#This Row],[TIENDA]],[1]INFO_LOCALES!$B:$D,3,FALSE),"")</f>
        <v/>
      </c>
      <c r="L1009" s="5" t="str">
        <f>IFERROR(VLOOKUP(I1009,[1]INFO_LOCALES!$B:$I,8,FALSE),"")</f>
        <v/>
      </c>
      <c r="M1009" s="5" t="str">
        <f>IFERROR(VLOOKUP(I1009,[1]INFO_LOCALES!$B:$H,7,FALSE),"")</f>
        <v/>
      </c>
      <c r="N1009" s="5" t="str">
        <f>IFERROR(VLOOKUP(I1009,[1]INFO_LOCALES!$B:$E,4,FALSE),"")</f>
        <v/>
      </c>
      <c r="O1009" s="5" t="e">
        <f>VLOOKUP(Tabla2[[#This Row],[TIENDA]],[1]INFO_LOCALES!$B:$J,9,0)</f>
        <v>#N/A</v>
      </c>
      <c r="P1009" s="5" t="str">
        <f>IFERROR(VLOOKUP(I1009,[1]INFO_LOCALES!$B:$F,5,FALSE),"")</f>
        <v/>
      </c>
      <c r="S1009" s="6"/>
      <c r="T1009" s="5" t="str">
        <f>UPPER(IF(Tabla2[[#This Row],[FECHA DE MUESTREO ]]=0,"",TEXT(Tabla2[[#This Row],[FECHA DE MUESTREO ]],("MMMM"))))</f>
        <v/>
      </c>
      <c r="U1009" s="6"/>
      <c r="W10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09" s="7">
        <f t="shared" si="36"/>
        <v>1</v>
      </c>
    </row>
    <row r="1010" spans="10:24" x14ac:dyDescent="0.25">
      <c r="J1010" s="5" t="str">
        <f>IFERROR(VLOOKUP(I1010,[1]INFO_LOCALES!$B:$C,2,FALSE),"")</f>
        <v/>
      </c>
      <c r="K1010" s="5" t="str">
        <f>IFERROR(VLOOKUP(Tabla2[[#This Row],[TIENDA]],[1]INFO_LOCALES!$B:$D,3,FALSE),"")</f>
        <v/>
      </c>
      <c r="L1010" s="5" t="str">
        <f>IFERROR(VLOOKUP(I1010,[1]INFO_LOCALES!$B:$I,8,FALSE),"")</f>
        <v/>
      </c>
      <c r="M1010" s="5" t="str">
        <f>IFERROR(VLOOKUP(I1010,[1]INFO_LOCALES!$B:$H,7,FALSE),"")</f>
        <v/>
      </c>
      <c r="N1010" s="5" t="str">
        <f>IFERROR(VLOOKUP(I1010,[1]INFO_LOCALES!$B:$E,4,FALSE),"")</f>
        <v/>
      </c>
      <c r="O1010" s="5" t="e">
        <f>VLOOKUP(Tabla2[[#This Row],[TIENDA]],[1]INFO_LOCALES!$B:$J,9,0)</f>
        <v>#N/A</v>
      </c>
      <c r="P1010" s="5" t="str">
        <f>IFERROR(VLOOKUP(I1010,[1]INFO_LOCALES!$B:$F,5,FALSE),"")</f>
        <v/>
      </c>
      <c r="S1010" s="6"/>
      <c r="T1010" s="5" t="str">
        <f>UPPER(IF(Tabla2[[#This Row],[FECHA DE MUESTREO ]]=0,"",TEXT(Tabla2[[#This Row],[FECHA DE MUESTREO ]],("MMMM"))))</f>
        <v/>
      </c>
      <c r="U1010" s="6"/>
      <c r="W10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0" s="7">
        <f t="shared" si="36"/>
        <v>1</v>
      </c>
    </row>
    <row r="1011" spans="10:24" x14ac:dyDescent="0.25">
      <c r="J1011" s="5" t="str">
        <f>IFERROR(VLOOKUP(I1011,[1]INFO_LOCALES!$B:$C,2,FALSE),"")</f>
        <v/>
      </c>
      <c r="K1011" s="5" t="str">
        <f>IFERROR(VLOOKUP(Tabla2[[#This Row],[TIENDA]],[1]INFO_LOCALES!$B:$D,3,FALSE),"")</f>
        <v/>
      </c>
      <c r="L1011" s="5" t="str">
        <f>IFERROR(VLOOKUP(I1011,[1]INFO_LOCALES!$B:$I,8,FALSE),"")</f>
        <v/>
      </c>
      <c r="M1011" s="5" t="str">
        <f>IFERROR(VLOOKUP(I1011,[1]INFO_LOCALES!$B:$H,7,FALSE),"")</f>
        <v/>
      </c>
      <c r="N1011" s="5" t="str">
        <f>IFERROR(VLOOKUP(I1011,[1]INFO_LOCALES!$B:$E,4,FALSE),"")</f>
        <v/>
      </c>
      <c r="O1011" s="5" t="e">
        <f>VLOOKUP(Tabla2[[#This Row],[TIENDA]],[1]INFO_LOCALES!$B:$J,9,0)</f>
        <v>#N/A</v>
      </c>
      <c r="P1011" s="5" t="str">
        <f>IFERROR(VLOOKUP(I1011,[1]INFO_LOCALES!$B:$F,5,FALSE),"")</f>
        <v/>
      </c>
      <c r="S1011" s="6"/>
      <c r="T1011" s="5" t="str">
        <f>UPPER(IF(Tabla2[[#This Row],[FECHA DE MUESTREO ]]=0,"",TEXT(Tabla2[[#This Row],[FECHA DE MUESTREO ]],("MMMM"))))</f>
        <v/>
      </c>
      <c r="U1011" s="6"/>
      <c r="W10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1" s="7">
        <f t="shared" si="36"/>
        <v>1</v>
      </c>
    </row>
    <row r="1012" spans="10:24" x14ac:dyDescent="0.25">
      <c r="J1012" s="5" t="str">
        <f>IFERROR(VLOOKUP(I1012,[1]INFO_LOCALES!$B:$C,2,FALSE),"")</f>
        <v/>
      </c>
      <c r="K1012" s="5" t="str">
        <f>IFERROR(VLOOKUP(Tabla2[[#This Row],[TIENDA]],[1]INFO_LOCALES!$B:$D,3,FALSE),"")</f>
        <v/>
      </c>
      <c r="L1012" s="5" t="str">
        <f>IFERROR(VLOOKUP(I1012,[1]INFO_LOCALES!$B:$I,8,FALSE),"")</f>
        <v/>
      </c>
      <c r="M1012" s="5" t="str">
        <f>IFERROR(VLOOKUP(I1012,[1]INFO_LOCALES!$B:$H,7,FALSE),"")</f>
        <v/>
      </c>
      <c r="N1012" s="5" t="str">
        <f>IFERROR(VLOOKUP(I1012,[1]INFO_LOCALES!$B:$E,4,FALSE),"")</f>
        <v/>
      </c>
      <c r="O1012" s="5" t="e">
        <f>VLOOKUP(Tabla2[[#This Row],[TIENDA]],[1]INFO_LOCALES!$B:$J,9,0)</f>
        <v>#N/A</v>
      </c>
      <c r="P1012" s="5" t="str">
        <f>IFERROR(VLOOKUP(I1012,[1]INFO_LOCALES!$B:$F,5,FALSE),"")</f>
        <v/>
      </c>
      <c r="S1012" s="6"/>
      <c r="T1012" s="5" t="str">
        <f>UPPER(IF(Tabla2[[#This Row],[FECHA DE MUESTREO ]]=0,"",TEXT(Tabla2[[#This Row],[FECHA DE MUESTREO ]],("MMMM"))))</f>
        <v/>
      </c>
      <c r="U1012" s="6"/>
      <c r="W10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2" s="7">
        <f t="shared" si="36"/>
        <v>1</v>
      </c>
    </row>
    <row r="1013" spans="10:24" x14ac:dyDescent="0.25">
      <c r="J1013" s="5" t="str">
        <f>IFERROR(VLOOKUP(I1013,[1]INFO_LOCALES!$B:$C,2,FALSE),"")</f>
        <v/>
      </c>
      <c r="K1013" s="5" t="str">
        <f>IFERROR(VLOOKUP(Tabla2[[#This Row],[TIENDA]],[1]INFO_LOCALES!$B:$D,3,FALSE),"")</f>
        <v/>
      </c>
      <c r="L1013" s="5" t="str">
        <f>IFERROR(VLOOKUP(I1013,[1]INFO_LOCALES!$B:$I,8,FALSE),"")</f>
        <v/>
      </c>
      <c r="M1013" s="5" t="str">
        <f>IFERROR(VLOOKUP(I1013,[1]INFO_LOCALES!$B:$H,7,FALSE),"")</f>
        <v/>
      </c>
      <c r="N1013" s="5" t="str">
        <f>IFERROR(VLOOKUP(I1013,[1]INFO_LOCALES!$B:$E,4,FALSE),"")</f>
        <v/>
      </c>
      <c r="O1013" s="5" t="e">
        <f>VLOOKUP(Tabla2[[#This Row],[TIENDA]],[1]INFO_LOCALES!$B:$J,9,0)</f>
        <v>#N/A</v>
      </c>
      <c r="P1013" s="5" t="str">
        <f>IFERROR(VLOOKUP(I1013,[1]INFO_LOCALES!$B:$F,5,FALSE),"")</f>
        <v/>
      </c>
      <c r="S1013" s="6"/>
      <c r="T1013" s="5" t="str">
        <f>UPPER(IF(Tabla2[[#This Row],[FECHA DE MUESTREO ]]=0,"",TEXT(Tabla2[[#This Row],[FECHA DE MUESTREO ]],("MMMM"))))</f>
        <v/>
      </c>
      <c r="U1013" s="6"/>
      <c r="W10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3" s="7">
        <f t="shared" si="36"/>
        <v>1</v>
      </c>
    </row>
    <row r="1014" spans="10:24" x14ac:dyDescent="0.25">
      <c r="J1014" s="5" t="str">
        <f>IFERROR(VLOOKUP(I1014,[1]INFO_LOCALES!$B:$C,2,FALSE),"")</f>
        <v/>
      </c>
      <c r="K1014" s="5" t="str">
        <f>IFERROR(VLOOKUP(Tabla2[[#This Row],[TIENDA]],[1]INFO_LOCALES!$B:$D,3,FALSE),"")</f>
        <v/>
      </c>
      <c r="L1014" s="5" t="str">
        <f>IFERROR(VLOOKUP(I1014,[1]INFO_LOCALES!$B:$I,8,FALSE),"")</f>
        <v/>
      </c>
      <c r="M1014" s="5" t="str">
        <f>IFERROR(VLOOKUP(I1014,[1]INFO_LOCALES!$B:$H,7,FALSE),"")</f>
        <v/>
      </c>
      <c r="N1014" s="5" t="str">
        <f>IFERROR(VLOOKUP(I1014,[1]INFO_LOCALES!$B:$E,4,FALSE),"")</f>
        <v/>
      </c>
      <c r="O1014" s="5" t="e">
        <f>VLOOKUP(Tabla2[[#This Row],[TIENDA]],[1]INFO_LOCALES!$B:$J,9,0)</f>
        <v>#N/A</v>
      </c>
      <c r="P1014" s="5" t="str">
        <f>IFERROR(VLOOKUP(I1014,[1]INFO_LOCALES!$B:$F,5,FALSE),"")</f>
        <v/>
      </c>
      <c r="S1014" s="6"/>
      <c r="T1014" s="5" t="str">
        <f>UPPER(IF(Tabla2[[#This Row],[FECHA DE MUESTREO ]]=0,"",TEXT(Tabla2[[#This Row],[FECHA DE MUESTREO ]],("MMMM"))))</f>
        <v/>
      </c>
      <c r="U1014" s="6"/>
      <c r="W10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4" s="7">
        <f t="shared" si="36"/>
        <v>1</v>
      </c>
    </row>
    <row r="1015" spans="10:24" x14ac:dyDescent="0.25">
      <c r="J1015" s="5" t="str">
        <f>IFERROR(VLOOKUP(I1015,[1]INFO_LOCALES!$B:$C,2,FALSE),"")</f>
        <v/>
      </c>
      <c r="K1015" s="5" t="str">
        <f>IFERROR(VLOOKUP(Tabla2[[#This Row],[TIENDA]],[1]INFO_LOCALES!$B:$D,3,FALSE),"")</f>
        <v/>
      </c>
      <c r="L1015" s="5" t="str">
        <f>IFERROR(VLOOKUP(I1015,[1]INFO_LOCALES!$B:$I,8,FALSE),"")</f>
        <v/>
      </c>
      <c r="M1015" s="5" t="str">
        <f>IFERROR(VLOOKUP(I1015,[1]INFO_LOCALES!$B:$H,7,FALSE),"")</f>
        <v/>
      </c>
      <c r="N1015" s="5" t="str">
        <f>IFERROR(VLOOKUP(I1015,[1]INFO_LOCALES!$B:$E,4,FALSE),"")</f>
        <v/>
      </c>
      <c r="O1015" s="5" t="e">
        <f>VLOOKUP(Tabla2[[#This Row],[TIENDA]],[1]INFO_LOCALES!$B:$J,9,0)</f>
        <v>#N/A</v>
      </c>
      <c r="P1015" s="5" t="str">
        <f>IFERROR(VLOOKUP(I1015,[1]INFO_LOCALES!$B:$F,5,FALSE),"")</f>
        <v/>
      </c>
      <c r="S1015" s="6"/>
      <c r="T1015" s="5" t="str">
        <f>UPPER(IF(Tabla2[[#This Row],[FECHA DE MUESTREO ]]=0,"",TEXT(Tabla2[[#This Row],[FECHA DE MUESTREO ]],("MMMM"))))</f>
        <v/>
      </c>
      <c r="U1015" s="6"/>
      <c r="W10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5" s="7">
        <f t="shared" si="36"/>
        <v>1</v>
      </c>
    </row>
    <row r="1016" spans="10:24" x14ac:dyDescent="0.25">
      <c r="J1016" s="5" t="str">
        <f>IFERROR(VLOOKUP(I1016,[1]INFO_LOCALES!$B:$C,2,FALSE),"")</f>
        <v/>
      </c>
      <c r="K1016" s="5" t="str">
        <f>IFERROR(VLOOKUP(Tabla2[[#This Row],[TIENDA]],[1]INFO_LOCALES!$B:$D,3,FALSE),"")</f>
        <v/>
      </c>
      <c r="L1016" s="5" t="str">
        <f>IFERROR(VLOOKUP(I1016,[1]INFO_LOCALES!$B:$I,8,FALSE),"")</f>
        <v/>
      </c>
      <c r="M1016" s="5" t="str">
        <f>IFERROR(VLOOKUP(I1016,[1]INFO_LOCALES!$B:$H,7,FALSE),"")</f>
        <v/>
      </c>
      <c r="N1016" s="5" t="str">
        <f>IFERROR(VLOOKUP(I1016,[1]INFO_LOCALES!$B:$E,4,FALSE),"")</f>
        <v/>
      </c>
      <c r="O1016" s="5" t="e">
        <f>VLOOKUP(Tabla2[[#This Row],[TIENDA]],[1]INFO_LOCALES!$B:$J,9,0)</f>
        <v>#N/A</v>
      </c>
      <c r="P1016" s="5" t="str">
        <f>IFERROR(VLOOKUP(I1016,[1]INFO_LOCALES!$B:$F,5,FALSE),"")</f>
        <v/>
      </c>
      <c r="S1016" s="6"/>
      <c r="T1016" s="5" t="str">
        <f>UPPER(IF(Tabla2[[#This Row],[FECHA DE MUESTREO ]]=0,"",TEXT(Tabla2[[#This Row],[FECHA DE MUESTREO ]],("MMMM"))))</f>
        <v/>
      </c>
      <c r="U1016" s="6"/>
      <c r="W10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6" s="7">
        <f t="shared" si="36"/>
        <v>1</v>
      </c>
    </row>
    <row r="1017" spans="10:24" x14ac:dyDescent="0.25">
      <c r="J1017" s="5" t="str">
        <f>IFERROR(VLOOKUP(I1017,[1]INFO_LOCALES!$B:$C,2,FALSE),"")</f>
        <v/>
      </c>
      <c r="K1017" s="5" t="str">
        <f>IFERROR(VLOOKUP(Tabla2[[#This Row],[TIENDA]],[1]INFO_LOCALES!$B:$D,3,FALSE),"")</f>
        <v/>
      </c>
      <c r="L1017" s="5" t="str">
        <f>IFERROR(VLOOKUP(I1017,[1]INFO_LOCALES!$B:$I,8,FALSE),"")</f>
        <v/>
      </c>
      <c r="M1017" s="5" t="str">
        <f>IFERROR(VLOOKUP(I1017,[1]INFO_LOCALES!$B:$H,7,FALSE),"")</f>
        <v/>
      </c>
      <c r="N1017" s="5" t="str">
        <f>IFERROR(VLOOKUP(I1017,[1]INFO_LOCALES!$B:$E,4,FALSE),"")</f>
        <v/>
      </c>
      <c r="O1017" s="5" t="e">
        <f>VLOOKUP(Tabla2[[#This Row],[TIENDA]],[1]INFO_LOCALES!$B:$J,9,0)</f>
        <v>#N/A</v>
      </c>
      <c r="P1017" s="5" t="str">
        <f>IFERROR(VLOOKUP(I1017,[1]INFO_LOCALES!$B:$F,5,FALSE),"")</f>
        <v/>
      </c>
      <c r="S1017" s="6"/>
      <c r="T1017" s="5" t="str">
        <f>UPPER(IF(Tabla2[[#This Row],[FECHA DE MUESTREO ]]=0,"",TEXT(Tabla2[[#This Row],[FECHA DE MUESTREO ]],("MMMM"))))</f>
        <v/>
      </c>
      <c r="U1017" s="6"/>
      <c r="W10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7" s="7">
        <f t="shared" si="36"/>
        <v>1</v>
      </c>
    </row>
    <row r="1018" spans="10:24" x14ac:dyDescent="0.25">
      <c r="J1018" s="5" t="str">
        <f>IFERROR(VLOOKUP(I1018,[1]INFO_LOCALES!$B:$C,2,FALSE),"")</f>
        <v/>
      </c>
      <c r="K1018" s="5" t="str">
        <f>IFERROR(VLOOKUP(Tabla2[[#This Row],[TIENDA]],[1]INFO_LOCALES!$B:$D,3,FALSE),"")</f>
        <v/>
      </c>
      <c r="L1018" s="5" t="str">
        <f>IFERROR(VLOOKUP(I1018,[1]INFO_LOCALES!$B:$I,8,FALSE),"")</f>
        <v/>
      </c>
      <c r="M1018" s="5" t="str">
        <f>IFERROR(VLOOKUP(I1018,[1]INFO_LOCALES!$B:$H,7,FALSE),"")</f>
        <v/>
      </c>
      <c r="N1018" s="5" t="str">
        <f>IFERROR(VLOOKUP(I1018,[1]INFO_LOCALES!$B:$E,4,FALSE),"")</f>
        <v/>
      </c>
      <c r="O1018" s="5" t="e">
        <f>VLOOKUP(Tabla2[[#This Row],[TIENDA]],[1]INFO_LOCALES!$B:$J,9,0)</f>
        <v>#N/A</v>
      </c>
      <c r="P1018" s="5" t="str">
        <f>IFERROR(VLOOKUP(I1018,[1]INFO_LOCALES!$B:$F,5,FALSE),"")</f>
        <v/>
      </c>
      <c r="S1018" s="6"/>
      <c r="T1018" s="5" t="str">
        <f>UPPER(IF(Tabla2[[#This Row],[FECHA DE MUESTREO ]]=0,"",TEXT(Tabla2[[#This Row],[FECHA DE MUESTREO ]],("MMMM"))))</f>
        <v/>
      </c>
      <c r="U1018" s="6"/>
      <c r="W10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8" s="7">
        <f t="shared" si="36"/>
        <v>1</v>
      </c>
    </row>
    <row r="1019" spans="10:24" x14ac:dyDescent="0.25">
      <c r="J1019" s="5" t="str">
        <f>IFERROR(VLOOKUP(I1019,[1]INFO_LOCALES!$B:$C,2,FALSE),"")</f>
        <v/>
      </c>
      <c r="K1019" s="5" t="str">
        <f>IFERROR(VLOOKUP(Tabla2[[#This Row],[TIENDA]],[1]INFO_LOCALES!$B:$D,3,FALSE),"")</f>
        <v/>
      </c>
      <c r="L1019" s="5" t="str">
        <f>IFERROR(VLOOKUP(I1019,[1]INFO_LOCALES!$B:$I,8,FALSE),"")</f>
        <v/>
      </c>
      <c r="M1019" s="5" t="str">
        <f>IFERROR(VLOOKUP(I1019,[1]INFO_LOCALES!$B:$H,7,FALSE),"")</f>
        <v/>
      </c>
      <c r="N1019" s="5" t="str">
        <f>IFERROR(VLOOKUP(I1019,[1]INFO_LOCALES!$B:$E,4,FALSE),"")</f>
        <v/>
      </c>
      <c r="O1019" s="5" t="e">
        <f>VLOOKUP(Tabla2[[#This Row],[TIENDA]],[1]INFO_LOCALES!$B:$J,9,0)</f>
        <v>#N/A</v>
      </c>
      <c r="P1019" s="5" t="str">
        <f>IFERROR(VLOOKUP(I1019,[1]INFO_LOCALES!$B:$F,5,FALSE),"")</f>
        <v/>
      </c>
      <c r="S1019" s="6"/>
      <c r="T1019" s="5" t="str">
        <f>UPPER(IF(Tabla2[[#This Row],[FECHA DE MUESTREO ]]=0,"",TEXT(Tabla2[[#This Row],[FECHA DE MUESTREO ]],("MMMM"))))</f>
        <v/>
      </c>
      <c r="U1019" s="6"/>
      <c r="W10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19" s="7">
        <f t="shared" si="36"/>
        <v>1</v>
      </c>
    </row>
    <row r="1020" spans="10:24" x14ac:dyDescent="0.25">
      <c r="J1020" s="5" t="str">
        <f>IFERROR(VLOOKUP(I1020,[1]INFO_LOCALES!$B:$C,2,FALSE),"")</f>
        <v/>
      </c>
      <c r="K1020" s="5" t="str">
        <f>IFERROR(VLOOKUP(Tabla2[[#This Row],[TIENDA]],[1]INFO_LOCALES!$B:$D,3,FALSE),"")</f>
        <v/>
      </c>
      <c r="L1020" s="5" t="str">
        <f>IFERROR(VLOOKUP(I1020,[1]INFO_LOCALES!$B:$I,8,FALSE),"")</f>
        <v/>
      </c>
      <c r="M1020" s="5" t="str">
        <f>IFERROR(VLOOKUP(I1020,[1]INFO_LOCALES!$B:$H,7,FALSE),"")</f>
        <v/>
      </c>
      <c r="N1020" s="5" t="str">
        <f>IFERROR(VLOOKUP(I1020,[1]INFO_LOCALES!$B:$E,4,FALSE),"")</f>
        <v/>
      </c>
      <c r="O1020" s="5" t="e">
        <f>VLOOKUP(Tabla2[[#This Row],[TIENDA]],[1]INFO_LOCALES!$B:$J,9,0)</f>
        <v>#N/A</v>
      </c>
      <c r="P1020" s="5" t="str">
        <f>IFERROR(VLOOKUP(I1020,[1]INFO_LOCALES!$B:$F,5,FALSE),"")</f>
        <v/>
      </c>
      <c r="S1020" s="6"/>
      <c r="T1020" s="5" t="str">
        <f>UPPER(IF(Tabla2[[#This Row],[FECHA DE MUESTREO ]]=0,"",TEXT(Tabla2[[#This Row],[FECHA DE MUESTREO ]],("MMMM"))))</f>
        <v/>
      </c>
      <c r="U1020" s="6"/>
      <c r="W10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0" s="7">
        <f t="shared" si="36"/>
        <v>1</v>
      </c>
    </row>
    <row r="1021" spans="10:24" x14ac:dyDescent="0.25">
      <c r="J1021" s="5" t="str">
        <f>IFERROR(VLOOKUP(I1021,[1]INFO_LOCALES!$B:$C,2,FALSE),"")</f>
        <v/>
      </c>
      <c r="K1021" s="5" t="str">
        <f>IFERROR(VLOOKUP(Tabla2[[#This Row],[TIENDA]],[1]INFO_LOCALES!$B:$D,3,FALSE),"")</f>
        <v/>
      </c>
      <c r="L1021" s="5" t="str">
        <f>IFERROR(VLOOKUP(I1021,[1]INFO_LOCALES!$B:$I,8,FALSE),"")</f>
        <v/>
      </c>
      <c r="M1021" s="5" t="str">
        <f>IFERROR(VLOOKUP(I1021,[1]INFO_LOCALES!$B:$H,7,FALSE),"")</f>
        <v/>
      </c>
      <c r="N1021" s="5" t="str">
        <f>IFERROR(VLOOKUP(I1021,[1]INFO_LOCALES!$B:$E,4,FALSE),"")</f>
        <v/>
      </c>
      <c r="O1021" s="5" t="e">
        <f>VLOOKUP(Tabla2[[#This Row],[TIENDA]],[1]INFO_LOCALES!$B:$J,9,0)</f>
        <v>#N/A</v>
      </c>
      <c r="P1021" s="5" t="str">
        <f>IFERROR(VLOOKUP(I1021,[1]INFO_LOCALES!$B:$F,5,FALSE),"")</f>
        <v/>
      </c>
      <c r="S1021" s="6"/>
      <c r="T1021" s="5" t="str">
        <f>UPPER(IF(Tabla2[[#This Row],[FECHA DE MUESTREO ]]=0,"",TEXT(Tabla2[[#This Row],[FECHA DE MUESTREO ]],("MMMM"))))</f>
        <v/>
      </c>
      <c r="U1021" s="6"/>
      <c r="W10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1" s="7">
        <f t="shared" si="36"/>
        <v>1</v>
      </c>
    </row>
    <row r="1022" spans="10:24" x14ac:dyDescent="0.25">
      <c r="J1022" s="5" t="str">
        <f>IFERROR(VLOOKUP(I1022,[1]INFO_LOCALES!$B:$C,2,FALSE),"")</f>
        <v/>
      </c>
      <c r="K1022" s="5" t="str">
        <f>IFERROR(VLOOKUP(Tabla2[[#This Row],[TIENDA]],[1]INFO_LOCALES!$B:$D,3,FALSE),"")</f>
        <v/>
      </c>
      <c r="L1022" s="5" t="str">
        <f>IFERROR(VLOOKUP(I1022,[1]INFO_LOCALES!$B:$I,8,FALSE),"")</f>
        <v/>
      </c>
      <c r="M1022" s="5" t="str">
        <f>IFERROR(VLOOKUP(I1022,[1]INFO_LOCALES!$B:$H,7,FALSE),"")</f>
        <v/>
      </c>
      <c r="N1022" s="5" t="str">
        <f>IFERROR(VLOOKUP(I1022,[1]INFO_LOCALES!$B:$E,4,FALSE),"")</f>
        <v/>
      </c>
      <c r="O1022" s="5" t="e">
        <f>VLOOKUP(Tabla2[[#This Row],[TIENDA]],[1]INFO_LOCALES!$B:$J,9,0)</f>
        <v>#N/A</v>
      </c>
      <c r="P1022" s="5" t="str">
        <f>IFERROR(VLOOKUP(I1022,[1]INFO_LOCALES!$B:$F,5,FALSE),"")</f>
        <v/>
      </c>
      <c r="S1022" s="6"/>
      <c r="T1022" s="5" t="str">
        <f>UPPER(IF(Tabla2[[#This Row],[FECHA DE MUESTREO ]]=0,"",TEXT(Tabla2[[#This Row],[FECHA DE MUESTREO ]],("MMMM"))))</f>
        <v/>
      </c>
      <c r="U1022" s="6"/>
      <c r="W10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2" s="7">
        <f t="shared" si="36"/>
        <v>1</v>
      </c>
    </row>
    <row r="1023" spans="10:24" x14ac:dyDescent="0.25">
      <c r="J1023" s="5" t="str">
        <f>IFERROR(VLOOKUP(I1023,[1]INFO_LOCALES!$B:$C,2,FALSE),"")</f>
        <v/>
      </c>
      <c r="K1023" s="5" t="str">
        <f>IFERROR(VLOOKUP(Tabla2[[#This Row],[TIENDA]],[1]INFO_LOCALES!$B:$D,3,FALSE),"")</f>
        <v/>
      </c>
      <c r="L1023" s="5" t="str">
        <f>IFERROR(VLOOKUP(I1023,[1]INFO_LOCALES!$B:$I,8,FALSE),"")</f>
        <v/>
      </c>
      <c r="M1023" s="5" t="str">
        <f>IFERROR(VLOOKUP(I1023,[1]INFO_LOCALES!$B:$H,7,FALSE),"")</f>
        <v/>
      </c>
      <c r="N1023" s="5" t="str">
        <f>IFERROR(VLOOKUP(I1023,[1]INFO_LOCALES!$B:$E,4,FALSE),"")</f>
        <v/>
      </c>
      <c r="O1023" s="5" t="e">
        <f>VLOOKUP(Tabla2[[#This Row],[TIENDA]],[1]INFO_LOCALES!$B:$J,9,0)</f>
        <v>#N/A</v>
      </c>
      <c r="P1023" s="5" t="str">
        <f>IFERROR(VLOOKUP(I1023,[1]INFO_LOCALES!$B:$F,5,FALSE),"")</f>
        <v/>
      </c>
      <c r="S1023" s="6"/>
      <c r="T1023" s="5" t="str">
        <f>UPPER(IF(Tabla2[[#This Row],[FECHA DE MUESTREO ]]=0,"",TEXT(Tabla2[[#This Row],[FECHA DE MUESTREO ]],("MMMM"))))</f>
        <v/>
      </c>
      <c r="U1023" s="6"/>
      <c r="W10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3" s="7">
        <f t="shared" si="36"/>
        <v>1</v>
      </c>
    </row>
    <row r="1024" spans="10:24" x14ac:dyDescent="0.25">
      <c r="J1024" s="5" t="str">
        <f>IFERROR(VLOOKUP(I1024,[1]INFO_LOCALES!$B:$C,2,FALSE),"")</f>
        <v/>
      </c>
      <c r="K1024" s="5" t="str">
        <f>IFERROR(VLOOKUP(Tabla2[[#This Row],[TIENDA]],[1]INFO_LOCALES!$B:$D,3,FALSE),"")</f>
        <v/>
      </c>
      <c r="L1024" s="5" t="str">
        <f>IFERROR(VLOOKUP(I1024,[1]INFO_LOCALES!$B:$I,8,FALSE),"")</f>
        <v/>
      </c>
      <c r="M1024" s="5" t="str">
        <f>IFERROR(VLOOKUP(I1024,[1]INFO_LOCALES!$B:$H,7,FALSE),"")</f>
        <v/>
      </c>
      <c r="N1024" s="5" t="str">
        <f>IFERROR(VLOOKUP(I1024,[1]INFO_LOCALES!$B:$E,4,FALSE),"")</f>
        <v/>
      </c>
      <c r="O1024" s="5" t="e">
        <f>VLOOKUP(Tabla2[[#This Row],[TIENDA]],[1]INFO_LOCALES!$B:$J,9,0)</f>
        <v>#N/A</v>
      </c>
      <c r="P1024" s="5" t="str">
        <f>IFERROR(VLOOKUP(I1024,[1]INFO_LOCALES!$B:$F,5,FALSE),"")</f>
        <v/>
      </c>
      <c r="S1024" s="6"/>
      <c r="T1024" s="5" t="str">
        <f>UPPER(IF(Tabla2[[#This Row],[FECHA DE MUESTREO ]]=0,"",TEXT(Tabla2[[#This Row],[FECHA DE MUESTREO ]],("MMMM"))))</f>
        <v/>
      </c>
      <c r="U1024" s="6"/>
      <c r="W10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4" s="7">
        <f t="shared" si="36"/>
        <v>1</v>
      </c>
    </row>
    <row r="1025" spans="10:24" x14ac:dyDescent="0.25">
      <c r="J1025" s="5" t="str">
        <f>IFERROR(VLOOKUP(I1025,[1]INFO_LOCALES!$B:$C,2,FALSE),"")</f>
        <v/>
      </c>
      <c r="K1025" s="5" t="str">
        <f>IFERROR(VLOOKUP(Tabla2[[#This Row],[TIENDA]],[1]INFO_LOCALES!$B:$D,3,FALSE),"")</f>
        <v/>
      </c>
      <c r="L1025" s="5" t="str">
        <f>IFERROR(VLOOKUP(I1025,[1]INFO_LOCALES!$B:$I,8,FALSE),"")</f>
        <v/>
      </c>
      <c r="M1025" s="5" t="str">
        <f>IFERROR(VLOOKUP(I1025,[1]INFO_LOCALES!$B:$H,7,FALSE),"")</f>
        <v/>
      </c>
      <c r="N1025" s="5" t="str">
        <f>IFERROR(VLOOKUP(I1025,[1]INFO_LOCALES!$B:$E,4,FALSE),"")</f>
        <v/>
      </c>
      <c r="O1025" s="5" t="e">
        <f>VLOOKUP(Tabla2[[#This Row],[TIENDA]],[1]INFO_LOCALES!$B:$J,9,0)</f>
        <v>#N/A</v>
      </c>
      <c r="P1025" s="5" t="str">
        <f>IFERROR(VLOOKUP(I1025,[1]INFO_LOCALES!$B:$F,5,FALSE),"")</f>
        <v/>
      </c>
      <c r="S1025" s="6"/>
      <c r="T1025" s="5" t="str">
        <f>UPPER(IF(Tabla2[[#This Row],[FECHA DE MUESTREO ]]=0,"",TEXT(Tabla2[[#This Row],[FECHA DE MUESTREO ]],("MMMM"))))</f>
        <v/>
      </c>
      <c r="U1025" s="6"/>
      <c r="W10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5" s="7">
        <f t="shared" si="36"/>
        <v>1</v>
      </c>
    </row>
    <row r="1026" spans="10:24" x14ac:dyDescent="0.25">
      <c r="J1026" s="5" t="str">
        <f>IFERROR(VLOOKUP(I1026,[1]INFO_LOCALES!$B:$C,2,FALSE),"")</f>
        <v/>
      </c>
      <c r="K1026" s="5" t="str">
        <f>IFERROR(VLOOKUP(Tabla2[[#This Row],[TIENDA]],[1]INFO_LOCALES!$B:$D,3,FALSE),"")</f>
        <v/>
      </c>
      <c r="L1026" s="5" t="str">
        <f>IFERROR(VLOOKUP(I1026,[1]INFO_LOCALES!$B:$I,8,FALSE),"")</f>
        <v/>
      </c>
      <c r="M1026" s="5" t="str">
        <f>IFERROR(VLOOKUP(I1026,[1]INFO_LOCALES!$B:$H,7,FALSE),"")</f>
        <v/>
      </c>
      <c r="N1026" s="5" t="str">
        <f>IFERROR(VLOOKUP(I1026,[1]INFO_LOCALES!$B:$E,4,FALSE),"")</f>
        <v/>
      </c>
      <c r="O1026" s="5" t="e">
        <f>VLOOKUP(Tabla2[[#This Row],[TIENDA]],[1]INFO_LOCALES!$B:$J,9,0)</f>
        <v>#N/A</v>
      </c>
      <c r="P1026" s="5" t="str">
        <f>IFERROR(VLOOKUP(I1026,[1]INFO_LOCALES!$B:$F,5,FALSE),"")</f>
        <v/>
      </c>
      <c r="S1026" s="6"/>
      <c r="T1026" s="5" t="str">
        <f>UPPER(IF(Tabla2[[#This Row],[FECHA DE MUESTREO ]]=0,"",TEXT(Tabla2[[#This Row],[FECHA DE MUESTREO ]],("MMMM"))))</f>
        <v/>
      </c>
      <c r="U1026" s="6"/>
      <c r="W10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6" s="7">
        <f t="shared" si="36"/>
        <v>1</v>
      </c>
    </row>
    <row r="1027" spans="10:24" x14ac:dyDescent="0.25">
      <c r="J1027" s="5" t="str">
        <f>IFERROR(VLOOKUP(I1027,[1]INFO_LOCALES!$B:$C,2,FALSE),"")</f>
        <v/>
      </c>
      <c r="K1027" s="5" t="str">
        <f>IFERROR(VLOOKUP(Tabla2[[#This Row],[TIENDA]],[1]INFO_LOCALES!$B:$D,3,FALSE),"")</f>
        <v/>
      </c>
      <c r="L1027" s="5" t="str">
        <f>IFERROR(VLOOKUP(I1027,[1]INFO_LOCALES!$B:$I,8,FALSE),"")</f>
        <v/>
      </c>
      <c r="M1027" s="5" t="str">
        <f>IFERROR(VLOOKUP(I1027,[1]INFO_LOCALES!$B:$H,7,FALSE),"")</f>
        <v/>
      </c>
      <c r="N1027" s="5" t="str">
        <f>IFERROR(VLOOKUP(I1027,[1]INFO_LOCALES!$B:$E,4,FALSE),"")</f>
        <v/>
      </c>
      <c r="O1027" s="5" t="e">
        <f>VLOOKUP(Tabla2[[#This Row],[TIENDA]],[1]INFO_LOCALES!$B:$J,9,0)</f>
        <v>#N/A</v>
      </c>
      <c r="P1027" s="5" t="str">
        <f>IFERROR(VLOOKUP(I1027,[1]INFO_LOCALES!$B:$F,5,FALSE),"")</f>
        <v/>
      </c>
      <c r="S1027" s="6"/>
      <c r="T1027" s="5" t="str">
        <f>UPPER(IF(Tabla2[[#This Row],[FECHA DE MUESTREO ]]=0,"",TEXT(Tabla2[[#This Row],[FECHA DE MUESTREO ]],("MMMM"))))</f>
        <v/>
      </c>
      <c r="U1027" s="6"/>
      <c r="W10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7" s="7">
        <f t="shared" si="36"/>
        <v>1</v>
      </c>
    </row>
    <row r="1028" spans="10:24" x14ac:dyDescent="0.25">
      <c r="J1028" s="5" t="str">
        <f>IFERROR(VLOOKUP(I1028,[1]INFO_LOCALES!$B:$C,2,FALSE),"")</f>
        <v/>
      </c>
      <c r="K1028" s="5" t="str">
        <f>IFERROR(VLOOKUP(Tabla2[[#This Row],[TIENDA]],[1]INFO_LOCALES!$B:$D,3,FALSE),"")</f>
        <v/>
      </c>
      <c r="L1028" s="5" t="str">
        <f>IFERROR(VLOOKUP(I1028,[1]INFO_LOCALES!$B:$I,8,FALSE),"")</f>
        <v/>
      </c>
      <c r="M1028" s="5" t="str">
        <f>IFERROR(VLOOKUP(I1028,[1]INFO_LOCALES!$B:$H,7,FALSE),"")</f>
        <v/>
      </c>
      <c r="N1028" s="5" t="str">
        <f>IFERROR(VLOOKUP(I1028,[1]INFO_LOCALES!$B:$E,4,FALSE),"")</f>
        <v/>
      </c>
      <c r="O1028" s="5" t="e">
        <f>VLOOKUP(Tabla2[[#This Row],[TIENDA]],[1]INFO_LOCALES!$B:$J,9,0)</f>
        <v>#N/A</v>
      </c>
      <c r="P1028" s="5" t="str">
        <f>IFERROR(VLOOKUP(I1028,[1]INFO_LOCALES!$B:$F,5,FALSE),"")</f>
        <v/>
      </c>
      <c r="S1028" s="6"/>
      <c r="T1028" s="5" t="str">
        <f>UPPER(IF(Tabla2[[#This Row],[FECHA DE MUESTREO ]]=0,"",TEXT(Tabla2[[#This Row],[FECHA DE MUESTREO ]],("MMMM"))))</f>
        <v/>
      </c>
      <c r="U1028" s="6"/>
      <c r="W10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8" s="7">
        <f t="shared" si="36"/>
        <v>1</v>
      </c>
    </row>
    <row r="1029" spans="10:24" x14ac:dyDescent="0.25">
      <c r="J1029" s="5" t="str">
        <f>IFERROR(VLOOKUP(I1029,[1]INFO_LOCALES!$B:$C,2,FALSE),"")</f>
        <v/>
      </c>
      <c r="K1029" s="5" t="str">
        <f>IFERROR(VLOOKUP(Tabla2[[#This Row],[TIENDA]],[1]INFO_LOCALES!$B:$D,3,FALSE),"")</f>
        <v/>
      </c>
      <c r="L1029" s="5" t="str">
        <f>IFERROR(VLOOKUP(I1029,[1]INFO_LOCALES!$B:$I,8,FALSE),"")</f>
        <v/>
      </c>
      <c r="M1029" s="5" t="str">
        <f>IFERROR(VLOOKUP(I1029,[1]INFO_LOCALES!$B:$H,7,FALSE),"")</f>
        <v/>
      </c>
      <c r="N1029" s="5" t="str">
        <f>IFERROR(VLOOKUP(I1029,[1]INFO_LOCALES!$B:$E,4,FALSE),"")</f>
        <v/>
      </c>
      <c r="O1029" s="5" t="e">
        <f>VLOOKUP(Tabla2[[#This Row],[TIENDA]],[1]INFO_LOCALES!$B:$J,9,0)</f>
        <v>#N/A</v>
      </c>
      <c r="P1029" s="5" t="str">
        <f>IFERROR(VLOOKUP(I1029,[1]INFO_LOCALES!$B:$F,5,FALSE),"")</f>
        <v/>
      </c>
      <c r="S1029" s="6"/>
      <c r="T1029" s="5" t="str">
        <f>UPPER(IF(Tabla2[[#This Row],[FECHA DE MUESTREO ]]=0,"",TEXT(Tabla2[[#This Row],[FECHA DE MUESTREO ]],("MMMM"))))</f>
        <v/>
      </c>
      <c r="U1029" s="6"/>
      <c r="W10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29" s="7">
        <f t="shared" si="36"/>
        <v>1</v>
      </c>
    </row>
    <row r="1030" spans="10:24" x14ac:dyDescent="0.25">
      <c r="J1030" s="5" t="str">
        <f>IFERROR(VLOOKUP(I1030,[1]INFO_LOCALES!$B:$C,2,FALSE),"")</f>
        <v/>
      </c>
      <c r="K1030" s="5" t="str">
        <f>IFERROR(VLOOKUP(Tabla2[[#This Row],[TIENDA]],[1]INFO_LOCALES!$B:$D,3,FALSE),"")</f>
        <v/>
      </c>
      <c r="L1030" s="5" t="str">
        <f>IFERROR(VLOOKUP(I1030,[1]INFO_LOCALES!$B:$I,8,FALSE),"")</f>
        <v/>
      </c>
      <c r="M1030" s="5" t="str">
        <f>IFERROR(VLOOKUP(I1030,[1]INFO_LOCALES!$B:$H,7,FALSE),"")</f>
        <v/>
      </c>
      <c r="N1030" s="5" t="str">
        <f>IFERROR(VLOOKUP(I1030,[1]INFO_LOCALES!$B:$E,4,FALSE),"")</f>
        <v/>
      </c>
      <c r="O1030" s="5" t="e">
        <f>VLOOKUP(Tabla2[[#This Row],[TIENDA]],[1]INFO_LOCALES!$B:$J,9,0)</f>
        <v>#N/A</v>
      </c>
      <c r="P1030" s="5" t="str">
        <f>IFERROR(VLOOKUP(I1030,[1]INFO_LOCALES!$B:$F,5,FALSE),"")</f>
        <v/>
      </c>
      <c r="S1030" s="6"/>
      <c r="T1030" s="5" t="str">
        <f>UPPER(IF(Tabla2[[#This Row],[FECHA DE MUESTREO ]]=0,"",TEXT(Tabla2[[#This Row],[FECHA DE MUESTREO ]],("MMMM"))))</f>
        <v/>
      </c>
      <c r="U1030" s="6"/>
      <c r="W10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0" s="7">
        <f t="shared" si="36"/>
        <v>1</v>
      </c>
    </row>
    <row r="1031" spans="10:24" x14ac:dyDescent="0.25">
      <c r="J1031" s="5" t="str">
        <f>IFERROR(VLOOKUP(I1031,[1]INFO_LOCALES!$B:$C,2,FALSE),"")</f>
        <v/>
      </c>
      <c r="K1031" s="5" t="str">
        <f>IFERROR(VLOOKUP(Tabla2[[#This Row],[TIENDA]],[1]INFO_LOCALES!$B:$D,3,FALSE),"")</f>
        <v/>
      </c>
      <c r="L1031" s="5" t="str">
        <f>IFERROR(VLOOKUP(I1031,[1]INFO_LOCALES!$B:$I,8,FALSE),"")</f>
        <v/>
      </c>
      <c r="M1031" s="5" t="str">
        <f>IFERROR(VLOOKUP(I1031,[1]INFO_LOCALES!$B:$H,7,FALSE),"")</f>
        <v/>
      </c>
      <c r="N1031" s="5" t="str">
        <f>IFERROR(VLOOKUP(I1031,[1]INFO_LOCALES!$B:$E,4,FALSE),"")</f>
        <v/>
      </c>
      <c r="O1031" s="5" t="e">
        <f>VLOOKUP(Tabla2[[#This Row],[TIENDA]],[1]INFO_LOCALES!$B:$J,9,0)</f>
        <v>#N/A</v>
      </c>
      <c r="P1031" s="5" t="str">
        <f>IFERROR(VLOOKUP(I1031,[1]INFO_LOCALES!$B:$F,5,FALSE),"")</f>
        <v/>
      </c>
      <c r="S1031" s="6"/>
      <c r="T1031" s="5" t="str">
        <f>UPPER(IF(Tabla2[[#This Row],[FECHA DE MUESTREO ]]=0,"",TEXT(Tabla2[[#This Row],[FECHA DE MUESTREO ]],("MMMM"))))</f>
        <v/>
      </c>
      <c r="U1031" s="6"/>
      <c r="W10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1" s="7">
        <f t="shared" si="36"/>
        <v>1</v>
      </c>
    </row>
    <row r="1032" spans="10:24" x14ac:dyDescent="0.25">
      <c r="J1032" s="5" t="str">
        <f>IFERROR(VLOOKUP(I1032,[1]INFO_LOCALES!$B:$C,2,FALSE),"")</f>
        <v/>
      </c>
      <c r="K1032" s="5" t="str">
        <f>IFERROR(VLOOKUP(Tabla2[[#This Row],[TIENDA]],[1]INFO_LOCALES!$B:$D,3,FALSE),"")</f>
        <v/>
      </c>
      <c r="L1032" s="5" t="str">
        <f>IFERROR(VLOOKUP(I1032,[1]INFO_LOCALES!$B:$I,8,FALSE),"")</f>
        <v/>
      </c>
      <c r="M1032" s="5" t="str">
        <f>IFERROR(VLOOKUP(I1032,[1]INFO_LOCALES!$B:$H,7,FALSE),"")</f>
        <v/>
      </c>
      <c r="N1032" s="5" t="str">
        <f>IFERROR(VLOOKUP(I1032,[1]INFO_LOCALES!$B:$E,4,FALSE),"")</f>
        <v/>
      </c>
      <c r="O1032" s="5" t="e">
        <f>VLOOKUP(Tabla2[[#This Row],[TIENDA]],[1]INFO_LOCALES!$B:$J,9,0)</f>
        <v>#N/A</v>
      </c>
      <c r="P1032" s="5" t="str">
        <f>IFERROR(VLOOKUP(I1032,[1]INFO_LOCALES!$B:$F,5,FALSE),"")</f>
        <v/>
      </c>
      <c r="S1032" s="6"/>
      <c r="T1032" s="5" t="str">
        <f>UPPER(IF(Tabla2[[#This Row],[FECHA DE MUESTREO ]]=0,"",TEXT(Tabla2[[#This Row],[FECHA DE MUESTREO ]],("MMMM"))))</f>
        <v/>
      </c>
      <c r="U1032" s="6"/>
      <c r="W10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2" s="7">
        <f t="shared" si="36"/>
        <v>1</v>
      </c>
    </row>
    <row r="1033" spans="10:24" x14ac:dyDescent="0.25">
      <c r="J1033" s="5" t="str">
        <f>IFERROR(VLOOKUP(I1033,[1]INFO_LOCALES!$B:$C,2,FALSE),"")</f>
        <v/>
      </c>
      <c r="K1033" s="5" t="str">
        <f>IFERROR(VLOOKUP(Tabla2[[#This Row],[TIENDA]],[1]INFO_LOCALES!$B:$D,3,FALSE),"")</f>
        <v/>
      </c>
      <c r="L1033" s="5" t="str">
        <f>IFERROR(VLOOKUP(I1033,[1]INFO_LOCALES!$B:$I,8,FALSE),"")</f>
        <v/>
      </c>
      <c r="M1033" s="5" t="str">
        <f>IFERROR(VLOOKUP(I1033,[1]INFO_LOCALES!$B:$H,7,FALSE),"")</f>
        <v/>
      </c>
      <c r="N1033" s="5" t="str">
        <f>IFERROR(VLOOKUP(I1033,[1]INFO_LOCALES!$B:$E,4,FALSE),"")</f>
        <v/>
      </c>
      <c r="O1033" s="5" t="e">
        <f>VLOOKUP(Tabla2[[#This Row],[TIENDA]],[1]INFO_LOCALES!$B:$J,9,0)</f>
        <v>#N/A</v>
      </c>
      <c r="P1033" s="5" t="str">
        <f>IFERROR(VLOOKUP(I1033,[1]INFO_LOCALES!$B:$F,5,FALSE),"")</f>
        <v/>
      </c>
      <c r="S1033" s="6"/>
      <c r="T1033" s="5" t="str">
        <f>UPPER(IF(Tabla2[[#This Row],[FECHA DE MUESTREO ]]=0,"",TEXT(Tabla2[[#This Row],[FECHA DE MUESTREO ]],("MMMM"))))</f>
        <v/>
      </c>
      <c r="U1033" s="6"/>
      <c r="W10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3" s="7">
        <f t="shared" si="36"/>
        <v>1</v>
      </c>
    </row>
    <row r="1034" spans="10:24" x14ac:dyDescent="0.25">
      <c r="J1034" s="5" t="str">
        <f>IFERROR(VLOOKUP(I1034,[1]INFO_LOCALES!$B:$C,2,FALSE),"")</f>
        <v/>
      </c>
      <c r="K1034" s="5" t="str">
        <f>IFERROR(VLOOKUP(Tabla2[[#This Row],[TIENDA]],[1]INFO_LOCALES!$B:$D,3,FALSE),"")</f>
        <v/>
      </c>
      <c r="L1034" s="5" t="str">
        <f>IFERROR(VLOOKUP(I1034,[1]INFO_LOCALES!$B:$I,8,FALSE),"")</f>
        <v/>
      </c>
      <c r="M1034" s="5" t="str">
        <f>IFERROR(VLOOKUP(I1034,[1]INFO_LOCALES!$B:$H,7,FALSE),"")</f>
        <v/>
      </c>
      <c r="N1034" s="5" t="str">
        <f>IFERROR(VLOOKUP(I1034,[1]INFO_LOCALES!$B:$E,4,FALSE),"")</f>
        <v/>
      </c>
      <c r="O1034" s="5" t="e">
        <f>VLOOKUP(Tabla2[[#This Row],[TIENDA]],[1]INFO_LOCALES!$B:$J,9,0)</f>
        <v>#N/A</v>
      </c>
      <c r="P1034" s="5" t="str">
        <f>IFERROR(VLOOKUP(I1034,[1]INFO_LOCALES!$B:$F,5,FALSE),"")</f>
        <v/>
      </c>
      <c r="S1034" s="6"/>
      <c r="T1034" s="5" t="str">
        <f>UPPER(IF(Tabla2[[#This Row],[FECHA DE MUESTREO ]]=0,"",TEXT(Tabla2[[#This Row],[FECHA DE MUESTREO ]],("MMMM"))))</f>
        <v/>
      </c>
      <c r="U1034" s="6"/>
      <c r="W10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4" s="7">
        <f t="shared" si="36"/>
        <v>1</v>
      </c>
    </row>
    <row r="1035" spans="10:24" x14ac:dyDescent="0.25">
      <c r="J1035" s="5" t="str">
        <f>IFERROR(VLOOKUP(I1035,[1]INFO_LOCALES!$B:$C,2,FALSE),"")</f>
        <v/>
      </c>
      <c r="K1035" s="5" t="str">
        <f>IFERROR(VLOOKUP(Tabla2[[#This Row],[TIENDA]],[1]INFO_LOCALES!$B:$D,3,FALSE),"")</f>
        <v/>
      </c>
      <c r="L1035" s="5" t="str">
        <f>IFERROR(VLOOKUP(I1035,[1]INFO_LOCALES!$B:$I,8,FALSE),"")</f>
        <v/>
      </c>
      <c r="M1035" s="5" t="str">
        <f>IFERROR(VLOOKUP(I1035,[1]INFO_LOCALES!$B:$H,7,FALSE),"")</f>
        <v/>
      </c>
      <c r="N1035" s="5" t="str">
        <f>IFERROR(VLOOKUP(I1035,[1]INFO_LOCALES!$B:$E,4,FALSE),"")</f>
        <v/>
      </c>
      <c r="O1035" s="5" t="e">
        <f>VLOOKUP(Tabla2[[#This Row],[TIENDA]],[1]INFO_LOCALES!$B:$J,9,0)</f>
        <v>#N/A</v>
      </c>
      <c r="P1035" s="5" t="str">
        <f>IFERROR(VLOOKUP(I1035,[1]INFO_LOCALES!$B:$F,5,FALSE),"")</f>
        <v/>
      </c>
      <c r="S1035" s="6"/>
      <c r="T1035" s="5" t="str">
        <f>UPPER(IF(Tabla2[[#This Row],[FECHA DE MUESTREO ]]=0,"",TEXT(Tabla2[[#This Row],[FECHA DE MUESTREO ]],("MMMM"))))</f>
        <v/>
      </c>
      <c r="U1035" s="6"/>
      <c r="W10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5" s="7">
        <f t="shared" si="36"/>
        <v>1</v>
      </c>
    </row>
    <row r="1036" spans="10:24" x14ac:dyDescent="0.25">
      <c r="J1036" s="5" t="str">
        <f>IFERROR(VLOOKUP(I1036,[1]INFO_LOCALES!$B:$C,2,FALSE),"")</f>
        <v/>
      </c>
      <c r="K1036" s="5" t="str">
        <f>IFERROR(VLOOKUP(Tabla2[[#This Row],[TIENDA]],[1]INFO_LOCALES!$B:$D,3,FALSE),"")</f>
        <v/>
      </c>
      <c r="L1036" s="5" t="str">
        <f>IFERROR(VLOOKUP(I1036,[1]INFO_LOCALES!$B:$I,8,FALSE),"")</f>
        <v/>
      </c>
      <c r="M1036" s="5" t="str">
        <f>IFERROR(VLOOKUP(I1036,[1]INFO_LOCALES!$B:$H,7,FALSE),"")</f>
        <v/>
      </c>
      <c r="N1036" s="5" t="str">
        <f>IFERROR(VLOOKUP(I1036,[1]INFO_LOCALES!$B:$E,4,FALSE),"")</f>
        <v/>
      </c>
      <c r="O1036" s="5" t="e">
        <f>VLOOKUP(Tabla2[[#This Row],[TIENDA]],[1]INFO_LOCALES!$B:$J,9,0)</f>
        <v>#N/A</v>
      </c>
      <c r="P1036" s="5" t="str">
        <f>IFERROR(VLOOKUP(I1036,[1]INFO_LOCALES!$B:$F,5,FALSE),"")</f>
        <v/>
      </c>
      <c r="S1036" s="6"/>
      <c r="T1036" s="5" t="str">
        <f>UPPER(IF(Tabla2[[#This Row],[FECHA DE MUESTREO ]]=0,"",TEXT(Tabla2[[#This Row],[FECHA DE MUESTREO ]],("MMMM"))))</f>
        <v/>
      </c>
      <c r="U1036" s="6"/>
      <c r="W10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6" s="7">
        <f t="shared" si="36"/>
        <v>1</v>
      </c>
    </row>
    <row r="1037" spans="10:24" x14ac:dyDescent="0.25">
      <c r="J1037" s="5" t="str">
        <f>IFERROR(VLOOKUP(I1037,[1]INFO_LOCALES!$B:$C,2,FALSE),"")</f>
        <v/>
      </c>
      <c r="K1037" s="5" t="str">
        <f>IFERROR(VLOOKUP(Tabla2[[#This Row],[TIENDA]],[1]INFO_LOCALES!$B:$D,3,FALSE),"")</f>
        <v/>
      </c>
      <c r="L1037" s="5" t="str">
        <f>IFERROR(VLOOKUP(I1037,[1]INFO_LOCALES!$B:$I,8,FALSE),"")</f>
        <v/>
      </c>
      <c r="M1037" s="5" t="str">
        <f>IFERROR(VLOOKUP(I1037,[1]INFO_LOCALES!$B:$H,7,FALSE),"")</f>
        <v/>
      </c>
      <c r="N1037" s="5" t="str">
        <f>IFERROR(VLOOKUP(I1037,[1]INFO_LOCALES!$B:$E,4,FALSE),"")</f>
        <v/>
      </c>
      <c r="O1037" s="5" t="e">
        <f>VLOOKUP(Tabla2[[#This Row],[TIENDA]],[1]INFO_LOCALES!$B:$J,9,0)</f>
        <v>#N/A</v>
      </c>
      <c r="P1037" s="5" t="str">
        <f>IFERROR(VLOOKUP(I1037,[1]INFO_LOCALES!$B:$F,5,FALSE),"")</f>
        <v/>
      </c>
      <c r="S1037" s="6"/>
      <c r="T1037" s="5" t="str">
        <f>UPPER(IF(Tabla2[[#This Row],[FECHA DE MUESTREO ]]=0,"",TEXT(Tabla2[[#This Row],[FECHA DE MUESTREO ]],("MMMM"))))</f>
        <v/>
      </c>
      <c r="U1037" s="6"/>
      <c r="W10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7" s="7">
        <f t="shared" si="36"/>
        <v>1</v>
      </c>
    </row>
    <row r="1038" spans="10:24" x14ac:dyDescent="0.25">
      <c r="J1038" s="5" t="str">
        <f>IFERROR(VLOOKUP(I1038,[1]INFO_LOCALES!$B:$C,2,FALSE),"")</f>
        <v/>
      </c>
      <c r="K1038" s="5" t="str">
        <f>IFERROR(VLOOKUP(Tabla2[[#This Row],[TIENDA]],[1]INFO_LOCALES!$B:$D,3,FALSE),"")</f>
        <v/>
      </c>
      <c r="L1038" s="5" t="str">
        <f>IFERROR(VLOOKUP(I1038,[1]INFO_LOCALES!$B:$I,8,FALSE),"")</f>
        <v/>
      </c>
      <c r="M1038" s="5" t="str">
        <f>IFERROR(VLOOKUP(I1038,[1]INFO_LOCALES!$B:$H,7,FALSE),"")</f>
        <v/>
      </c>
      <c r="N1038" s="5" t="str">
        <f>IFERROR(VLOOKUP(I1038,[1]INFO_LOCALES!$B:$E,4,FALSE),"")</f>
        <v/>
      </c>
      <c r="O1038" s="5" t="e">
        <f>VLOOKUP(Tabla2[[#This Row],[TIENDA]],[1]INFO_LOCALES!$B:$J,9,0)</f>
        <v>#N/A</v>
      </c>
      <c r="P1038" s="5" t="str">
        <f>IFERROR(VLOOKUP(I1038,[1]INFO_LOCALES!$B:$F,5,FALSE),"")</f>
        <v/>
      </c>
      <c r="S1038" s="6"/>
      <c r="T1038" s="5" t="str">
        <f>UPPER(IF(Tabla2[[#This Row],[FECHA DE MUESTREO ]]=0,"",TEXT(Tabla2[[#This Row],[FECHA DE MUESTREO ]],("MMMM"))))</f>
        <v/>
      </c>
      <c r="U1038" s="6"/>
      <c r="W10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8" s="7">
        <f t="shared" si="36"/>
        <v>1</v>
      </c>
    </row>
    <row r="1039" spans="10:24" x14ac:dyDescent="0.25">
      <c r="J1039" s="5" t="str">
        <f>IFERROR(VLOOKUP(I1039,[1]INFO_LOCALES!$B:$C,2,FALSE),"")</f>
        <v/>
      </c>
      <c r="K1039" s="5" t="str">
        <f>IFERROR(VLOOKUP(Tabla2[[#This Row],[TIENDA]],[1]INFO_LOCALES!$B:$D,3,FALSE),"")</f>
        <v/>
      </c>
      <c r="L1039" s="5" t="str">
        <f>IFERROR(VLOOKUP(I1039,[1]INFO_LOCALES!$B:$I,8,FALSE),"")</f>
        <v/>
      </c>
      <c r="M1039" s="5" t="str">
        <f>IFERROR(VLOOKUP(I1039,[1]INFO_LOCALES!$B:$H,7,FALSE),"")</f>
        <v/>
      </c>
      <c r="N1039" s="5" t="str">
        <f>IFERROR(VLOOKUP(I1039,[1]INFO_LOCALES!$B:$E,4,FALSE),"")</f>
        <v/>
      </c>
      <c r="O1039" s="5" t="e">
        <f>VLOOKUP(Tabla2[[#This Row],[TIENDA]],[1]INFO_LOCALES!$B:$J,9,0)</f>
        <v>#N/A</v>
      </c>
      <c r="P1039" s="5" t="str">
        <f>IFERROR(VLOOKUP(I1039,[1]INFO_LOCALES!$B:$F,5,FALSE),"")</f>
        <v/>
      </c>
      <c r="S1039" s="6"/>
      <c r="T1039" s="5" t="str">
        <f>UPPER(IF(Tabla2[[#This Row],[FECHA DE MUESTREO ]]=0,"",TEXT(Tabla2[[#This Row],[FECHA DE MUESTREO ]],("MMMM"))))</f>
        <v/>
      </c>
      <c r="U1039" s="6"/>
      <c r="W10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39" s="7">
        <f t="shared" si="36"/>
        <v>1</v>
      </c>
    </row>
    <row r="1040" spans="10:24" x14ac:dyDescent="0.25">
      <c r="J1040" s="5" t="str">
        <f>IFERROR(VLOOKUP(I1040,[1]INFO_LOCALES!$B:$C,2,FALSE),"")</f>
        <v/>
      </c>
      <c r="K1040" s="5" t="str">
        <f>IFERROR(VLOOKUP(Tabla2[[#This Row],[TIENDA]],[1]INFO_LOCALES!$B:$D,3,FALSE),"")</f>
        <v/>
      </c>
      <c r="L1040" s="5" t="str">
        <f>IFERROR(VLOOKUP(I1040,[1]INFO_LOCALES!$B:$I,8,FALSE),"")</f>
        <v/>
      </c>
      <c r="M1040" s="5" t="str">
        <f>IFERROR(VLOOKUP(I1040,[1]INFO_LOCALES!$B:$H,7,FALSE),"")</f>
        <v/>
      </c>
      <c r="N1040" s="5" t="str">
        <f>IFERROR(VLOOKUP(I1040,[1]INFO_LOCALES!$B:$E,4,FALSE),"")</f>
        <v/>
      </c>
      <c r="O1040" s="5" t="e">
        <f>VLOOKUP(Tabla2[[#This Row],[TIENDA]],[1]INFO_LOCALES!$B:$J,9,0)</f>
        <v>#N/A</v>
      </c>
      <c r="P1040" s="5" t="str">
        <f>IFERROR(VLOOKUP(I1040,[1]INFO_LOCALES!$B:$F,5,FALSE),"")</f>
        <v/>
      </c>
      <c r="S1040" s="6"/>
      <c r="T1040" s="5" t="str">
        <f>UPPER(IF(Tabla2[[#This Row],[FECHA DE MUESTREO ]]=0,"",TEXT(Tabla2[[#This Row],[FECHA DE MUESTREO ]],("MMMM"))))</f>
        <v/>
      </c>
      <c r="U1040" s="6"/>
      <c r="W10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0" s="7">
        <f t="shared" si="36"/>
        <v>1</v>
      </c>
    </row>
    <row r="1041" spans="10:24" x14ac:dyDescent="0.25">
      <c r="J1041" s="5" t="str">
        <f>IFERROR(VLOOKUP(I1041,[1]INFO_LOCALES!$B:$C,2,FALSE),"")</f>
        <v/>
      </c>
      <c r="K1041" s="5" t="str">
        <f>IFERROR(VLOOKUP(Tabla2[[#This Row],[TIENDA]],[1]INFO_LOCALES!$B:$D,3,FALSE),"")</f>
        <v/>
      </c>
      <c r="L1041" s="5" t="str">
        <f>IFERROR(VLOOKUP(I1041,[1]INFO_LOCALES!$B:$I,8,FALSE),"")</f>
        <v/>
      </c>
      <c r="M1041" s="5" t="str">
        <f>IFERROR(VLOOKUP(I1041,[1]INFO_LOCALES!$B:$H,7,FALSE),"")</f>
        <v/>
      </c>
      <c r="N1041" s="5" t="str">
        <f>IFERROR(VLOOKUP(I1041,[1]INFO_LOCALES!$B:$E,4,FALSE),"")</f>
        <v/>
      </c>
      <c r="O1041" s="5" t="e">
        <f>VLOOKUP(Tabla2[[#This Row],[TIENDA]],[1]INFO_LOCALES!$B:$J,9,0)</f>
        <v>#N/A</v>
      </c>
      <c r="P1041" s="5" t="str">
        <f>IFERROR(VLOOKUP(I1041,[1]INFO_LOCALES!$B:$F,5,FALSE),"")</f>
        <v/>
      </c>
      <c r="S1041" s="6"/>
      <c r="T1041" s="5" t="str">
        <f>UPPER(IF(Tabla2[[#This Row],[FECHA DE MUESTREO ]]=0,"",TEXT(Tabla2[[#This Row],[FECHA DE MUESTREO ]],("MMMM"))))</f>
        <v/>
      </c>
      <c r="U1041" s="6"/>
      <c r="W10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1" s="7">
        <f t="shared" si="36"/>
        <v>1</v>
      </c>
    </row>
    <row r="1042" spans="10:24" x14ac:dyDescent="0.25">
      <c r="J1042" s="5" t="str">
        <f>IFERROR(VLOOKUP(I1042,[1]INFO_LOCALES!$B:$C,2,FALSE),"")</f>
        <v/>
      </c>
      <c r="K1042" s="5" t="str">
        <f>IFERROR(VLOOKUP(Tabla2[[#This Row],[TIENDA]],[1]INFO_LOCALES!$B:$D,3,FALSE),"")</f>
        <v/>
      </c>
      <c r="L1042" s="5" t="str">
        <f>IFERROR(VLOOKUP(I1042,[1]INFO_LOCALES!$B:$I,8,FALSE),"")</f>
        <v/>
      </c>
      <c r="M1042" s="5" t="str">
        <f>IFERROR(VLOOKUP(I1042,[1]INFO_LOCALES!$B:$H,7,FALSE),"")</f>
        <v/>
      </c>
      <c r="N1042" s="5" t="str">
        <f>IFERROR(VLOOKUP(I1042,[1]INFO_LOCALES!$B:$E,4,FALSE),"")</f>
        <v/>
      </c>
      <c r="O1042" s="5" t="e">
        <f>VLOOKUP(Tabla2[[#This Row],[TIENDA]],[1]INFO_LOCALES!$B:$J,9,0)</f>
        <v>#N/A</v>
      </c>
      <c r="P1042" s="5" t="str">
        <f>IFERROR(VLOOKUP(I1042,[1]INFO_LOCALES!$B:$F,5,FALSE),"")</f>
        <v/>
      </c>
      <c r="S1042" s="6"/>
      <c r="T1042" s="5" t="str">
        <f>UPPER(IF(Tabla2[[#This Row],[FECHA DE MUESTREO ]]=0,"",TEXT(Tabla2[[#This Row],[FECHA DE MUESTREO ]],("MMMM"))))</f>
        <v/>
      </c>
      <c r="U1042" s="6"/>
      <c r="W10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2" s="7">
        <f t="shared" si="36"/>
        <v>1</v>
      </c>
    </row>
    <row r="1043" spans="10:24" x14ac:dyDescent="0.25">
      <c r="J1043" s="5" t="str">
        <f>IFERROR(VLOOKUP(I1043,[1]INFO_LOCALES!$B:$C,2,FALSE),"")</f>
        <v/>
      </c>
      <c r="K1043" s="5" t="str">
        <f>IFERROR(VLOOKUP(Tabla2[[#This Row],[TIENDA]],[1]INFO_LOCALES!$B:$D,3,FALSE),"")</f>
        <v/>
      </c>
      <c r="L1043" s="5" t="str">
        <f>IFERROR(VLOOKUP(I1043,[1]INFO_LOCALES!$B:$I,8,FALSE),"")</f>
        <v/>
      </c>
      <c r="M1043" s="5" t="str">
        <f>IFERROR(VLOOKUP(I1043,[1]INFO_LOCALES!$B:$H,7,FALSE),"")</f>
        <v/>
      </c>
      <c r="N1043" s="5" t="str">
        <f>IFERROR(VLOOKUP(I1043,[1]INFO_LOCALES!$B:$E,4,FALSE),"")</f>
        <v/>
      </c>
      <c r="O1043" s="5" t="e">
        <f>VLOOKUP(Tabla2[[#This Row],[TIENDA]],[1]INFO_LOCALES!$B:$J,9,0)</f>
        <v>#N/A</v>
      </c>
      <c r="P1043" s="5" t="str">
        <f>IFERROR(VLOOKUP(I1043,[1]INFO_LOCALES!$B:$F,5,FALSE),"")</f>
        <v/>
      </c>
      <c r="S1043" s="6"/>
      <c r="T1043" s="5" t="str">
        <f>UPPER(IF(Tabla2[[#This Row],[FECHA DE MUESTREO ]]=0,"",TEXT(Tabla2[[#This Row],[FECHA DE MUESTREO ]],("MMMM"))))</f>
        <v/>
      </c>
      <c r="U1043" s="6"/>
      <c r="W10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3" s="7">
        <f t="shared" si="36"/>
        <v>1</v>
      </c>
    </row>
    <row r="1044" spans="10:24" x14ac:dyDescent="0.25">
      <c r="J1044" s="5" t="str">
        <f>IFERROR(VLOOKUP(I1044,[1]INFO_LOCALES!$B:$C,2,FALSE),"")</f>
        <v/>
      </c>
      <c r="K1044" s="5" t="str">
        <f>IFERROR(VLOOKUP(Tabla2[[#This Row],[TIENDA]],[1]INFO_LOCALES!$B:$D,3,FALSE),"")</f>
        <v/>
      </c>
      <c r="L1044" s="5" t="str">
        <f>IFERROR(VLOOKUP(I1044,[1]INFO_LOCALES!$B:$I,8,FALSE),"")</f>
        <v/>
      </c>
      <c r="M1044" s="5" t="str">
        <f>IFERROR(VLOOKUP(I1044,[1]INFO_LOCALES!$B:$H,7,FALSE),"")</f>
        <v/>
      </c>
      <c r="N1044" s="5" t="str">
        <f>IFERROR(VLOOKUP(I1044,[1]INFO_LOCALES!$B:$E,4,FALSE),"")</f>
        <v/>
      </c>
      <c r="O1044" s="5" t="e">
        <f>VLOOKUP(Tabla2[[#This Row],[TIENDA]],[1]INFO_LOCALES!$B:$J,9,0)</f>
        <v>#N/A</v>
      </c>
      <c r="P1044" s="5" t="str">
        <f>IFERROR(VLOOKUP(I1044,[1]INFO_LOCALES!$B:$F,5,FALSE),"")</f>
        <v/>
      </c>
      <c r="S1044" s="6"/>
      <c r="T1044" s="5" t="str">
        <f>UPPER(IF(Tabla2[[#This Row],[FECHA DE MUESTREO ]]=0,"",TEXT(Tabla2[[#This Row],[FECHA DE MUESTREO ]],("MMMM"))))</f>
        <v/>
      </c>
      <c r="U1044" s="6"/>
      <c r="W10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4" s="7">
        <f t="shared" si="36"/>
        <v>1</v>
      </c>
    </row>
    <row r="1045" spans="10:24" x14ac:dyDescent="0.25">
      <c r="J1045" s="5" t="str">
        <f>IFERROR(VLOOKUP(I1045,[1]INFO_LOCALES!$B:$C,2,FALSE),"")</f>
        <v/>
      </c>
      <c r="K1045" s="5" t="str">
        <f>IFERROR(VLOOKUP(Tabla2[[#This Row],[TIENDA]],[1]INFO_LOCALES!$B:$D,3,FALSE),"")</f>
        <v/>
      </c>
      <c r="L1045" s="5" t="str">
        <f>IFERROR(VLOOKUP(I1045,[1]INFO_LOCALES!$B:$I,8,FALSE),"")</f>
        <v/>
      </c>
      <c r="M1045" s="5" t="str">
        <f>IFERROR(VLOOKUP(I1045,[1]INFO_LOCALES!$B:$H,7,FALSE),"")</f>
        <v/>
      </c>
      <c r="N1045" s="5" t="str">
        <f>IFERROR(VLOOKUP(I1045,[1]INFO_LOCALES!$B:$E,4,FALSE),"")</f>
        <v/>
      </c>
      <c r="O1045" s="5" t="e">
        <f>VLOOKUP(Tabla2[[#This Row],[TIENDA]],[1]INFO_LOCALES!$B:$J,9,0)</f>
        <v>#N/A</v>
      </c>
      <c r="P1045" s="5" t="str">
        <f>IFERROR(VLOOKUP(I1045,[1]INFO_LOCALES!$B:$F,5,FALSE),"")</f>
        <v/>
      </c>
      <c r="S1045" s="6"/>
      <c r="T1045" s="5" t="str">
        <f>UPPER(IF(Tabla2[[#This Row],[FECHA DE MUESTREO ]]=0,"",TEXT(Tabla2[[#This Row],[FECHA DE MUESTREO ]],("MMMM"))))</f>
        <v/>
      </c>
      <c r="U1045" s="6"/>
      <c r="W10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5" s="7">
        <f t="shared" si="36"/>
        <v>1</v>
      </c>
    </row>
    <row r="1046" spans="10:24" x14ac:dyDescent="0.25">
      <c r="J1046" s="5" t="str">
        <f>IFERROR(VLOOKUP(I1046,[1]INFO_LOCALES!$B:$C,2,FALSE),"")</f>
        <v/>
      </c>
      <c r="K1046" s="5" t="str">
        <f>IFERROR(VLOOKUP(Tabla2[[#This Row],[TIENDA]],[1]INFO_LOCALES!$B:$D,3,FALSE),"")</f>
        <v/>
      </c>
      <c r="L1046" s="5" t="str">
        <f>IFERROR(VLOOKUP(I1046,[1]INFO_LOCALES!$B:$I,8,FALSE),"")</f>
        <v/>
      </c>
      <c r="M1046" s="5" t="str">
        <f>IFERROR(VLOOKUP(I1046,[1]INFO_LOCALES!$B:$H,7,FALSE),"")</f>
        <v/>
      </c>
      <c r="N1046" s="5" t="str">
        <f>IFERROR(VLOOKUP(I1046,[1]INFO_LOCALES!$B:$E,4,FALSE),"")</f>
        <v/>
      </c>
      <c r="O1046" s="5" t="e">
        <f>VLOOKUP(Tabla2[[#This Row],[TIENDA]],[1]INFO_LOCALES!$B:$J,9,0)</f>
        <v>#N/A</v>
      </c>
      <c r="P1046" s="5" t="str">
        <f>IFERROR(VLOOKUP(I1046,[1]INFO_LOCALES!$B:$F,5,FALSE),"")</f>
        <v/>
      </c>
      <c r="S1046" s="6"/>
      <c r="T1046" s="5" t="str">
        <f>UPPER(IF(Tabla2[[#This Row],[FECHA DE MUESTREO ]]=0,"",TEXT(Tabla2[[#This Row],[FECHA DE MUESTREO ]],("MMMM"))))</f>
        <v/>
      </c>
      <c r="U1046" s="6"/>
      <c r="W10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6" s="7">
        <f t="shared" si="36"/>
        <v>1</v>
      </c>
    </row>
    <row r="1047" spans="10:24" x14ac:dyDescent="0.25">
      <c r="J1047" s="5" t="str">
        <f>IFERROR(VLOOKUP(I1047,[1]INFO_LOCALES!$B:$C,2,FALSE),"")</f>
        <v/>
      </c>
      <c r="K1047" s="5" t="str">
        <f>IFERROR(VLOOKUP(Tabla2[[#This Row],[TIENDA]],[1]INFO_LOCALES!$B:$D,3,FALSE),"")</f>
        <v/>
      </c>
      <c r="L1047" s="5" t="str">
        <f>IFERROR(VLOOKUP(I1047,[1]INFO_LOCALES!$B:$I,8,FALSE),"")</f>
        <v/>
      </c>
      <c r="M1047" s="5" t="str">
        <f>IFERROR(VLOOKUP(I1047,[1]INFO_LOCALES!$B:$H,7,FALSE),"")</f>
        <v/>
      </c>
      <c r="N1047" s="5" t="str">
        <f>IFERROR(VLOOKUP(I1047,[1]INFO_LOCALES!$B:$E,4,FALSE),"")</f>
        <v/>
      </c>
      <c r="O1047" s="5" t="e">
        <f>VLOOKUP(Tabla2[[#This Row],[TIENDA]],[1]INFO_LOCALES!$B:$J,9,0)</f>
        <v>#N/A</v>
      </c>
      <c r="P1047" s="5" t="str">
        <f>IFERROR(VLOOKUP(I1047,[1]INFO_LOCALES!$B:$F,5,FALSE),"")</f>
        <v/>
      </c>
      <c r="S1047" s="6"/>
      <c r="T1047" s="5" t="str">
        <f>UPPER(IF(Tabla2[[#This Row],[FECHA DE MUESTREO ]]=0,"",TEXT(Tabla2[[#This Row],[FECHA DE MUESTREO ]],("MMMM"))))</f>
        <v/>
      </c>
      <c r="U1047" s="6"/>
      <c r="W10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7" s="7">
        <f t="shared" si="36"/>
        <v>1</v>
      </c>
    </row>
    <row r="1048" spans="10:24" x14ac:dyDescent="0.25">
      <c r="J1048" s="5" t="str">
        <f>IFERROR(VLOOKUP(I1048,[1]INFO_LOCALES!$B:$C,2,FALSE),"")</f>
        <v/>
      </c>
      <c r="K1048" s="5" t="str">
        <f>IFERROR(VLOOKUP(Tabla2[[#This Row],[TIENDA]],[1]INFO_LOCALES!$B:$D,3,FALSE),"")</f>
        <v/>
      </c>
      <c r="L1048" s="5" t="str">
        <f>IFERROR(VLOOKUP(I1048,[1]INFO_LOCALES!$B:$I,8,FALSE),"")</f>
        <v/>
      </c>
      <c r="M1048" s="5" t="str">
        <f>IFERROR(VLOOKUP(I1048,[1]INFO_LOCALES!$B:$H,7,FALSE),"")</f>
        <v/>
      </c>
      <c r="N1048" s="5" t="str">
        <f>IFERROR(VLOOKUP(I1048,[1]INFO_LOCALES!$B:$E,4,FALSE),"")</f>
        <v/>
      </c>
      <c r="O1048" s="5" t="e">
        <f>VLOOKUP(Tabla2[[#This Row],[TIENDA]],[1]INFO_LOCALES!$B:$J,9,0)</f>
        <v>#N/A</v>
      </c>
      <c r="P1048" s="5" t="str">
        <f>IFERROR(VLOOKUP(I1048,[1]INFO_LOCALES!$B:$F,5,FALSE),"")</f>
        <v/>
      </c>
      <c r="S1048" s="6"/>
      <c r="T1048" s="5" t="str">
        <f>UPPER(IF(Tabla2[[#This Row],[FECHA DE MUESTREO ]]=0,"",TEXT(Tabla2[[#This Row],[FECHA DE MUESTREO ]],("MMMM"))))</f>
        <v/>
      </c>
      <c r="U1048" s="6"/>
      <c r="W10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8" s="7">
        <f t="shared" si="36"/>
        <v>1</v>
      </c>
    </row>
    <row r="1049" spans="10:24" x14ac:dyDescent="0.25">
      <c r="J1049" s="5" t="str">
        <f>IFERROR(VLOOKUP(I1049,[1]INFO_LOCALES!$B:$C,2,FALSE),"")</f>
        <v/>
      </c>
      <c r="K1049" s="5" t="str">
        <f>IFERROR(VLOOKUP(Tabla2[[#This Row],[TIENDA]],[1]INFO_LOCALES!$B:$D,3,FALSE),"")</f>
        <v/>
      </c>
      <c r="L1049" s="5" t="str">
        <f>IFERROR(VLOOKUP(I1049,[1]INFO_LOCALES!$B:$I,8,FALSE),"")</f>
        <v/>
      </c>
      <c r="M1049" s="5" t="str">
        <f>IFERROR(VLOOKUP(I1049,[1]INFO_LOCALES!$B:$H,7,FALSE),"")</f>
        <v/>
      </c>
      <c r="N1049" s="5" t="str">
        <f>IFERROR(VLOOKUP(I1049,[1]INFO_LOCALES!$B:$E,4,FALSE),"")</f>
        <v/>
      </c>
      <c r="O1049" s="5" t="e">
        <f>VLOOKUP(Tabla2[[#This Row],[TIENDA]],[1]INFO_LOCALES!$B:$J,9,0)</f>
        <v>#N/A</v>
      </c>
      <c r="P1049" s="5" t="str">
        <f>IFERROR(VLOOKUP(I1049,[1]INFO_LOCALES!$B:$F,5,FALSE),"")</f>
        <v/>
      </c>
      <c r="S1049" s="6"/>
      <c r="T1049" s="5" t="str">
        <f>UPPER(IF(Tabla2[[#This Row],[FECHA DE MUESTREO ]]=0,"",TEXT(Tabla2[[#This Row],[FECHA DE MUESTREO ]],("MMMM"))))</f>
        <v/>
      </c>
      <c r="U1049" s="6"/>
      <c r="W10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49" s="7">
        <f t="shared" si="36"/>
        <v>1</v>
      </c>
    </row>
    <row r="1050" spans="10:24" x14ac:dyDescent="0.25">
      <c r="J1050" s="5" t="str">
        <f>IFERROR(VLOOKUP(I1050,[1]INFO_LOCALES!$B:$C,2,FALSE),"")</f>
        <v/>
      </c>
      <c r="K1050" s="5" t="str">
        <f>IFERROR(VLOOKUP(Tabla2[[#This Row],[TIENDA]],[1]INFO_LOCALES!$B:$D,3,FALSE),"")</f>
        <v/>
      </c>
      <c r="L1050" s="5" t="str">
        <f>IFERROR(VLOOKUP(I1050,[1]INFO_LOCALES!$B:$I,8,FALSE),"")</f>
        <v/>
      </c>
      <c r="M1050" s="5" t="str">
        <f>IFERROR(VLOOKUP(I1050,[1]INFO_LOCALES!$B:$H,7,FALSE),"")</f>
        <v/>
      </c>
      <c r="N1050" s="5" t="str">
        <f>IFERROR(VLOOKUP(I1050,[1]INFO_LOCALES!$B:$E,4,FALSE),"")</f>
        <v/>
      </c>
      <c r="O1050" s="5" t="e">
        <f>VLOOKUP(Tabla2[[#This Row],[TIENDA]],[1]INFO_LOCALES!$B:$J,9,0)</f>
        <v>#N/A</v>
      </c>
      <c r="P1050" s="5" t="str">
        <f>IFERROR(VLOOKUP(I1050,[1]INFO_LOCALES!$B:$F,5,FALSE),"")</f>
        <v/>
      </c>
      <c r="S1050" s="6"/>
      <c r="T1050" s="5" t="str">
        <f>UPPER(IF(Tabla2[[#This Row],[FECHA DE MUESTREO ]]=0,"",TEXT(Tabla2[[#This Row],[FECHA DE MUESTREO ]],("MMMM"))))</f>
        <v/>
      </c>
      <c r="U1050" s="6"/>
      <c r="W10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0" s="7">
        <f t="shared" si="36"/>
        <v>1</v>
      </c>
    </row>
    <row r="1051" spans="10:24" x14ac:dyDescent="0.25">
      <c r="J1051" s="5" t="str">
        <f>IFERROR(VLOOKUP(I1051,[1]INFO_LOCALES!$B:$C,2,FALSE),"")</f>
        <v/>
      </c>
      <c r="K1051" s="5" t="str">
        <f>IFERROR(VLOOKUP(Tabla2[[#This Row],[TIENDA]],[1]INFO_LOCALES!$B:$D,3,FALSE),"")</f>
        <v/>
      </c>
      <c r="L1051" s="5" t="str">
        <f>IFERROR(VLOOKUP(I1051,[1]INFO_LOCALES!$B:$I,8,FALSE),"")</f>
        <v/>
      </c>
      <c r="M1051" s="5" t="str">
        <f>IFERROR(VLOOKUP(I1051,[1]INFO_LOCALES!$B:$H,7,FALSE),"")</f>
        <v/>
      </c>
      <c r="N1051" s="5" t="str">
        <f>IFERROR(VLOOKUP(I1051,[1]INFO_LOCALES!$B:$E,4,FALSE),"")</f>
        <v/>
      </c>
      <c r="O1051" s="5" t="e">
        <f>VLOOKUP(Tabla2[[#This Row],[TIENDA]],[1]INFO_LOCALES!$B:$J,9,0)</f>
        <v>#N/A</v>
      </c>
      <c r="P1051" s="5" t="str">
        <f>IFERROR(VLOOKUP(I1051,[1]INFO_LOCALES!$B:$F,5,FALSE),"")</f>
        <v/>
      </c>
      <c r="S1051" s="6"/>
      <c r="T1051" s="5" t="str">
        <f>UPPER(IF(Tabla2[[#This Row],[FECHA DE MUESTREO ]]=0,"",TEXT(Tabla2[[#This Row],[FECHA DE MUESTREO ]],("MMMM"))))</f>
        <v/>
      </c>
      <c r="U1051" s="6"/>
      <c r="W10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1" s="7">
        <f t="shared" si="36"/>
        <v>1</v>
      </c>
    </row>
    <row r="1052" spans="10:24" x14ac:dyDescent="0.25">
      <c r="J1052" s="5" t="str">
        <f>IFERROR(VLOOKUP(I1052,[1]INFO_LOCALES!$B:$C,2,FALSE),"")</f>
        <v/>
      </c>
      <c r="K1052" s="5" t="str">
        <f>IFERROR(VLOOKUP(Tabla2[[#This Row],[TIENDA]],[1]INFO_LOCALES!$B:$D,3,FALSE),"")</f>
        <v/>
      </c>
      <c r="L1052" s="5" t="str">
        <f>IFERROR(VLOOKUP(I1052,[1]INFO_LOCALES!$B:$I,8,FALSE),"")</f>
        <v/>
      </c>
      <c r="M1052" s="5" t="str">
        <f>IFERROR(VLOOKUP(I1052,[1]INFO_LOCALES!$B:$H,7,FALSE),"")</f>
        <v/>
      </c>
      <c r="N1052" s="5" t="str">
        <f>IFERROR(VLOOKUP(I1052,[1]INFO_LOCALES!$B:$E,4,FALSE),"")</f>
        <v/>
      </c>
      <c r="O1052" s="5" t="e">
        <f>VLOOKUP(Tabla2[[#This Row],[TIENDA]],[1]INFO_LOCALES!$B:$J,9,0)</f>
        <v>#N/A</v>
      </c>
      <c r="P1052" s="5" t="str">
        <f>IFERROR(VLOOKUP(I1052,[1]INFO_LOCALES!$B:$F,5,FALSE),"")</f>
        <v/>
      </c>
      <c r="S1052" s="6"/>
      <c r="T1052" s="5" t="str">
        <f>UPPER(IF(Tabla2[[#This Row],[FECHA DE MUESTREO ]]=0,"",TEXT(Tabla2[[#This Row],[FECHA DE MUESTREO ]],("MMMM"))))</f>
        <v/>
      </c>
      <c r="U1052" s="6"/>
      <c r="W10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2" s="7">
        <f t="shared" si="36"/>
        <v>1</v>
      </c>
    </row>
    <row r="1053" spans="10:24" x14ac:dyDescent="0.25">
      <c r="J1053" s="5" t="str">
        <f>IFERROR(VLOOKUP(I1053,[1]INFO_LOCALES!$B:$C,2,FALSE),"")</f>
        <v/>
      </c>
      <c r="K1053" s="5" t="str">
        <f>IFERROR(VLOOKUP(Tabla2[[#This Row],[TIENDA]],[1]INFO_LOCALES!$B:$D,3,FALSE),"")</f>
        <v/>
      </c>
      <c r="L1053" s="5" t="str">
        <f>IFERROR(VLOOKUP(I1053,[1]INFO_LOCALES!$B:$I,8,FALSE),"")</f>
        <v/>
      </c>
      <c r="M1053" s="5" t="str">
        <f>IFERROR(VLOOKUP(I1053,[1]INFO_LOCALES!$B:$H,7,FALSE),"")</f>
        <v/>
      </c>
      <c r="N1053" s="5" t="str">
        <f>IFERROR(VLOOKUP(I1053,[1]INFO_LOCALES!$B:$E,4,FALSE),"")</f>
        <v/>
      </c>
      <c r="O1053" s="5" t="e">
        <f>VLOOKUP(Tabla2[[#This Row],[TIENDA]],[1]INFO_LOCALES!$B:$J,9,0)</f>
        <v>#N/A</v>
      </c>
      <c r="P1053" s="5" t="str">
        <f>IFERROR(VLOOKUP(I1053,[1]INFO_LOCALES!$B:$F,5,FALSE),"")</f>
        <v/>
      </c>
      <c r="S1053" s="6"/>
      <c r="T1053" s="5" t="str">
        <f>UPPER(IF(Tabla2[[#This Row],[FECHA DE MUESTREO ]]=0,"",TEXT(Tabla2[[#This Row],[FECHA DE MUESTREO ]],("MMMM"))))</f>
        <v/>
      </c>
      <c r="U1053" s="6"/>
      <c r="W10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3" s="7">
        <f t="shared" si="36"/>
        <v>1</v>
      </c>
    </row>
    <row r="1054" spans="10:24" x14ac:dyDescent="0.25">
      <c r="J1054" s="5" t="str">
        <f>IFERROR(VLOOKUP(I1054,[1]INFO_LOCALES!$B:$C,2,FALSE),"")</f>
        <v/>
      </c>
      <c r="K1054" s="5" t="str">
        <f>IFERROR(VLOOKUP(Tabla2[[#This Row],[TIENDA]],[1]INFO_LOCALES!$B:$D,3,FALSE),"")</f>
        <v/>
      </c>
      <c r="L1054" s="5" t="str">
        <f>IFERROR(VLOOKUP(I1054,[1]INFO_LOCALES!$B:$I,8,FALSE),"")</f>
        <v/>
      </c>
      <c r="M1054" s="5" t="str">
        <f>IFERROR(VLOOKUP(I1054,[1]INFO_LOCALES!$B:$H,7,FALSE),"")</f>
        <v/>
      </c>
      <c r="N1054" s="5" t="str">
        <f>IFERROR(VLOOKUP(I1054,[1]INFO_LOCALES!$B:$E,4,FALSE),"")</f>
        <v/>
      </c>
      <c r="O1054" s="5" t="e">
        <f>VLOOKUP(Tabla2[[#This Row],[TIENDA]],[1]INFO_LOCALES!$B:$J,9,0)</f>
        <v>#N/A</v>
      </c>
      <c r="P1054" s="5" t="str">
        <f>IFERROR(VLOOKUP(I1054,[1]INFO_LOCALES!$B:$F,5,FALSE),"")</f>
        <v/>
      </c>
      <c r="S1054" s="6"/>
      <c r="T1054" s="5" t="str">
        <f>UPPER(IF(Tabla2[[#This Row],[FECHA DE MUESTREO ]]=0,"",TEXT(Tabla2[[#This Row],[FECHA DE MUESTREO ]],("MMMM"))))</f>
        <v/>
      </c>
      <c r="U1054" s="6"/>
      <c r="W10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4" s="7">
        <f t="shared" si="36"/>
        <v>1</v>
      </c>
    </row>
    <row r="1055" spans="10:24" x14ac:dyDescent="0.25">
      <c r="J1055" s="5" t="str">
        <f>IFERROR(VLOOKUP(I1055,[1]INFO_LOCALES!$B:$C,2,FALSE),"")</f>
        <v/>
      </c>
      <c r="K1055" s="5" t="str">
        <f>IFERROR(VLOOKUP(Tabla2[[#This Row],[TIENDA]],[1]INFO_LOCALES!$B:$D,3,FALSE),"")</f>
        <v/>
      </c>
      <c r="L1055" s="5" t="str">
        <f>IFERROR(VLOOKUP(I1055,[1]INFO_LOCALES!$B:$I,8,FALSE),"")</f>
        <v/>
      </c>
      <c r="M1055" s="5" t="str">
        <f>IFERROR(VLOOKUP(I1055,[1]INFO_LOCALES!$B:$H,7,FALSE),"")</f>
        <v/>
      </c>
      <c r="N1055" s="5" t="str">
        <f>IFERROR(VLOOKUP(I1055,[1]INFO_LOCALES!$B:$E,4,FALSE),"")</f>
        <v/>
      </c>
      <c r="O1055" s="5" t="e">
        <f>VLOOKUP(Tabla2[[#This Row],[TIENDA]],[1]INFO_LOCALES!$B:$J,9,0)</f>
        <v>#N/A</v>
      </c>
      <c r="P1055" s="5" t="str">
        <f>IFERROR(VLOOKUP(I1055,[1]INFO_LOCALES!$B:$F,5,FALSE),"")</f>
        <v/>
      </c>
      <c r="S1055" s="6"/>
      <c r="T1055" s="5" t="str">
        <f>UPPER(IF(Tabla2[[#This Row],[FECHA DE MUESTREO ]]=0,"",TEXT(Tabla2[[#This Row],[FECHA DE MUESTREO ]],("MMMM"))))</f>
        <v/>
      </c>
      <c r="U1055" s="6"/>
      <c r="W10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5" s="7">
        <f t="shared" si="36"/>
        <v>1</v>
      </c>
    </row>
    <row r="1056" spans="10:24" x14ac:dyDescent="0.25">
      <c r="J1056" s="5" t="str">
        <f>IFERROR(VLOOKUP(I1056,[1]INFO_LOCALES!$B:$C,2,FALSE),"")</f>
        <v/>
      </c>
      <c r="K1056" s="5" t="str">
        <f>IFERROR(VLOOKUP(Tabla2[[#This Row],[TIENDA]],[1]INFO_LOCALES!$B:$D,3,FALSE),"")</f>
        <v/>
      </c>
      <c r="L1056" s="5" t="str">
        <f>IFERROR(VLOOKUP(I1056,[1]INFO_LOCALES!$B:$I,8,FALSE),"")</f>
        <v/>
      </c>
      <c r="M1056" s="5" t="str">
        <f>IFERROR(VLOOKUP(I1056,[1]INFO_LOCALES!$B:$H,7,FALSE),"")</f>
        <v/>
      </c>
      <c r="N1056" s="5" t="str">
        <f>IFERROR(VLOOKUP(I1056,[1]INFO_LOCALES!$B:$E,4,FALSE),"")</f>
        <v/>
      </c>
      <c r="O1056" s="5" t="e">
        <f>VLOOKUP(Tabla2[[#This Row],[TIENDA]],[1]INFO_LOCALES!$B:$J,9,0)</f>
        <v>#N/A</v>
      </c>
      <c r="P1056" s="5" t="str">
        <f>IFERROR(VLOOKUP(I1056,[1]INFO_LOCALES!$B:$F,5,FALSE),"")</f>
        <v/>
      </c>
      <c r="S1056" s="6"/>
      <c r="T1056" s="5" t="str">
        <f>UPPER(IF(Tabla2[[#This Row],[FECHA DE MUESTREO ]]=0,"",TEXT(Tabla2[[#This Row],[FECHA DE MUESTREO ]],("MMMM"))))</f>
        <v/>
      </c>
      <c r="U1056" s="6"/>
      <c r="W10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6" s="7">
        <f t="shared" si="36"/>
        <v>1</v>
      </c>
    </row>
    <row r="1057" spans="10:24" x14ac:dyDescent="0.25">
      <c r="J1057" s="5" t="str">
        <f>IFERROR(VLOOKUP(I1057,[1]INFO_LOCALES!$B:$C,2,FALSE),"")</f>
        <v/>
      </c>
      <c r="K1057" s="5" t="str">
        <f>IFERROR(VLOOKUP(Tabla2[[#This Row],[TIENDA]],[1]INFO_LOCALES!$B:$D,3,FALSE),"")</f>
        <v/>
      </c>
      <c r="L1057" s="5" t="str">
        <f>IFERROR(VLOOKUP(I1057,[1]INFO_LOCALES!$B:$I,8,FALSE),"")</f>
        <v/>
      </c>
      <c r="M1057" s="5" t="str">
        <f>IFERROR(VLOOKUP(I1057,[1]INFO_LOCALES!$B:$H,7,FALSE),"")</f>
        <v/>
      </c>
      <c r="N1057" s="5" t="str">
        <f>IFERROR(VLOOKUP(I1057,[1]INFO_LOCALES!$B:$E,4,FALSE),"")</f>
        <v/>
      </c>
      <c r="O1057" s="5" t="e">
        <f>VLOOKUP(Tabla2[[#This Row],[TIENDA]],[1]INFO_LOCALES!$B:$J,9,0)</f>
        <v>#N/A</v>
      </c>
      <c r="P1057" s="5" t="str">
        <f>IFERROR(VLOOKUP(I1057,[1]INFO_LOCALES!$B:$F,5,FALSE),"")</f>
        <v/>
      </c>
      <c r="S1057" s="6"/>
      <c r="T1057" s="5" t="str">
        <f>UPPER(IF(Tabla2[[#This Row],[FECHA DE MUESTREO ]]=0,"",TEXT(Tabla2[[#This Row],[FECHA DE MUESTREO ]],("MMMM"))))</f>
        <v/>
      </c>
      <c r="U1057" s="6"/>
      <c r="W10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7" s="7">
        <f t="shared" si="36"/>
        <v>1</v>
      </c>
    </row>
    <row r="1058" spans="10:24" x14ac:dyDescent="0.25">
      <c r="J1058" s="5" t="str">
        <f>IFERROR(VLOOKUP(I1058,[1]INFO_LOCALES!$B:$C,2,FALSE),"")</f>
        <v/>
      </c>
      <c r="K1058" s="5" t="str">
        <f>IFERROR(VLOOKUP(Tabla2[[#This Row],[TIENDA]],[1]INFO_LOCALES!$B:$D,3,FALSE),"")</f>
        <v/>
      </c>
      <c r="L1058" s="5" t="str">
        <f>IFERROR(VLOOKUP(I1058,[1]INFO_LOCALES!$B:$I,8,FALSE),"")</f>
        <v/>
      </c>
      <c r="M1058" s="5" t="str">
        <f>IFERROR(VLOOKUP(I1058,[1]INFO_LOCALES!$B:$H,7,FALSE),"")</f>
        <v/>
      </c>
      <c r="N1058" s="5" t="str">
        <f>IFERROR(VLOOKUP(I1058,[1]INFO_LOCALES!$B:$E,4,FALSE),"")</f>
        <v/>
      </c>
      <c r="O1058" s="5" t="e">
        <f>VLOOKUP(Tabla2[[#This Row],[TIENDA]],[1]INFO_LOCALES!$B:$J,9,0)</f>
        <v>#N/A</v>
      </c>
      <c r="P1058" s="5" t="str">
        <f>IFERROR(VLOOKUP(I1058,[1]INFO_LOCALES!$B:$F,5,FALSE),"")</f>
        <v/>
      </c>
      <c r="S1058" s="6"/>
      <c r="T1058" s="5" t="str">
        <f>UPPER(IF(Tabla2[[#This Row],[FECHA DE MUESTREO ]]=0,"",TEXT(Tabla2[[#This Row],[FECHA DE MUESTREO ]],("MMMM"))))</f>
        <v/>
      </c>
      <c r="U1058" s="6"/>
      <c r="W10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8" s="7">
        <f t="shared" si="36"/>
        <v>1</v>
      </c>
    </row>
    <row r="1059" spans="10:24" x14ac:dyDescent="0.25">
      <c r="J1059" s="5" t="str">
        <f>IFERROR(VLOOKUP(I1059,[1]INFO_LOCALES!$B:$C,2,FALSE),"")</f>
        <v/>
      </c>
      <c r="K1059" s="5" t="str">
        <f>IFERROR(VLOOKUP(Tabla2[[#This Row],[TIENDA]],[1]INFO_LOCALES!$B:$D,3,FALSE),"")</f>
        <v/>
      </c>
      <c r="L1059" s="5" t="str">
        <f>IFERROR(VLOOKUP(I1059,[1]INFO_LOCALES!$B:$I,8,FALSE),"")</f>
        <v/>
      </c>
      <c r="M1059" s="5" t="str">
        <f>IFERROR(VLOOKUP(I1059,[1]INFO_LOCALES!$B:$H,7,FALSE),"")</f>
        <v/>
      </c>
      <c r="N1059" s="5" t="str">
        <f>IFERROR(VLOOKUP(I1059,[1]INFO_LOCALES!$B:$E,4,FALSE),"")</f>
        <v/>
      </c>
      <c r="O1059" s="5" t="e">
        <f>VLOOKUP(Tabla2[[#This Row],[TIENDA]],[1]INFO_LOCALES!$B:$J,9,0)</f>
        <v>#N/A</v>
      </c>
      <c r="P1059" s="5" t="str">
        <f>IFERROR(VLOOKUP(I1059,[1]INFO_LOCALES!$B:$F,5,FALSE),"")</f>
        <v/>
      </c>
      <c r="S1059" s="6"/>
      <c r="T1059" s="5" t="str">
        <f>UPPER(IF(Tabla2[[#This Row],[FECHA DE MUESTREO ]]=0,"",TEXT(Tabla2[[#This Row],[FECHA DE MUESTREO ]],("MMMM"))))</f>
        <v/>
      </c>
      <c r="U1059" s="6"/>
      <c r="W10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59" s="7">
        <f t="shared" si="36"/>
        <v>1</v>
      </c>
    </row>
    <row r="1060" spans="10:24" x14ac:dyDescent="0.25">
      <c r="J1060" s="5" t="str">
        <f>IFERROR(VLOOKUP(I1060,[1]INFO_LOCALES!$B:$C,2,FALSE),"")</f>
        <v/>
      </c>
      <c r="K1060" s="5" t="str">
        <f>IFERROR(VLOOKUP(Tabla2[[#This Row],[TIENDA]],[1]INFO_LOCALES!$B:$D,3,FALSE),"")</f>
        <v/>
      </c>
      <c r="L1060" s="5" t="str">
        <f>IFERROR(VLOOKUP(I1060,[1]INFO_LOCALES!$B:$I,8,FALSE),"")</f>
        <v/>
      </c>
      <c r="M1060" s="5" t="str">
        <f>IFERROR(VLOOKUP(I1060,[1]INFO_LOCALES!$B:$H,7,FALSE),"")</f>
        <v/>
      </c>
      <c r="N1060" s="5" t="str">
        <f>IFERROR(VLOOKUP(I1060,[1]INFO_LOCALES!$B:$E,4,FALSE),"")</f>
        <v/>
      </c>
      <c r="O1060" s="5" t="e">
        <f>VLOOKUP(Tabla2[[#This Row],[TIENDA]],[1]INFO_LOCALES!$B:$J,9,0)</f>
        <v>#N/A</v>
      </c>
      <c r="P1060" s="5" t="str">
        <f>IFERROR(VLOOKUP(I1060,[1]INFO_LOCALES!$B:$F,5,FALSE),"")</f>
        <v/>
      </c>
      <c r="S1060" s="6"/>
      <c r="T1060" s="5" t="str">
        <f>UPPER(IF(Tabla2[[#This Row],[FECHA DE MUESTREO ]]=0,"",TEXT(Tabla2[[#This Row],[FECHA DE MUESTREO ]],("MMMM"))))</f>
        <v/>
      </c>
      <c r="U1060" s="6"/>
      <c r="W10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0" s="7">
        <f t="shared" si="36"/>
        <v>1</v>
      </c>
    </row>
    <row r="1061" spans="10:24" x14ac:dyDescent="0.25">
      <c r="J1061" s="5" t="str">
        <f>IFERROR(VLOOKUP(I1061,[1]INFO_LOCALES!$B:$C,2,FALSE),"")</f>
        <v/>
      </c>
      <c r="K1061" s="5" t="str">
        <f>IFERROR(VLOOKUP(Tabla2[[#This Row],[TIENDA]],[1]INFO_LOCALES!$B:$D,3,FALSE),"")</f>
        <v/>
      </c>
      <c r="L1061" s="5" t="str">
        <f>IFERROR(VLOOKUP(I1061,[1]INFO_LOCALES!$B:$I,8,FALSE),"")</f>
        <v/>
      </c>
      <c r="M1061" s="5" t="str">
        <f>IFERROR(VLOOKUP(I1061,[1]INFO_LOCALES!$B:$H,7,FALSE),"")</f>
        <v/>
      </c>
      <c r="N1061" s="5" t="str">
        <f>IFERROR(VLOOKUP(I1061,[1]INFO_LOCALES!$B:$E,4,FALSE),"")</f>
        <v/>
      </c>
      <c r="O1061" s="5" t="e">
        <f>VLOOKUP(Tabla2[[#This Row],[TIENDA]],[1]INFO_LOCALES!$B:$J,9,0)</f>
        <v>#N/A</v>
      </c>
      <c r="P1061" s="5" t="str">
        <f>IFERROR(VLOOKUP(I1061,[1]INFO_LOCALES!$B:$F,5,FALSE),"")</f>
        <v/>
      </c>
      <c r="S1061" s="6"/>
      <c r="T1061" s="5" t="str">
        <f>UPPER(IF(Tabla2[[#This Row],[FECHA DE MUESTREO ]]=0,"",TEXT(Tabla2[[#This Row],[FECHA DE MUESTREO ]],("MMMM"))))</f>
        <v/>
      </c>
      <c r="U1061" s="6"/>
      <c r="W10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1" s="7">
        <f t="shared" si="36"/>
        <v>1</v>
      </c>
    </row>
    <row r="1062" spans="10:24" x14ac:dyDescent="0.25">
      <c r="J1062" s="5" t="str">
        <f>IFERROR(VLOOKUP(I1062,[1]INFO_LOCALES!$B:$C,2,FALSE),"")</f>
        <v/>
      </c>
      <c r="K1062" s="5" t="str">
        <f>IFERROR(VLOOKUP(Tabla2[[#This Row],[TIENDA]],[1]INFO_LOCALES!$B:$D,3,FALSE),"")</f>
        <v/>
      </c>
      <c r="L1062" s="5" t="str">
        <f>IFERROR(VLOOKUP(I1062,[1]INFO_LOCALES!$B:$I,8,FALSE),"")</f>
        <v/>
      </c>
      <c r="M1062" s="5" t="str">
        <f>IFERROR(VLOOKUP(I1062,[1]INFO_LOCALES!$B:$H,7,FALSE),"")</f>
        <v/>
      </c>
      <c r="N1062" s="5" t="str">
        <f>IFERROR(VLOOKUP(I1062,[1]INFO_LOCALES!$B:$E,4,FALSE),"")</f>
        <v/>
      </c>
      <c r="O1062" s="5" t="e">
        <f>VLOOKUP(Tabla2[[#This Row],[TIENDA]],[1]INFO_LOCALES!$B:$J,9,0)</f>
        <v>#N/A</v>
      </c>
      <c r="P1062" s="5" t="str">
        <f>IFERROR(VLOOKUP(I1062,[1]INFO_LOCALES!$B:$F,5,FALSE),"")</f>
        <v/>
      </c>
      <c r="S1062" s="6"/>
      <c r="T1062" s="5" t="str">
        <f>UPPER(IF(Tabla2[[#This Row],[FECHA DE MUESTREO ]]=0,"",TEXT(Tabla2[[#This Row],[FECHA DE MUESTREO ]],("MMMM"))))</f>
        <v/>
      </c>
      <c r="U1062" s="6"/>
      <c r="W10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2" s="7">
        <f t="shared" ref="X1062:X1125" si="37">IF(W1062="CUMPLE",1,IF(W1062="CUMPLE CON TOLERANCIA",2,IF(W1062="NO CUMPLE",3)))</f>
        <v>1</v>
      </c>
    </row>
    <row r="1063" spans="10:24" x14ac:dyDescent="0.25">
      <c r="J1063" s="5" t="str">
        <f>IFERROR(VLOOKUP(I1063,[1]INFO_LOCALES!$B:$C,2,FALSE),"")</f>
        <v/>
      </c>
      <c r="K1063" s="5" t="str">
        <f>IFERROR(VLOOKUP(Tabla2[[#This Row],[TIENDA]],[1]INFO_LOCALES!$B:$D,3,FALSE),"")</f>
        <v/>
      </c>
      <c r="L1063" s="5" t="str">
        <f>IFERROR(VLOOKUP(I1063,[1]INFO_LOCALES!$B:$I,8,FALSE),"")</f>
        <v/>
      </c>
      <c r="M1063" s="5" t="str">
        <f>IFERROR(VLOOKUP(I1063,[1]INFO_LOCALES!$B:$H,7,FALSE),"")</f>
        <v/>
      </c>
      <c r="N1063" s="5" t="str">
        <f>IFERROR(VLOOKUP(I1063,[1]INFO_LOCALES!$B:$E,4,FALSE),"")</f>
        <v/>
      </c>
      <c r="O1063" s="5" t="e">
        <f>VLOOKUP(Tabla2[[#This Row],[TIENDA]],[1]INFO_LOCALES!$B:$J,9,0)</f>
        <v>#N/A</v>
      </c>
      <c r="P1063" s="5" t="str">
        <f>IFERROR(VLOOKUP(I1063,[1]INFO_LOCALES!$B:$F,5,FALSE),"")</f>
        <v/>
      </c>
      <c r="S1063" s="6"/>
      <c r="T1063" s="5" t="str">
        <f>UPPER(IF(Tabla2[[#This Row],[FECHA DE MUESTREO ]]=0,"",TEXT(Tabla2[[#This Row],[FECHA DE MUESTREO ]],("MMMM"))))</f>
        <v/>
      </c>
      <c r="U1063" s="6"/>
      <c r="W10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3" s="7">
        <f t="shared" si="37"/>
        <v>1</v>
      </c>
    </row>
    <row r="1064" spans="10:24" x14ac:dyDescent="0.25">
      <c r="J1064" s="5" t="str">
        <f>IFERROR(VLOOKUP(I1064,[1]INFO_LOCALES!$B:$C,2,FALSE),"")</f>
        <v/>
      </c>
      <c r="K1064" s="5" t="str">
        <f>IFERROR(VLOOKUP(Tabla2[[#This Row],[TIENDA]],[1]INFO_LOCALES!$B:$D,3,FALSE),"")</f>
        <v/>
      </c>
      <c r="L1064" s="5" t="str">
        <f>IFERROR(VLOOKUP(I1064,[1]INFO_LOCALES!$B:$I,8,FALSE),"")</f>
        <v/>
      </c>
      <c r="M1064" s="5" t="str">
        <f>IFERROR(VLOOKUP(I1064,[1]INFO_LOCALES!$B:$H,7,FALSE),"")</f>
        <v/>
      </c>
      <c r="N1064" s="5" t="str">
        <f>IFERROR(VLOOKUP(I1064,[1]INFO_LOCALES!$B:$E,4,FALSE),"")</f>
        <v/>
      </c>
      <c r="O1064" s="5" t="e">
        <f>VLOOKUP(Tabla2[[#This Row],[TIENDA]],[1]INFO_LOCALES!$B:$J,9,0)</f>
        <v>#N/A</v>
      </c>
      <c r="P1064" s="5" t="str">
        <f>IFERROR(VLOOKUP(I1064,[1]INFO_LOCALES!$B:$F,5,FALSE),"")</f>
        <v/>
      </c>
      <c r="S1064" s="6"/>
      <c r="T1064" s="5" t="str">
        <f>UPPER(IF(Tabla2[[#This Row],[FECHA DE MUESTREO ]]=0,"",TEXT(Tabla2[[#This Row],[FECHA DE MUESTREO ]],("MMMM"))))</f>
        <v/>
      </c>
      <c r="U1064" s="6"/>
      <c r="W10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4" s="7">
        <f t="shared" si="37"/>
        <v>1</v>
      </c>
    </row>
    <row r="1065" spans="10:24" x14ac:dyDescent="0.25">
      <c r="J1065" s="5" t="str">
        <f>IFERROR(VLOOKUP(I1065,[1]INFO_LOCALES!$B:$C,2,FALSE),"")</f>
        <v/>
      </c>
      <c r="K1065" s="5" t="str">
        <f>IFERROR(VLOOKUP(Tabla2[[#This Row],[TIENDA]],[1]INFO_LOCALES!$B:$D,3,FALSE),"")</f>
        <v/>
      </c>
      <c r="L1065" s="5" t="str">
        <f>IFERROR(VLOOKUP(I1065,[1]INFO_LOCALES!$B:$I,8,FALSE),"")</f>
        <v/>
      </c>
      <c r="M1065" s="5" t="str">
        <f>IFERROR(VLOOKUP(I1065,[1]INFO_LOCALES!$B:$H,7,FALSE),"")</f>
        <v/>
      </c>
      <c r="N1065" s="5" t="str">
        <f>IFERROR(VLOOKUP(I1065,[1]INFO_LOCALES!$B:$E,4,FALSE),"")</f>
        <v/>
      </c>
      <c r="O1065" s="5" t="e">
        <f>VLOOKUP(Tabla2[[#This Row],[TIENDA]],[1]INFO_LOCALES!$B:$J,9,0)</f>
        <v>#N/A</v>
      </c>
      <c r="P1065" s="5" t="str">
        <f>IFERROR(VLOOKUP(I1065,[1]INFO_LOCALES!$B:$F,5,FALSE),"")</f>
        <v/>
      </c>
      <c r="S1065" s="6"/>
      <c r="T1065" s="5" t="str">
        <f>UPPER(IF(Tabla2[[#This Row],[FECHA DE MUESTREO ]]=0,"",TEXT(Tabla2[[#This Row],[FECHA DE MUESTREO ]],("MMMM"))))</f>
        <v/>
      </c>
      <c r="U1065" s="6"/>
      <c r="W10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5" s="7">
        <f t="shared" si="37"/>
        <v>1</v>
      </c>
    </row>
    <row r="1066" spans="10:24" x14ac:dyDescent="0.25">
      <c r="J1066" s="5" t="str">
        <f>IFERROR(VLOOKUP(I1066,[1]INFO_LOCALES!$B:$C,2,FALSE),"")</f>
        <v/>
      </c>
      <c r="K1066" s="5" t="str">
        <f>IFERROR(VLOOKUP(Tabla2[[#This Row],[TIENDA]],[1]INFO_LOCALES!$B:$D,3,FALSE),"")</f>
        <v/>
      </c>
      <c r="L1066" s="5" t="str">
        <f>IFERROR(VLOOKUP(I1066,[1]INFO_LOCALES!$B:$I,8,FALSE),"")</f>
        <v/>
      </c>
      <c r="M1066" s="5" t="str">
        <f>IFERROR(VLOOKUP(I1066,[1]INFO_LOCALES!$B:$H,7,FALSE),"")</f>
        <v/>
      </c>
      <c r="N1066" s="5" t="str">
        <f>IFERROR(VLOOKUP(I1066,[1]INFO_LOCALES!$B:$E,4,FALSE),"")</f>
        <v/>
      </c>
      <c r="O1066" s="5" t="e">
        <f>VLOOKUP(Tabla2[[#This Row],[TIENDA]],[1]INFO_LOCALES!$B:$J,9,0)</f>
        <v>#N/A</v>
      </c>
      <c r="P1066" s="5" t="str">
        <f>IFERROR(VLOOKUP(I1066,[1]INFO_LOCALES!$B:$F,5,FALSE),"")</f>
        <v/>
      </c>
      <c r="S1066" s="6"/>
      <c r="T1066" s="5" t="str">
        <f>UPPER(IF(Tabla2[[#This Row],[FECHA DE MUESTREO ]]=0,"",TEXT(Tabla2[[#This Row],[FECHA DE MUESTREO ]],("MMMM"))))</f>
        <v/>
      </c>
      <c r="U1066" s="6"/>
      <c r="W10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6" s="7">
        <f t="shared" si="37"/>
        <v>1</v>
      </c>
    </row>
    <row r="1067" spans="10:24" x14ac:dyDescent="0.25">
      <c r="J1067" s="5" t="str">
        <f>IFERROR(VLOOKUP(I1067,[1]INFO_LOCALES!$B:$C,2,FALSE),"")</f>
        <v/>
      </c>
      <c r="K1067" s="5" t="str">
        <f>IFERROR(VLOOKUP(Tabla2[[#This Row],[TIENDA]],[1]INFO_LOCALES!$B:$D,3,FALSE),"")</f>
        <v/>
      </c>
      <c r="L1067" s="5" t="str">
        <f>IFERROR(VLOOKUP(I1067,[1]INFO_LOCALES!$B:$I,8,FALSE),"")</f>
        <v/>
      </c>
      <c r="M1067" s="5" t="str">
        <f>IFERROR(VLOOKUP(I1067,[1]INFO_LOCALES!$B:$H,7,FALSE),"")</f>
        <v/>
      </c>
      <c r="N1067" s="5" t="str">
        <f>IFERROR(VLOOKUP(I1067,[1]INFO_LOCALES!$B:$E,4,FALSE),"")</f>
        <v/>
      </c>
      <c r="O1067" s="5" t="e">
        <f>VLOOKUP(Tabla2[[#This Row],[TIENDA]],[1]INFO_LOCALES!$B:$J,9,0)</f>
        <v>#N/A</v>
      </c>
      <c r="P1067" s="5" t="str">
        <f>IFERROR(VLOOKUP(I1067,[1]INFO_LOCALES!$B:$F,5,FALSE),"")</f>
        <v/>
      </c>
      <c r="S1067" s="6"/>
      <c r="T1067" s="5" t="str">
        <f>UPPER(IF(Tabla2[[#This Row],[FECHA DE MUESTREO ]]=0,"",TEXT(Tabla2[[#This Row],[FECHA DE MUESTREO ]],("MMMM"))))</f>
        <v/>
      </c>
      <c r="U1067" s="6"/>
      <c r="W10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7" s="7">
        <f t="shared" si="37"/>
        <v>1</v>
      </c>
    </row>
    <row r="1068" spans="10:24" x14ac:dyDescent="0.25">
      <c r="J1068" s="5" t="str">
        <f>IFERROR(VLOOKUP(I1068,[1]INFO_LOCALES!$B:$C,2,FALSE),"")</f>
        <v/>
      </c>
      <c r="K1068" s="5" t="str">
        <f>IFERROR(VLOOKUP(Tabla2[[#This Row],[TIENDA]],[1]INFO_LOCALES!$B:$D,3,FALSE),"")</f>
        <v/>
      </c>
      <c r="L1068" s="5" t="str">
        <f>IFERROR(VLOOKUP(I1068,[1]INFO_LOCALES!$B:$I,8,FALSE),"")</f>
        <v/>
      </c>
      <c r="M1068" s="5" t="str">
        <f>IFERROR(VLOOKUP(I1068,[1]INFO_LOCALES!$B:$H,7,FALSE),"")</f>
        <v/>
      </c>
      <c r="N1068" s="5" t="str">
        <f>IFERROR(VLOOKUP(I1068,[1]INFO_LOCALES!$B:$E,4,FALSE),"")</f>
        <v/>
      </c>
      <c r="O1068" s="5" t="e">
        <f>VLOOKUP(Tabla2[[#This Row],[TIENDA]],[1]INFO_LOCALES!$B:$J,9,0)</f>
        <v>#N/A</v>
      </c>
      <c r="P1068" s="5" t="str">
        <f>IFERROR(VLOOKUP(I1068,[1]INFO_LOCALES!$B:$F,5,FALSE),"")</f>
        <v/>
      </c>
      <c r="S1068" s="6"/>
      <c r="T1068" s="5" t="str">
        <f>UPPER(IF(Tabla2[[#This Row],[FECHA DE MUESTREO ]]=0,"",TEXT(Tabla2[[#This Row],[FECHA DE MUESTREO ]],("MMMM"))))</f>
        <v/>
      </c>
      <c r="U1068" s="6"/>
      <c r="W10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8" s="7">
        <f t="shared" si="37"/>
        <v>1</v>
      </c>
    </row>
    <row r="1069" spans="10:24" x14ac:dyDescent="0.25">
      <c r="J1069" s="5" t="str">
        <f>IFERROR(VLOOKUP(I1069,[1]INFO_LOCALES!$B:$C,2,FALSE),"")</f>
        <v/>
      </c>
      <c r="K1069" s="5" t="str">
        <f>IFERROR(VLOOKUP(Tabla2[[#This Row],[TIENDA]],[1]INFO_LOCALES!$B:$D,3,FALSE),"")</f>
        <v/>
      </c>
      <c r="L1069" s="5" t="str">
        <f>IFERROR(VLOOKUP(I1069,[1]INFO_LOCALES!$B:$I,8,FALSE),"")</f>
        <v/>
      </c>
      <c r="M1069" s="5" t="str">
        <f>IFERROR(VLOOKUP(I1069,[1]INFO_LOCALES!$B:$H,7,FALSE),"")</f>
        <v/>
      </c>
      <c r="N1069" s="5" t="str">
        <f>IFERROR(VLOOKUP(I1069,[1]INFO_LOCALES!$B:$E,4,FALSE),"")</f>
        <v/>
      </c>
      <c r="O1069" s="5" t="e">
        <f>VLOOKUP(Tabla2[[#This Row],[TIENDA]],[1]INFO_LOCALES!$B:$J,9,0)</f>
        <v>#N/A</v>
      </c>
      <c r="P1069" s="5" t="str">
        <f>IFERROR(VLOOKUP(I1069,[1]INFO_LOCALES!$B:$F,5,FALSE),"")</f>
        <v/>
      </c>
      <c r="S1069" s="6"/>
      <c r="T1069" s="5" t="str">
        <f>UPPER(IF(Tabla2[[#This Row],[FECHA DE MUESTREO ]]=0,"",TEXT(Tabla2[[#This Row],[FECHA DE MUESTREO ]],("MMMM"))))</f>
        <v/>
      </c>
      <c r="U1069" s="6"/>
      <c r="W10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69" s="7">
        <f t="shared" si="37"/>
        <v>1</v>
      </c>
    </row>
    <row r="1070" spans="10:24" x14ac:dyDescent="0.25">
      <c r="J1070" s="5" t="str">
        <f>IFERROR(VLOOKUP(I1070,[1]INFO_LOCALES!$B:$C,2,FALSE),"")</f>
        <v/>
      </c>
      <c r="K1070" s="5" t="str">
        <f>IFERROR(VLOOKUP(Tabla2[[#This Row],[TIENDA]],[1]INFO_LOCALES!$B:$D,3,FALSE),"")</f>
        <v/>
      </c>
      <c r="L1070" s="5" t="str">
        <f>IFERROR(VLOOKUP(I1070,[1]INFO_LOCALES!$B:$I,8,FALSE),"")</f>
        <v/>
      </c>
      <c r="M1070" s="5" t="str">
        <f>IFERROR(VLOOKUP(I1070,[1]INFO_LOCALES!$B:$H,7,FALSE),"")</f>
        <v/>
      </c>
      <c r="N1070" s="5" t="str">
        <f>IFERROR(VLOOKUP(I1070,[1]INFO_LOCALES!$B:$E,4,FALSE),"")</f>
        <v/>
      </c>
      <c r="O1070" s="5" t="e">
        <f>VLOOKUP(Tabla2[[#This Row],[TIENDA]],[1]INFO_LOCALES!$B:$J,9,0)</f>
        <v>#N/A</v>
      </c>
      <c r="P1070" s="5" t="str">
        <f>IFERROR(VLOOKUP(I1070,[1]INFO_LOCALES!$B:$F,5,FALSE),"")</f>
        <v/>
      </c>
      <c r="S1070" s="6"/>
      <c r="T1070" s="5" t="str">
        <f>UPPER(IF(Tabla2[[#This Row],[FECHA DE MUESTREO ]]=0,"",TEXT(Tabla2[[#This Row],[FECHA DE MUESTREO ]],("MMMM"))))</f>
        <v/>
      </c>
      <c r="U1070" s="6"/>
      <c r="W10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0" s="7">
        <f t="shared" si="37"/>
        <v>1</v>
      </c>
    </row>
    <row r="1071" spans="10:24" x14ac:dyDescent="0.25">
      <c r="J1071" s="5" t="str">
        <f>IFERROR(VLOOKUP(I1071,[1]INFO_LOCALES!$B:$C,2,FALSE),"")</f>
        <v/>
      </c>
      <c r="K1071" s="5" t="str">
        <f>IFERROR(VLOOKUP(Tabla2[[#This Row],[TIENDA]],[1]INFO_LOCALES!$B:$D,3,FALSE),"")</f>
        <v/>
      </c>
      <c r="L1071" s="5" t="str">
        <f>IFERROR(VLOOKUP(I1071,[1]INFO_LOCALES!$B:$I,8,FALSE),"")</f>
        <v/>
      </c>
      <c r="M1071" s="5" t="str">
        <f>IFERROR(VLOOKUP(I1071,[1]INFO_LOCALES!$B:$H,7,FALSE),"")</f>
        <v/>
      </c>
      <c r="N1071" s="5" t="str">
        <f>IFERROR(VLOOKUP(I1071,[1]INFO_LOCALES!$B:$E,4,FALSE),"")</f>
        <v/>
      </c>
      <c r="O1071" s="5" t="e">
        <f>VLOOKUP(Tabla2[[#This Row],[TIENDA]],[1]INFO_LOCALES!$B:$J,9,0)</f>
        <v>#N/A</v>
      </c>
      <c r="P1071" s="5" t="str">
        <f>IFERROR(VLOOKUP(I1071,[1]INFO_LOCALES!$B:$F,5,FALSE),"")</f>
        <v/>
      </c>
      <c r="S1071" s="6"/>
      <c r="T1071" s="5" t="str">
        <f>UPPER(IF(Tabla2[[#This Row],[FECHA DE MUESTREO ]]=0,"",TEXT(Tabla2[[#This Row],[FECHA DE MUESTREO ]],("MMMM"))))</f>
        <v/>
      </c>
      <c r="U1071" s="6"/>
      <c r="W10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1" s="7">
        <f t="shared" si="37"/>
        <v>1</v>
      </c>
    </row>
    <row r="1072" spans="10:24" x14ac:dyDescent="0.25">
      <c r="J1072" s="5" t="str">
        <f>IFERROR(VLOOKUP(I1072,[1]INFO_LOCALES!$B:$C,2,FALSE),"")</f>
        <v/>
      </c>
      <c r="K1072" s="5" t="str">
        <f>IFERROR(VLOOKUP(Tabla2[[#This Row],[TIENDA]],[1]INFO_LOCALES!$B:$D,3,FALSE),"")</f>
        <v/>
      </c>
      <c r="L1072" s="5" t="str">
        <f>IFERROR(VLOOKUP(I1072,[1]INFO_LOCALES!$B:$I,8,FALSE),"")</f>
        <v/>
      </c>
      <c r="M1072" s="5" t="str">
        <f>IFERROR(VLOOKUP(I1072,[1]INFO_LOCALES!$B:$H,7,FALSE),"")</f>
        <v/>
      </c>
      <c r="N1072" s="5" t="str">
        <f>IFERROR(VLOOKUP(I1072,[1]INFO_LOCALES!$B:$E,4,FALSE),"")</f>
        <v/>
      </c>
      <c r="O1072" s="5" t="e">
        <f>VLOOKUP(Tabla2[[#This Row],[TIENDA]],[1]INFO_LOCALES!$B:$J,9,0)</f>
        <v>#N/A</v>
      </c>
      <c r="P1072" s="5" t="str">
        <f>IFERROR(VLOOKUP(I1072,[1]INFO_LOCALES!$B:$F,5,FALSE),"")</f>
        <v/>
      </c>
      <c r="S1072" s="6"/>
      <c r="T1072" s="5" t="str">
        <f>UPPER(IF(Tabla2[[#This Row],[FECHA DE MUESTREO ]]=0,"",TEXT(Tabla2[[#This Row],[FECHA DE MUESTREO ]],("MMMM"))))</f>
        <v/>
      </c>
      <c r="U1072" s="6"/>
      <c r="W10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2" s="7">
        <f t="shared" si="37"/>
        <v>1</v>
      </c>
    </row>
    <row r="1073" spans="10:24" x14ac:dyDescent="0.25">
      <c r="J1073" s="5" t="str">
        <f>IFERROR(VLOOKUP(I1073,[1]INFO_LOCALES!$B:$C,2,FALSE),"")</f>
        <v/>
      </c>
      <c r="K1073" s="5" t="str">
        <f>IFERROR(VLOOKUP(Tabla2[[#This Row],[TIENDA]],[1]INFO_LOCALES!$B:$D,3,FALSE),"")</f>
        <v/>
      </c>
      <c r="L1073" s="5" t="str">
        <f>IFERROR(VLOOKUP(I1073,[1]INFO_LOCALES!$B:$I,8,FALSE),"")</f>
        <v/>
      </c>
      <c r="M1073" s="5" t="str">
        <f>IFERROR(VLOOKUP(I1073,[1]INFO_LOCALES!$B:$H,7,FALSE),"")</f>
        <v/>
      </c>
      <c r="N1073" s="5" t="str">
        <f>IFERROR(VLOOKUP(I1073,[1]INFO_LOCALES!$B:$E,4,FALSE),"")</f>
        <v/>
      </c>
      <c r="O1073" s="5" t="e">
        <f>VLOOKUP(Tabla2[[#This Row],[TIENDA]],[1]INFO_LOCALES!$B:$J,9,0)</f>
        <v>#N/A</v>
      </c>
      <c r="P1073" s="5" t="str">
        <f>IFERROR(VLOOKUP(I1073,[1]INFO_LOCALES!$B:$F,5,FALSE),"")</f>
        <v/>
      </c>
      <c r="S1073" s="6"/>
      <c r="T1073" s="5" t="str">
        <f>UPPER(IF(Tabla2[[#This Row],[FECHA DE MUESTREO ]]=0,"",TEXT(Tabla2[[#This Row],[FECHA DE MUESTREO ]],("MMMM"))))</f>
        <v/>
      </c>
      <c r="U1073" s="6"/>
      <c r="W10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3" s="7">
        <f t="shared" si="37"/>
        <v>1</v>
      </c>
    </row>
    <row r="1074" spans="10:24" x14ac:dyDescent="0.25">
      <c r="J1074" s="5" t="str">
        <f>IFERROR(VLOOKUP(I1074,[1]INFO_LOCALES!$B:$C,2,FALSE),"")</f>
        <v/>
      </c>
      <c r="K1074" s="5" t="str">
        <f>IFERROR(VLOOKUP(Tabla2[[#This Row],[TIENDA]],[1]INFO_LOCALES!$B:$D,3,FALSE),"")</f>
        <v/>
      </c>
      <c r="L1074" s="5" t="str">
        <f>IFERROR(VLOOKUP(I1074,[1]INFO_LOCALES!$B:$I,8,FALSE),"")</f>
        <v/>
      </c>
      <c r="M1074" s="5" t="str">
        <f>IFERROR(VLOOKUP(I1074,[1]INFO_LOCALES!$B:$H,7,FALSE),"")</f>
        <v/>
      </c>
      <c r="N1074" s="5" t="str">
        <f>IFERROR(VLOOKUP(I1074,[1]INFO_LOCALES!$B:$E,4,FALSE),"")</f>
        <v/>
      </c>
      <c r="O1074" s="5" t="e">
        <f>VLOOKUP(Tabla2[[#This Row],[TIENDA]],[1]INFO_LOCALES!$B:$J,9,0)</f>
        <v>#N/A</v>
      </c>
      <c r="P1074" s="5" t="str">
        <f>IFERROR(VLOOKUP(I1074,[1]INFO_LOCALES!$B:$F,5,FALSE),"")</f>
        <v/>
      </c>
      <c r="S1074" s="6"/>
      <c r="T1074" s="5" t="str">
        <f>UPPER(IF(Tabla2[[#This Row],[FECHA DE MUESTREO ]]=0,"",TEXT(Tabla2[[#This Row],[FECHA DE MUESTREO ]],("MMMM"))))</f>
        <v/>
      </c>
      <c r="U1074" s="6"/>
      <c r="W10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4" s="7">
        <f t="shared" si="37"/>
        <v>1</v>
      </c>
    </row>
    <row r="1075" spans="10:24" x14ac:dyDescent="0.25">
      <c r="J1075" s="5" t="str">
        <f>IFERROR(VLOOKUP(I1075,[1]INFO_LOCALES!$B:$C,2,FALSE),"")</f>
        <v/>
      </c>
      <c r="K1075" s="5" t="str">
        <f>IFERROR(VLOOKUP(Tabla2[[#This Row],[TIENDA]],[1]INFO_LOCALES!$B:$D,3,FALSE),"")</f>
        <v/>
      </c>
      <c r="L1075" s="5" t="str">
        <f>IFERROR(VLOOKUP(I1075,[1]INFO_LOCALES!$B:$I,8,FALSE),"")</f>
        <v/>
      </c>
      <c r="M1075" s="5" t="str">
        <f>IFERROR(VLOOKUP(I1075,[1]INFO_LOCALES!$B:$H,7,FALSE),"")</f>
        <v/>
      </c>
      <c r="N1075" s="5" t="str">
        <f>IFERROR(VLOOKUP(I1075,[1]INFO_LOCALES!$B:$E,4,FALSE),"")</f>
        <v/>
      </c>
      <c r="O1075" s="5" t="e">
        <f>VLOOKUP(Tabla2[[#This Row],[TIENDA]],[1]INFO_LOCALES!$B:$J,9,0)</f>
        <v>#N/A</v>
      </c>
      <c r="P1075" s="5" t="str">
        <f>IFERROR(VLOOKUP(I1075,[1]INFO_LOCALES!$B:$F,5,FALSE),"")</f>
        <v/>
      </c>
      <c r="S1075" s="6"/>
      <c r="T1075" s="5" t="str">
        <f>UPPER(IF(Tabla2[[#This Row],[FECHA DE MUESTREO ]]=0,"",TEXT(Tabla2[[#This Row],[FECHA DE MUESTREO ]],("MMMM"))))</f>
        <v/>
      </c>
      <c r="U1075" s="6"/>
      <c r="W10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5" s="7">
        <f t="shared" si="37"/>
        <v>1</v>
      </c>
    </row>
    <row r="1076" spans="10:24" x14ac:dyDescent="0.25">
      <c r="J1076" s="5" t="str">
        <f>IFERROR(VLOOKUP(I1076,[1]INFO_LOCALES!$B:$C,2,FALSE),"")</f>
        <v/>
      </c>
      <c r="K1076" s="5" t="str">
        <f>IFERROR(VLOOKUP(Tabla2[[#This Row],[TIENDA]],[1]INFO_LOCALES!$B:$D,3,FALSE),"")</f>
        <v/>
      </c>
      <c r="L1076" s="5" t="str">
        <f>IFERROR(VLOOKUP(I1076,[1]INFO_LOCALES!$B:$I,8,FALSE),"")</f>
        <v/>
      </c>
      <c r="M1076" s="5" t="str">
        <f>IFERROR(VLOOKUP(I1076,[1]INFO_LOCALES!$B:$H,7,FALSE),"")</f>
        <v/>
      </c>
      <c r="N1076" s="5" t="str">
        <f>IFERROR(VLOOKUP(I1076,[1]INFO_LOCALES!$B:$E,4,FALSE),"")</f>
        <v/>
      </c>
      <c r="O1076" s="5" t="e">
        <f>VLOOKUP(Tabla2[[#This Row],[TIENDA]],[1]INFO_LOCALES!$B:$J,9,0)</f>
        <v>#N/A</v>
      </c>
      <c r="P1076" s="5" t="str">
        <f>IFERROR(VLOOKUP(I1076,[1]INFO_LOCALES!$B:$F,5,FALSE),"")</f>
        <v/>
      </c>
      <c r="S1076" s="6"/>
      <c r="T1076" s="5" t="str">
        <f>UPPER(IF(Tabla2[[#This Row],[FECHA DE MUESTREO ]]=0,"",TEXT(Tabla2[[#This Row],[FECHA DE MUESTREO ]],("MMMM"))))</f>
        <v/>
      </c>
      <c r="U1076" s="6"/>
      <c r="W10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6" s="7">
        <f t="shared" si="37"/>
        <v>1</v>
      </c>
    </row>
    <row r="1077" spans="10:24" x14ac:dyDescent="0.25">
      <c r="J1077" s="5" t="str">
        <f>IFERROR(VLOOKUP(I1077,[1]INFO_LOCALES!$B:$C,2,FALSE),"")</f>
        <v/>
      </c>
      <c r="K1077" s="5" t="str">
        <f>IFERROR(VLOOKUP(Tabla2[[#This Row],[TIENDA]],[1]INFO_LOCALES!$B:$D,3,FALSE),"")</f>
        <v/>
      </c>
      <c r="L1077" s="5" t="str">
        <f>IFERROR(VLOOKUP(I1077,[1]INFO_LOCALES!$B:$I,8,FALSE),"")</f>
        <v/>
      </c>
      <c r="M1077" s="5" t="str">
        <f>IFERROR(VLOOKUP(I1077,[1]INFO_LOCALES!$B:$H,7,FALSE),"")</f>
        <v/>
      </c>
      <c r="N1077" s="5" t="str">
        <f>IFERROR(VLOOKUP(I1077,[1]INFO_LOCALES!$B:$E,4,FALSE),"")</f>
        <v/>
      </c>
      <c r="O1077" s="5" t="e">
        <f>VLOOKUP(Tabla2[[#This Row],[TIENDA]],[1]INFO_LOCALES!$B:$J,9,0)</f>
        <v>#N/A</v>
      </c>
      <c r="P1077" s="5" t="str">
        <f>IFERROR(VLOOKUP(I1077,[1]INFO_LOCALES!$B:$F,5,FALSE),"")</f>
        <v/>
      </c>
      <c r="S1077" s="6"/>
      <c r="T1077" s="5" t="str">
        <f>UPPER(IF(Tabla2[[#This Row],[FECHA DE MUESTREO ]]=0,"",TEXT(Tabla2[[#This Row],[FECHA DE MUESTREO ]],("MMMM"))))</f>
        <v/>
      </c>
      <c r="U1077" s="6"/>
      <c r="W10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7" s="7">
        <f t="shared" si="37"/>
        <v>1</v>
      </c>
    </row>
    <row r="1078" spans="10:24" x14ac:dyDescent="0.25">
      <c r="J1078" s="5" t="str">
        <f>IFERROR(VLOOKUP(I1078,[1]INFO_LOCALES!$B:$C,2,FALSE),"")</f>
        <v/>
      </c>
      <c r="K1078" s="5" t="str">
        <f>IFERROR(VLOOKUP(Tabla2[[#This Row],[TIENDA]],[1]INFO_LOCALES!$B:$D,3,FALSE),"")</f>
        <v/>
      </c>
      <c r="L1078" s="5" t="str">
        <f>IFERROR(VLOOKUP(I1078,[1]INFO_LOCALES!$B:$I,8,FALSE),"")</f>
        <v/>
      </c>
      <c r="M1078" s="5" t="str">
        <f>IFERROR(VLOOKUP(I1078,[1]INFO_LOCALES!$B:$H,7,FALSE),"")</f>
        <v/>
      </c>
      <c r="N1078" s="5" t="str">
        <f>IFERROR(VLOOKUP(I1078,[1]INFO_LOCALES!$B:$E,4,FALSE),"")</f>
        <v/>
      </c>
      <c r="O1078" s="5" t="e">
        <f>VLOOKUP(Tabla2[[#This Row],[TIENDA]],[1]INFO_LOCALES!$B:$J,9,0)</f>
        <v>#N/A</v>
      </c>
      <c r="P1078" s="5" t="str">
        <f>IFERROR(VLOOKUP(I1078,[1]INFO_LOCALES!$B:$F,5,FALSE),"")</f>
        <v/>
      </c>
      <c r="S1078" s="6"/>
      <c r="T1078" s="5" t="str">
        <f>UPPER(IF(Tabla2[[#This Row],[FECHA DE MUESTREO ]]=0,"",TEXT(Tabla2[[#This Row],[FECHA DE MUESTREO ]],("MMMM"))))</f>
        <v/>
      </c>
      <c r="U1078" s="6"/>
      <c r="W10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8" s="7">
        <f t="shared" si="37"/>
        <v>1</v>
      </c>
    </row>
    <row r="1079" spans="10:24" x14ac:dyDescent="0.25">
      <c r="J1079" s="5" t="str">
        <f>IFERROR(VLOOKUP(I1079,[1]INFO_LOCALES!$B:$C,2,FALSE),"")</f>
        <v/>
      </c>
      <c r="K1079" s="5" t="str">
        <f>IFERROR(VLOOKUP(Tabla2[[#This Row],[TIENDA]],[1]INFO_LOCALES!$B:$D,3,FALSE),"")</f>
        <v/>
      </c>
      <c r="L1079" s="5" t="str">
        <f>IFERROR(VLOOKUP(I1079,[1]INFO_LOCALES!$B:$I,8,FALSE),"")</f>
        <v/>
      </c>
      <c r="M1079" s="5" t="str">
        <f>IFERROR(VLOOKUP(I1079,[1]INFO_LOCALES!$B:$H,7,FALSE),"")</f>
        <v/>
      </c>
      <c r="N1079" s="5" t="str">
        <f>IFERROR(VLOOKUP(I1079,[1]INFO_LOCALES!$B:$E,4,FALSE),"")</f>
        <v/>
      </c>
      <c r="O1079" s="5" t="e">
        <f>VLOOKUP(Tabla2[[#This Row],[TIENDA]],[1]INFO_LOCALES!$B:$J,9,0)</f>
        <v>#N/A</v>
      </c>
      <c r="P1079" s="5" t="str">
        <f>IFERROR(VLOOKUP(I1079,[1]INFO_LOCALES!$B:$F,5,FALSE),"")</f>
        <v/>
      </c>
      <c r="S1079" s="6"/>
      <c r="T1079" s="5" t="str">
        <f>UPPER(IF(Tabla2[[#This Row],[FECHA DE MUESTREO ]]=0,"",TEXT(Tabla2[[#This Row],[FECHA DE MUESTREO ]],("MMMM"))))</f>
        <v/>
      </c>
      <c r="U1079" s="6"/>
      <c r="W10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79" s="7">
        <f t="shared" si="37"/>
        <v>1</v>
      </c>
    </row>
    <row r="1080" spans="10:24" x14ac:dyDescent="0.25">
      <c r="J1080" s="5" t="str">
        <f>IFERROR(VLOOKUP(I1080,[1]INFO_LOCALES!$B:$C,2,FALSE),"")</f>
        <v/>
      </c>
      <c r="K1080" s="5" t="str">
        <f>IFERROR(VLOOKUP(Tabla2[[#This Row],[TIENDA]],[1]INFO_LOCALES!$B:$D,3,FALSE),"")</f>
        <v/>
      </c>
      <c r="L1080" s="5" t="str">
        <f>IFERROR(VLOOKUP(I1080,[1]INFO_LOCALES!$B:$I,8,FALSE),"")</f>
        <v/>
      </c>
      <c r="M1080" s="5" t="str">
        <f>IFERROR(VLOOKUP(I1080,[1]INFO_LOCALES!$B:$H,7,FALSE),"")</f>
        <v/>
      </c>
      <c r="N1080" s="5" t="str">
        <f>IFERROR(VLOOKUP(I1080,[1]INFO_LOCALES!$B:$E,4,FALSE),"")</f>
        <v/>
      </c>
      <c r="O1080" s="5" t="e">
        <f>VLOOKUP(Tabla2[[#This Row],[TIENDA]],[1]INFO_LOCALES!$B:$J,9,0)</f>
        <v>#N/A</v>
      </c>
      <c r="P1080" s="5" t="str">
        <f>IFERROR(VLOOKUP(I1080,[1]INFO_LOCALES!$B:$F,5,FALSE),"")</f>
        <v/>
      </c>
      <c r="S1080" s="6"/>
      <c r="T1080" s="5" t="str">
        <f>UPPER(IF(Tabla2[[#This Row],[FECHA DE MUESTREO ]]=0,"",TEXT(Tabla2[[#This Row],[FECHA DE MUESTREO ]],("MMMM"))))</f>
        <v/>
      </c>
      <c r="U1080" s="6"/>
      <c r="W10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0" s="7">
        <f t="shared" si="37"/>
        <v>1</v>
      </c>
    </row>
    <row r="1081" spans="10:24" x14ac:dyDescent="0.25">
      <c r="J1081" s="5" t="str">
        <f>IFERROR(VLOOKUP(I1081,[1]INFO_LOCALES!$B:$C,2,FALSE),"")</f>
        <v/>
      </c>
      <c r="K1081" s="5" t="str">
        <f>IFERROR(VLOOKUP(Tabla2[[#This Row],[TIENDA]],[1]INFO_LOCALES!$B:$D,3,FALSE),"")</f>
        <v/>
      </c>
      <c r="L1081" s="5" t="str">
        <f>IFERROR(VLOOKUP(I1081,[1]INFO_LOCALES!$B:$I,8,FALSE),"")</f>
        <v/>
      </c>
      <c r="M1081" s="5" t="str">
        <f>IFERROR(VLOOKUP(I1081,[1]INFO_LOCALES!$B:$H,7,FALSE),"")</f>
        <v/>
      </c>
      <c r="N1081" s="5" t="str">
        <f>IFERROR(VLOOKUP(I1081,[1]INFO_LOCALES!$B:$E,4,FALSE),"")</f>
        <v/>
      </c>
      <c r="O1081" s="5" t="e">
        <f>VLOOKUP(Tabla2[[#This Row],[TIENDA]],[1]INFO_LOCALES!$B:$J,9,0)</f>
        <v>#N/A</v>
      </c>
      <c r="P1081" s="5" t="str">
        <f>IFERROR(VLOOKUP(I1081,[1]INFO_LOCALES!$B:$F,5,FALSE),"")</f>
        <v/>
      </c>
      <c r="S1081" s="6"/>
      <c r="T1081" s="5" t="str">
        <f>UPPER(IF(Tabla2[[#This Row],[FECHA DE MUESTREO ]]=0,"",TEXT(Tabla2[[#This Row],[FECHA DE MUESTREO ]],("MMMM"))))</f>
        <v/>
      </c>
      <c r="U1081" s="6"/>
      <c r="W10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1" s="7">
        <f t="shared" si="37"/>
        <v>1</v>
      </c>
    </row>
    <row r="1082" spans="10:24" x14ac:dyDescent="0.25">
      <c r="J1082" s="5" t="str">
        <f>IFERROR(VLOOKUP(I1082,[1]INFO_LOCALES!$B:$C,2,FALSE),"")</f>
        <v/>
      </c>
      <c r="K1082" s="5" t="str">
        <f>IFERROR(VLOOKUP(Tabla2[[#This Row],[TIENDA]],[1]INFO_LOCALES!$B:$D,3,FALSE),"")</f>
        <v/>
      </c>
      <c r="L1082" s="5" t="str">
        <f>IFERROR(VLOOKUP(I1082,[1]INFO_LOCALES!$B:$I,8,FALSE),"")</f>
        <v/>
      </c>
      <c r="M1082" s="5" t="str">
        <f>IFERROR(VLOOKUP(I1082,[1]INFO_LOCALES!$B:$H,7,FALSE),"")</f>
        <v/>
      </c>
      <c r="N1082" s="5" t="str">
        <f>IFERROR(VLOOKUP(I1082,[1]INFO_LOCALES!$B:$E,4,FALSE),"")</f>
        <v/>
      </c>
      <c r="O1082" s="5" t="e">
        <f>VLOOKUP(Tabla2[[#This Row],[TIENDA]],[1]INFO_LOCALES!$B:$J,9,0)</f>
        <v>#N/A</v>
      </c>
      <c r="P1082" s="5" t="str">
        <f>IFERROR(VLOOKUP(I1082,[1]INFO_LOCALES!$B:$F,5,FALSE),"")</f>
        <v/>
      </c>
      <c r="S1082" s="6"/>
      <c r="T1082" s="5" t="str">
        <f>UPPER(IF(Tabla2[[#This Row],[FECHA DE MUESTREO ]]=0,"",TEXT(Tabla2[[#This Row],[FECHA DE MUESTREO ]],("MMMM"))))</f>
        <v/>
      </c>
      <c r="U1082" s="6"/>
      <c r="W10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2" s="7">
        <f t="shared" si="37"/>
        <v>1</v>
      </c>
    </row>
    <row r="1083" spans="10:24" x14ac:dyDescent="0.25">
      <c r="J1083" s="5" t="str">
        <f>IFERROR(VLOOKUP(I1083,[1]INFO_LOCALES!$B:$C,2,FALSE),"")</f>
        <v/>
      </c>
      <c r="K1083" s="5" t="str">
        <f>IFERROR(VLOOKUP(Tabla2[[#This Row],[TIENDA]],[1]INFO_LOCALES!$B:$D,3,FALSE),"")</f>
        <v/>
      </c>
      <c r="L1083" s="5" t="str">
        <f>IFERROR(VLOOKUP(I1083,[1]INFO_LOCALES!$B:$I,8,FALSE),"")</f>
        <v/>
      </c>
      <c r="M1083" s="5" t="str">
        <f>IFERROR(VLOOKUP(I1083,[1]INFO_LOCALES!$B:$H,7,FALSE),"")</f>
        <v/>
      </c>
      <c r="N1083" s="5" t="str">
        <f>IFERROR(VLOOKUP(I1083,[1]INFO_LOCALES!$B:$E,4,FALSE),"")</f>
        <v/>
      </c>
      <c r="O1083" s="5" t="e">
        <f>VLOOKUP(Tabla2[[#This Row],[TIENDA]],[1]INFO_LOCALES!$B:$J,9,0)</f>
        <v>#N/A</v>
      </c>
      <c r="P1083" s="5" t="str">
        <f>IFERROR(VLOOKUP(I1083,[1]INFO_LOCALES!$B:$F,5,FALSE),"")</f>
        <v/>
      </c>
      <c r="S1083" s="6"/>
      <c r="T1083" s="5" t="str">
        <f>UPPER(IF(Tabla2[[#This Row],[FECHA DE MUESTREO ]]=0,"",TEXT(Tabla2[[#This Row],[FECHA DE MUESTREO ]],("MMMM"))))</f>
        <v/>
      </c>
      <c r="U1083" s="6"/>
      <c r="W10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3" s="7">
        <f t="shared" si="37"/>
        <v>1</v>
      </c>
    </row>
    <row r="1084" spans="10:24" x14ac:dyDescent="0.25">
      <c r="J1084" s="5" t="str">
        <f>IFERROR(VLOOKUP(I1084,[1]INFO_LOCALES!$B:$C,2,FALSE),"")</f>
        <v/>
      </c>
      <c r="K1084" s="5" t="str">
        <f>IFERROR(VLOOKUP(Tabla2[[#This Row],[TIENDA]],[1]INFO_LOCALES!$B:$D,3,FALSE),"")</f>
        <v/>
      </c>
      <c r="L1084" s="5" t="str">
        <f>IFERROR(VLOOKUP(I1084,[1]INFO_LOCALES!$B:$I,8,FALSE),"")</f>
        <v/>
      </c>
      <c r="M1084" s="5" t="str">
        <f>IFERROR(VLOOKUP(I1084,[1]INFO_LOCALES!$B:$H,7,FALSE),"")</f>
        <v/>
      </c>
      <c r="N1084" s="5" t="str">
        <f>IFERROR(VLOOKUP(I1084,[1]INFO_LOCALES!$B:$E,4,FALSE),"")</f>
        <v/>
      </c>
      <c r="O1084" s="5" t="e">
        <f>VLOOKUP(Tabla2[[#This Row],[TIENDA]],[1]INFO_LOCALES!$B:$J,9,0)</f>
        <v>#N/A</v>
      </c>
      <c r="P1084" s="5" t="str">
        <f>IFERROR(VLOOKUP(I1084,[1]INFO_LOCALES!$B:$F,5,FALSE),"")</f>
        <v/>
      </c>
      <c r="S1084" s="6"/>
      <c r="T1084" s="5" t="str">
        <f>UPPER(IF(Tabla2[[#This Row],[FECHA DE MUESTREO ]]=0,"",TEXT(Tabla2[[#This Row],[FECHA DE MUESTREO ]],("MMMM"))))</f>
        <v/>
      </c>
      <c r="U1084" s="6"/>
      <c r="W10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4" s="7">
        <f t="shared" si="37"/>
        <v>1</v>
      </c>
    </row>
    <row r="1085" spans="10:24" x14ac:dyDescent="0.25">
      <c r="J1085" s="5" t="str">
        <f>IFERROR(VLOOKUP(I1085,[1]INFO_LOCALES!$B:$C,2,FALSE),"")</f>
        <v/>
      </c>
      <c r="K1085" s="5" t="str">
        <f>IFERROR(VLOOKUP(Tabla2[[#This Row],[TIENDA]],[1]INFO_LOCALES!$B:$D,3,FALSE),"")</f>
        <v/>
      </c>
      <c r="L1085" s="5" t="str">
        <f>IFERROR(VLOOKUP(I1085,[1]INFO_LOCALES!$B:$I,8,FALSE),"")</f>
        <v/>
      </c>
      <c r="M1085" s="5" t="str">
        <f>IFERROR(VLOOKUP(I1085,[1]INFO_LOCALES!$B:$H,7,FALSE),"")</f>
        <v/>
      </c>
      <c r="N1085" s="5" t="str">
        <f>IFERROR(VLOOKUP(I1085,[1]INFO_LOCALES!$B:$E,4,FALSE),"")</f>
        <v/>
      </c>
      <c r="O1085" s="5" t="e">
        <f>VLOOKUP(Tabla2[[#This Row],[TIENDA]],[1]INFO_LOCALES!$B:$J,9,0)</f>
        <v>#N/A</v>
      </c>
      <c r="P1085" s="5" t="str">
        <f>IFERROR(VLOOKUP(I1085,[1]INFO_LOCALES!$B:$F,5,FALSE),"")</f>
        <v/>
      </c>
      <c r="S1085" s="6"/>
      <c r="T1085" s="5" t="str">
        <f>UPPER(IF(Tabla2[[#This Row],[FECHA DE MUESTREO ]]=0,"",TEXT(Tabla2[[#This Row],[FECHA DE MUESTREO ]],("MMMM"))))</f>
        <v/>
      </c>
      <c r="U1085" s="6"/>
      <c r="W10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5" s="7">
        <f t="shared" si="37"/>
        <v>1</v>
      </c>
    </row>
    <row r="1086" spans="10:24" x14ac:dyDescent="0.25">
      <c r="J1086" s="5" t="str">
        <f>IFERROR(VLOOKUP(I1086,[1]INFO_LOCALES!$B:$C,2,FALSE),"")</f>
        <v/>
      </c>
      <c r="K1086" s="5" t="str">
        <f>IFERROR(VLOOKUP(Tabla2[[#This Row],[TIENDA]],[1]INFO_LOCALES!$B:$D,3,FALSE),"")</f>
        <v/>
      </c>
      <c r="L1086" s="5" t="str">
        <f>IFERROR(VLOOKUP(I1086,[1]INFO_LOCALES!$B:$I,8,FALSE),"")</f>
        <v/>
      </c>
      <c r="M1086" s="5" t="str">
        <f>IFERROR(VLOOKUP(I1086,[1]INFO_LOCALES!$B:$H,7,FALSE),"")</f>
        <v/>
      </c>
      <c r="N1086" s="5" t="str">
        <f>IFERROR(VLOOKUP(I1086,[1]INFO_LOCALES!$B:$E,4,FALSE),"")</f>
        <v/>
      </c>
      <c r="O1086" s="5" t="e">
        <f>VLOOKUP(Tabla2[[#This Row],[TIENDA]],[1]INFO_LOCALES!$B:$J,9,0)</f>
        <v>#N/A</v>
      </c>
      <c r="P1086" s="5" t="str">
        <f>IFERROR(VLOOKUP(I1086,[1]INFO_LOCALES!$B:$F,5,FALSE),"")</f>
        <v/>
      </c>
      <c r="S1086" s="6"/>
      <c r="T1086" s="5" t="str">
        <f>UPPER(IF(Tabla2[[#This Row],[FECHA DE MUESTREO ]]=0,"",TEXT(Tabla2[[#This Row],[FECHA DE MUESTREO ]],("MMMM"))))</f>
        <v/>
      </c>
      <c r="U1086" s="6"/>
      <c r="W10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6" s="7">
        <f t="shared" si="37"/>
        <v>1</v>
      </c>
    </row>
    <row r="1087" spans="10:24" x14ac:dyDescent="0.25">
      <c r="J1087" s="5" t="str">
        <f>IFERROR(VLOOKUP(I1087,[1]INFO_LOCALES!$B:$C,2,FALSE),"")</f>
        <v/>
      </c>
      <c r="K1087" s="5" t="str">
        <f>IFERROR(VLOOKUP(Tabla2[[#This Row],[TIENDA]],[1]INFO_LOCALES!$B:$D,3,FALSE),"")</f>
        <v/>
      </c>
      <c r="L1087" s="5" t="str">
        <f>IFERROR(VLOOKUP(I1087,[1]INFO_LOCALES!$B:$I,8,FALSE),"")</f>
        <v/>
      </c>
      <c r="M1087" s="5" t="str">
        <f>IFERROR(VLOOKUP(I1087,[1]INFO_LOCALES!$B:$H,7,FALSE),"")</f>
        <v/>
      </c>
      <c r="N1087" s="5" t="str">
        <f>IFERROR(VLOOKUP(I1087,[1]INFO_LOCALES!$B:$E,4,FALSE),"")</f>
        <v/>
      </c>
      <c r="O1087" s="5" t="e">
        <f>VLOOKUP(Tabla2[[#This Row],[TIENDA]],[1]INFO_LOCALES!$B:$J,9,0)</f>
        <v>#N/A</v>
      </c>
      <c r="P1087" s="5" t="str">
        <f>IFERROR(VLOOKUP(I1087,[1]INFO_LOCALES!$B:$F,5,FALSE),"")</f>
        <v/>
      </c>
      <c r="S1087" s="6"/>
      <c r="T1087" s="5" t="str">
        <f>UPPER(IF(Tabla2[[#This Row],[FECHA DE MUESTREO ]]=0,"",TEXT(Tabla2[[#This Row],[FECHA DE MUESTREO ]],("MMMM"))))</f>
        <v/>
      </c>
      <c r="U1087" s="6"/>
      <c r="W10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7" s="7">
        <f t="shared" si="37"/>
        <v>1</v>
      </c>
    </row>
    <row r="1088" spans="10:24" x14ac:dyDescent="0.25">
      <c r="J1088" s="5" t="str">
        <f>IFERROR(VLOOKUP(I1088,[1]INFO_LOCALES!$B:$C,2,FALSE),"")</f>
        <v/>
      </c>
      <c r="K1088" s="5" t="str">
        <f>IFERROR(VLOOKUP(Tabla2[[#This Row],[TIENDA]],[1]INFO_LOCALES!$B:$D,3,FALSE),"")</f>
        <v/>
      </c>
      <c r="L1088" s="5" t="str">
        <f>IFERROR(VLOOKUP(I1088,[1]INFO_LOCALES!$B:$I,8,FALSE),"")</f>
        <v/>
      </c>
      <c r="M1088" s="5" t="str">
        <f>IFERROR(VLOOKUP(I1088,[1]INFO_LOCALES!$B:$H,7,FALSE),"")</f>
        <v/>
      </c>
      <c r="N1088" s="5" t="str">
        <f>IFERROR(VLOOKUP(I1088,[1]INFO_LOCALES!$B:$E,4,FALSE),"")</f>
        <v/>
      </c>
      <c r="O1088" s="5" t="e">
        <f>VLOOKUP(Tabla2[[#This Row],[TIENDA]],[1]INFO_LOCALES!$B:$J,9,0)</f>
        <v>#N/A</v>
      </c>
      <c r="P1088" s="5" t="str">
        <f>IFERROR(VLOOKUP(I1088,[1]INFO_LOCALES!$B:$F,5,FALSE),"")</f>
        <v/>
      </c>
      <c r="S1088" s="6"/>
      <c r="T1088" s="5" t="str">
        <f>UPPER(IF(Tabla2[[#This Row],[FECHA DE MUESTREO ]]=0,"",TEXT(Tabla2[[#This Row],[FECHA DE MUESTREO ]],("MMMM"))))</f>
        <v/>
      </c>
      <c r="U1088" s="6"/>
      <c r="W10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8" s="7">
        <f t="shared" si="37"/>
        <v>1</v>
      </c>
    </row>
    <row r="1089" spans="10:24" x14ac:dyDescent="0.25">
      <c r="J1089" s="5" t="str">
        <f>IFERROR(VLOOKUP(I1089,[1]INFO_LOCALES!$B:$C,2,FALSE),"")</f>
        <v/>
      </c>
      <c r="K1089" s="5" t="str">
        <f>IFERROR(VLOOKUP(Tabla2[[#This Row],[TIENDA]],[1]INFO_LOCALES!$B:$D,3,FALSE),"")</f>
        <v/>
      </c>
      <c r="L1089" s="5" t="str">
        <f>IFERROR(VLOOKUP(I1089,[1]INFO_LOCALES!$B:$I,8,FALSE),"")</f>
        <v/>
      </c>
      <c r="M1089" s="5" t="str">
        <f>IFERROR(VLOOKUP(I1089,[1]INFO_LOCALES!$B:$H,7,FALSE),"")</f>
        <v/>
      </c>
      <c r="N1089" s="5" t="str">
        <f>IFERROR(VLOOKUP(I1089,[1]INFO_LOCALES!$B:$E,4,FALSE),"")</f>
        <v/>
      </c>
      <c r="O1089" s="5" t="e">
        <f>VLOOKUP(Tabla2[[#This Row],[TIENDA]],[1]INFO_LOCALES!$B:$J,9,0)</f>
        <v>#N/A</v>
      </c>
      <c r="P1089" s="5" t="str">
        <f>IFERROR(VLOOKUP(I1089,[1]INFO_LOCALES!$B:$F,5,FALSE),"")</f>
        <v/>
      </c>
      <c r="S1089" s="6"/>
      <c r="T1089" s="5" t="str">
        <f>UPPER(IF(Tabla2[[#This Row],[FECHA DE MUESTREO ]]=0,"",TEXT(Tabla2[[#This Row],[FECHA DE MUESTREO ]],("MMMM"))))</f>
        <v/>
      </c>
      <c r="U1089" s="6"/>
      <c r="W10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89" s="7">
        <f t="shared" si="37"/>
        <v>1</v>
      </c>
    </row>
    <row r="1090" spans="10:24" x14ac:dyDescent="0.25">
      <c r="J1090" s="5" t="str">
        <f>IFERROR(VLOOKUP(I1090,[1]INFO_LOCALES!$B:$C,2,FALSE),"")</f>
        <v/>
      </c>
      <c r="K1090" s="5" t="str">
        <f>IFERROR(VLOOKUP(Tabla2[[#This Row],[TIENDA]],[1]INFO_LOCALES!$B:$D,3,FALSE),"")</f>
        <v/>
      </c>
      <c r="L1090" s="5" t="str">
        <f>IFERROR(VLOOKUP(I1090,[1]INFO_LOCALES!$B:$I,8,FALSE),"")</f>
        <v/>
      </c>
      <c r="M1090" s="5" t="str">
        <f>IFERROR(VLOOKUP(I1090,[1]INFO_LOCALES!$B:$H,7,FALSE),"")</f>
        <v/>
      </c>
      <c r="N1090" s="5" t="str">
        <f>IFERROR(VLOOKUP(I1090,[1]INFO_LOCALES!$B:$E,4,FALSE),"")</f>
        <v/>
      </c>
      <c r="O1090" s="5" t="e">
        <f>VLOOKUP(Tabla2[[#This Row],[TIENDA]],[1]INFO_LOCALES!$B:$J,9,0)</f>
        <v>#N/A</v>
      </c>
      <c r="P1090" s="5" t="str">
        <f>IFERROR(VLOOKUP(I1090,[1]INFO_LOCALES!$B:$F,5,FALSE),"")</f>
        <v/>
      </c>
      <c r="S1090" s="6"/>
      <c r="T1090" s="5" t="str">
        <f>UPPER(IF(Tabla2[[#This Row],[FECHA DE MUESTREO ]]=0,"",TEXT(Tabla2[[#This Row],[FECHA DE MUESTREO ]],("MMMM"))))</f>
        <v/>
      </c>
      <c r="U1090" s="6"/>
      <c r="W10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0" s="7">
        <f t="shared" si="37"/>
        <v>1</v>
      </c>
    </row>
    <row r="1091" spans="10:24" x14ac:dyDescent="0.25">
      <c r="J1091" s="5" t="str">
        <f>IFERROR(VLOOKUP(I1091,[1]INFO_LOCALES!$B:$C,2,FALSE),"")</f>
        <v/>
      </c>
      <c r="K1091" s="5" t="str">
        <f>IFERROR(VLOOKUP(Tabla2[[#This Row],[TIENDA]],[1]INFO_LOCALES!$B:$D,3,FALSE),"")</f>
        <v/>
      </c>
      <c r="L1091" s="5" t="str">
        <f>IFERROR(VLOOKUP(I1091,[1]INFO_LOCALES!$B:$I,8,FALSE),"")</f>
        <v/>
      </c>
      <c r="M1091" s="5" t="str">
        <f>IFERROR(VLOOKUP(I1091,[1]INFO_LOCALES!$B:$H,7,FALSE),"")</f>
        <v/>
      </c>
      <c r="N1091" s="5" t="str">
        <f>IFERROR(VLOOKUP(I1091,[1]INFO_LOCALES!$B:$E,4,FALSE),"")</f>
        <v/>
      </c>
      <c r="O1091" s="5" t="e">
        <f>VLOOKUP(Tabla2[[#This Row],[TIENDA]],[1]INFO_LOCALES!$B:$J,9,0)</f>
        <v>#N/A</v>
      </c>
      <c r="P1091" s="5" t="str">
        <f>IFERROR(VLOOKUP(I1091,[1]INFO_LOCALES!$B:$F,5,FALSE),"")</f>
        <v/>
      </c>
      <c r="S1091" s="6"/>
      <c r="T1091" s="5" t="str">
        <f>UPPER(IF(Tabla2[[#This Row],[FECHA DE MUESTREO ]]=0,"",TEXT(Tabla2[[#This Row],[FECHA DE MUESTREO ]],("MMMM"))))</f>
        <v/>
      </c>
      <c r="U1091" s="6"/>
      <c r="W10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1" s="7">
        <f t="shared" si="37"/>
        <v>1</v>
      </c>
    </row>
    <row r="1092" spans="10:24" x14ac:dyDescent="0.25">
      <c r="J1092" s="5" t="str">
        <f>IFERROR(VLOOKUP(I1092,[1]INFO_LOCALES!$B:$C,2,FALSE),"")</f>
        <v/>
      </c>
      <c r="K1092" s="5" t="str">
        <f>IFERROR(VLOOKUP(Tabla2[[#This Row],[TIENDA]],[1]INFO_LOCALES!$B:$D,3,FALSE),"")</f>
        <v/>
      </c>
      <c r="L1092" s="5" t="str">
        <f>IFERROR(VLOOKUP(I1092,[1]INFO_LOCALES!$B:$I,8,FALSE),"")</f>
        <v/>
      </c>
      <c r="M1092" s="5" t="str">
        <f>IFERROR(VLOOKUP(I1092,[1]INFO_LOCALES!$B:$H,7,FALSE),"")</f>
        <v/>
      </c>
      <c r="N1092" s="5" t="str">
        <f>IFERROR(VLOOKUP(I1092,[1]INFO_LOCALES!$B:$E,4,FALSE),"")</f>
        <v/>
      </c>
      <c r="O1092" s="5" t="e">
        <f>VLOOKUP(Tabla2[[#This Row],[TIENDA]],[1]INFO_LOCALES!$B:$J,9,0)</f>
        <v>#N/A</v>
      </c>
      <c r="P1092" s="5" t="str">
        <f>IFERROR(VLOOKUP(I1092,[1]INFO_LOCALES!$B:$F,5,FALSE),"")</f>
        <v/>
      </c>
      <c r="S1092" s="6"/>
      <c r="T1092" s="5" t="str">
        <f>UPPER(IF(Tabla2[[#This Row],[FECHA DE MUESTREO ]]=0,"",TEXT(Tabla2[[#This Row],[FECHA DE MUESTREO ]],("MMMM"))))</f>
        <v/>
      </c>
      <c r="U1092" s="6"/>
      <c r="W10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2" s="7">
        <f t="shared" si="37"/>
        <v>1</v>
      </c>
    </row>
    <row r="1093" spans="10:24" x14ac:dyDescent="0.25">
      <c r="J1093" s="5" t="str">
        <f>IFERROR(VLOOKUP(I1093,[1]INFO_LOCALES!$B:$C,2,FALSE),"")</f>
        <v/>
      </c>
      <c r="K1093" s="5" t="str">
        <f>IFERROR(VLOOKUP(Tabla2[[#This Row],[TIENDA]],[1]INFO_LOCALES!$B:$D,3,FALSE),"")</f>
        <v/>
      </c>
      <c r="L1093" s="5" t="str">
        <f>IFERROR(VLOOKUP(I1093,[1]INFO_LOCALES!$B:$I,8,FALSE),"")</f>
        <v/>
      </c>
      <c r="M1093" s="5" t="str">
        <f>IFERROR(VLOOKUP(I1093,[1]INFO_LOCALES!$B:$H,7,FALSE),"")</f>
        <v/>
      </c>
      <c r="N1093" s="5" t="str">
        <f>IFERROR(VLOOKUP(I1093,[1]INFO_LOCALES!$B:$E,4,FALSE),"")</f>
        <v/>
      </c>
      <c r="O1093" s="5" t="e">
        <f>VLOOKUP(Tabla2[[#This Row],[TIENDA]],[1]INFO_LOCALES!$B:$J,9,0)</f>
        <v>#N/A</v>
      </c>
      <c r="P1093" s="5" t="str">
        <f>IFERROR(VLOOKUP(I1093,[1]INFO_LOCALES!$B:$F,5,FALSE),"")</f>
        <v/>
      </c>
      <c r="S1093" s="6"/>
      <c r="T1093" s="5" t="str">
        <f>UPPER(IF(Tabla2[[#This Row],[FECHA DE MUESTREO ]]=0,"",TEXT(Tabla2[[#This Row],[FECHA DE MUESTREO ]],("MMMM"))))</f>
        <v/>
      </c>
      <c r="U1093" s="6"/>
      <c r="W10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3" s="7">
        <f t="shared" si="37"/>
        <v>1</v>
      </c>
    </row>
    <row r="1094" spans="10:24" x14ac:dyDescent="0.25">
      <c r="J1094" s="5" t="str">
        <f>IFERROR(VLOOKUP(I1094,[1]INFO_LOCALES!$B:$C,2,FALSE),"")</f>
        <v/>
      </c>
      <c r="K1094" s="5" t="str">
        <f>IFERROR(VLOOKUP(Tabla2[[#This Row],[TIENDA]],[1]INFO_LOCALES!$B:$D,3,FALSE),"")</f>
        <v/>
      </c>
      <c r="L1094" s="5" t="str">
        <f>IFERROR(VLOOKUP(I1094,[1]INFO_LOCALES!$B:$I,8,FALSE),"")</f>
        <v/>
      </c>
      <c r="M1094" s="5" t="str">
        <f>IFERROR(VLOOKUP(I1094,[1]INFO_LOCALES!$B:$H,7,FALSE),"")</f>
        <v/>
      </c>
      <c r="N1094" s="5" t="str">
        <f>IFERROR(VLOOKUP(I1094,[1]INFO_LOCALES!$B:$E,4,FALSE),"")</f>
        <v/>
      </c>
      <c r="O1094" s="5" t="e">
        <f>VLOOKUP(Tabla2[[#This Row],[TIENDA]],[1]INFO_LOCALES!$B:$J,9,0)</f>
        <v>#N/A</v>
      </c>
      <c r="P1094" s="5" t="str">
        <f>IFERROR(VLOOKUP(I1094,[1]INFO_LOCALES!$B:$F,5,FALSE),"")</f>
        <v/>
      </c>
      <c r="S1094" s="6"/>
      <c r="T1094" s="5" t="str">
        <f>UPPER(IF(Tabla2[[#This Row],[FECHA DE MUESTREO ]]=0,"",TEXT(Tabla2[[#This Row],[FECHA DE MUESTREO ]],("MMMM"))))</f>
        <v/>
      </c>
      <c r="U1094" s="6"/>
      <c r="W10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4" s="7">
        <f t="shared" si="37"/>
        <v>1</v>
      </c>
    </row>
    <row r="1095" spans="10:24" x14ac:dyDescent="0.25">
      <c r="J1095" s="5" t="str">
        <f>IFERROR(VLOOKUP(I1095,[1]INFO_LOCALES!$B:$C,2,FALSE),"")</f>
        <v/>
      </c>
      <c r="K1095" s="5" t="str">
        <f>IFERROR(VLOOKUP(Tabla2[[#This Row],[TIENDA]],[1]INFO_LOCALES!$B:$D,3,FALSE),"")</f>
        <v/>
      </c>
      <c r="L1095" s="5" t="str">
        <f>IFERROR(VLOOKUP(I1095,[1]INFO_LOCALES!$B:$I,8,FALSE),"")</f>
        <v/>
      </c>
      <c r="M1095" s="5" t="str">
        <f>IFERROR(VLOOKUP(I1095,[1]INFO_LOCALES!$B:$H,7,FALSE),"")</f>
        <v/>
      </c>
      <c r="N1095" s="5" t="str">
        <f>IFERROR(VLOOKUP(I1095,[1]INFO_LOCALES!$B:$E,4,FALSE),"")</f>
        <v/>
      </c>
      <c r="O1095" s="5" t="e">
        <f>VLOOKUP(Tabla2[[#This Row],[TIENDA]],[1]INFO_LOCALES!$B:$J,9,0)</f>
        <v>#N/A</v>
      </c>
      <c r="P1095" s="5" t="str">
        <f>IFERROR(VLOOKUP(I1095,[1]INFO_LOCALES!$B:$F,5,FALSE),"")</f>
        <v/>
      </c>
      <c r="S1095" s="6"/>
      <c r="T1095" s="5" t="str">
        <f>UPPER(IF(Tabla2[[#This Row],[FECHA DE MUESTREO ]]=0,"",TEXT(Tabla2[[#This Row],[FECHA DE MUESTREO ]],("MMMM"))))</f>
        <v/>
      </c>
      <c r="U1095" s="6"/>
      <c r="W10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5" s="7">
        <f t="shared" si="37"/>
        <v>1</v>
      </c>
    </row>
    <row r="1096" spans="10:24" x14ac:dyDescent="0.25">
      <c r="J1096" s="5" t="str">
        <f>IFERROR(VLOOKUP(I1096,[1]INFO_LOCALES!$B:$C,2,FALSE),"")</f>
        <v/>
      </c>
      <c r="K1096" s="5" t="str">
        <f>IFERROR(VLOOKUP(Tabla2[[#This Row],[TIENDA]],[1]INFO_LOCALES!$B:$D,3,FALSE),"")</f>
        <v/>
      </c>
      <c r="L1096" s="5" t="str">
        <f>IFERROR(VLOOKUP(I1096,[1]INFO_LOCALES!$B:$I,8,FALSE),"")</f>
        <v/>
      </c>
      <c r="M1096" s="5" t="str">
        <f>IFERROR(VLOOKUP(I1096,[1]INFO_LOCALES!$B:$H,7,FALSE),"")</f>
        <v/>
      </c>
      <c r="N1096" s="5" t="str">
        <f>IFERROR(VLOOKUP(I1096,[1]INFO_LOCALES!$B:$E,4,FALSE),"")</f>
        <v/>
      </c>
      <c r="O1096" s="5" t="e">
        <f>VLOOKUP(Tabla2[[#This Row],[TIENDA]],[1]INFO_LOCALES!$B:$J,9,0)</f>
        <v>#N/A</v>
      </c>
      <c r="P1096" s="5" t="str">
        <f>IFERROR(VLOOKUP(I1096,[1]INFO_LOCALES!$B:$F,5,FALSE),"")</f>
        <v/>
      </c>
      <c r="S1096" s="6"/>
      <c r="T1096" s="5" t="str">
        <f>UPPER(IF(Tabla2[[#This Row],[FECHA DE MUESTREO ]]=0,"",TEXT(Tabla2[[#This Row],[FECHA DE MUESTREO ]],("MMMM"))))</f>
        <v/>
      </c>
      <c r="U1096" s="6"/>
      <c r="W10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6" s="7">
        <f t="shared" si="37"/>
        <v>1</v>
      </c>
    </row>
    <row r="1097" spans="10:24" x14ac:dyDescent="0.25">
      <c r="J1097" s="5" t="str">
        <f>IFERROR(VLOOKUP(I1097,[1]INFO_LOCALES!$B:$C,2,FALSE),"")</f>
        <v/>
      </c>
      <c r="K1097" s="5" t="str">
        <f>IFERROR(VLOOKUP(Tabla2[[#This Row],[TIENDA]],[1]INFO_LOCALES!$B:$D,3,FALSE),"")</f>
        <v/>
      </c>
      <c r="L1097" s="5" t="str">
        <f>IFERROR(VLOOKUP(I1097,[1]INFO_LOCALES!$B:$I,8,FALSE),"")</f>
        <v/>
      </c>
      <c r="M1097" s="5" t="str">
        <f>IFERROR(VLOOKUP(I1097,[1]INFO_LOCALES!$B:$H,7,FALSE),"")</f>
        <v/>
      </c>
      <c r="N1097" s="5" t="str">
        <f>IFERROR(VLOOKUP(I1097,[1]INFO_LOCALES!$B:$E,4,FALSE),"")</f>
        <v/>
      </c>
      <c r="O1097" s="5" t="e">
        <f>VLOOKUP(Tabla2[[#This Row],[TIENDA]],[1]INFO_LOCALES!$B:$J,9,0)</f>
        <v>#N/A</v>
      </c>
      <c r="P1097" s="5" t="str">
        <f>IFERROR(VLOOKUP(I1097,[1]INFO_LOCALES!$B:$F,5,FALSE),"")</f>
        <v/>
      </c>
      <c r="S1097" s="6"/>
      <c r="T1097" s="5" t="str">
        <f>UPPER(IF(Tabla2[[#This Row],[FECHA DE MUESTREO ]]=0,"",TEXT(Tabla2[[#This Row],[FECHA DE MUESTREO ]],("MMMM"))))</f>
        <v/>
      </c>
      <c r="U1097" s="6"/>
      <c r="W10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7" s="7">
        <f t="shared" si="37"/>
        <v>1</v>
      </c>
    </row>
    <row r="1098" spans="10:24" x14ac:dyDescent="0.25">
      <c r="J1098" s="5" t="str">
        <f>IFERROR(VLOOKUP(I1098,[1]INFO_LOCALES!$B:$C,2,FALSE),"")</f>
        <v/>
      </c>
      <c r="K1098" s="5" t="str">
        <f>IFERROR(VLOOKUP(Tabla2[[#This Row],[TIENDA]],[1]INFO_LOCALES!$B:$D,3,FALSE),"")</f>
        <v/>
      </c>
      <c r="L1098" s="5" t="str">
        <f>IFERROR(VLOOKUP(I1098,[1]INFO_LOCALES!$B:$I,8,FALSE),"")</f>
        <v/>
      </c>
      <c r="M1098" s="5" t="str">
        <f>IFERROR(VLOOKUP(I1098,[1]INFO_LOCALES!$B:$H,7,FALSE),"")</f>
        <v/>
      </c>
      <c r="N1098" s="5" t="str">
        <f>IFERROR(VLOOKUP(I1098,[1]INFO_LOCALES!$B:$E,4,FALSE),"")</f>
        <v/>
      </c>
      <c r="O1098" s="5" t="e">
        <f>VLOOKUP(Tabla2[[#This Row],[TIENDA]],[1]INFO_LOCALES!$B:$J,9,0)</f>
        <v>#N/A</v>
      </c>
      <c r="P1098" s="5" t="str">
        <f>IFERROR(VLOOKUP(I1098,[1]INFO_LOCALES!$B:$F,5,FALSE),"")</f>
        <v/>
      </c>
      <c r="S1098" s="6"/>
      <c r="T1098" s="5" t="str">
        <f>UPPER(IF(Tabla2[[#This Row],[FECHA DE MUESTREO ]]=0,"",TEXT(Tabla2[[#This Row],[FECHA DE MUESTREO ]],("MMMM"))))</f>
        <v/>
      </c>
      <c r="U1098" s="6"/>
      <c r="W10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8" s="7">
        <f t="shared" si="37"/>
        <v>1</v>
      </c>
    </row>
    <row r="1099" spans="10:24" x14ac:dyDescent="0.25">
      <c r="J1099" s="5" t="str">
        <f>IFERROR(VLOOKUP(I1099,[1]INFO_LOCALES!$B:$C,2,FALSE),"")</f>
        <v/>
      </c>
      <c r="K1099" s="5" t="str">
        <f>IFERROR(VLOOKUP(Tabla2[[#This Row],[TIENDA]],[1]INFO_LOCALES!$B:$D,3,FALSE),"")</f>
        <v/>
      </c>
      <c r="L1099" s="5" t="str">
        <f>IFERROR(VLOOKUP(I1099,[1]INFO_LOCALES!$B:$I,8,FALSE),"")</f>
        <v/>
      </c>
      <c r="M1099" s="5" t="str">
        <f>IFERROR(VLOOKUP(I1099,[1]INFO_LOCALES!$B:$H,7,FALSE),"")</f>
        <v/>
      </c>
      <c r="N1099" s="5" t="str">
        <f>IFERROR(VLOOKUP(I1099,[1]INFO_LOCALES!$B:$E,4,FALSE),"")</f>
        <v/>
      </c>
      <c r="O1099" s="5" t="e">
        <f>VLOOKUP(Tabla2[[#This Row],[TIENDA]],[1]INFO_LOCALES!$B:$J,9,0)</f>
        <v>#N/A</v>
      </c>
      <c r="P1099" s="5" t="str">
        <f>IFERROR(VLOOKUP(I1099,[1]INFO_LOCALES!$B:$F,5,FALSE),"")</f>
        <v/>
      </c>
      <c r="S1099" s="6"/>
      <c r="T1099" s="5" t="str">
        <f>UPPER(IF(Tabla2[[#This Row],[FECHA DE MUESTREO ]]=0,"",TEXT(Tabla2[[#This Row],[FECHA DE MUESTREO ]],("MMMM"))))</f>
        <v/>
      </c>
      <c r="U1099" s="6"/>
      <c r="W10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099" s="7">
        <f t="shared" si="37"/>
        <v>1</v>
      </c>
    </row>
    <row r="1100" spans="10:24" x14ac:dyDescent="0.25">
      <c r="J1100" s="5" t="str">
        <f>IFERROR(VLOOKUP(I1100,[1]INFO_LOCALES!$B:$C,2,FALSE),"")</f>
        <v/>
      </c>
      <c r="K1100" s="5" t="str">
        <f>IFERROR(VLOOKUP(Tabla2[[#This Row],[TIENDA]],[1]INFO_LOCALES!$B:$D,3,FALSE),"")</f>
        <v/>
      </c>
      <c r="L1100" s="5" t="str">
        <f>IFERROR(VLOOKUP(I1100,[1]INFO_LOCALES!$B:$I,8,FALSE),"")</f>
        <v/>
      </c>
      <c r="M1100" s="5" t="str">
        <f>IFERROR(VLOOKUP(I1100,[1]INFO_LOCALES!$B:$H,7,FALSE),"")</f>
        <v/>
      </c>
      <c r="N1100" s="5" t="str">
        <f>IFERROR(VLOOKUP(I1100,[1]INFO_LOCALES!$B:$E,4,FALSE),"")</f>
        <v/>
      </c>
      <c r="O1100" s="5" t="e">
        <f>VLOOKUP(Tabla2[[#This Row],[TIENDA]],[1]INFO_LOCALES!$B:$J,9,0)</f>
        <v>#N/A</v>
      </c>
      <c r="P1100" s="5" t="str">
        <f>IFERROR(VLOOKUP(I1100,[1]INFO_LOCALES!$B:$F,5,FALSE),"")</f>
        <v/>
      </c>
      <c r="S1100" s="6"/>
      <c r="T1100" s="5" t="str">
        <f>UPPER(IF(Tabla2[[#This Row],[FECHA DE MUESTREO ]]=0,"",TEXT(Tabla2[[#This Row],[FECHA DE MUESTREO ]],("MMMM"))))</f>
        <v/>
      </c>
      <c r="U1100" s="6"/>
      <c r="W11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0" s="7">
        <f t="shared" si="37"/>
        <v>1</v>
      </c>
    </row>
    <row r="1101" spans="10:24" x14ac:dyDescent="0.25">
      <c r="J1101" s="5" t="str">
        <f>IFERROR(VLOOKUP(I1101,[1]INFO_LOCALES!$B:$C,2,FALSE),"")</f>
        <v/>
      </c>
      <c r="K1101" s="5" t="str">
        <f>IFERROR(VLOOKUP(Tabla2[[#This Row],[TIENDA]],[1]INFO_LOCALES!$B:$D,3,FALSE),"")</f>
        <v/>
      </c>
      <c r="L1101" s="5" t="str">
        <f>IFERROR(VLOOKUP(I1101,[1]INFO_LOCALES!$B:$I,8,FALSE),"")</f>
        <v/>
      </c>
      <c r="M1101" s="5" t="str">
        <f>IFERROR(VLOOKUP(I1101,[1]INFO_LOCALES!$B:$H,7,FALSE),"")</f>
        <v/>
      </c>
      <c r="N1101" s="5" t="str">
        <f>IFERROR(VLOOKUP(I1101,[1]INFO_LOCALES!$B:$E,4,FALSE),"")</f>
        <v/>
      </c>
      <c r="O1101" s="5" t="e">
        <f>VLOOKUP(Tabla2[[#This Row],[TIENDA]],[1]INFO_LOCALES!$B:$J,9,0)</f>
        <v>#N/A</v>
      </c>
      <c r="P1101" s="5" t="str">
        <f>IFERROR(VLOOKUP(I1101,[1]INFO_LOCALES!$B:$F,5,FALSE),"")</f>
        <v/>
      </c>
      <c r="S1101" s="6"/>
      <c r="T1101" s="5" t="str">
        <f>UPPER(IF(Tabla2[[#This Row],[FECHA DE MUESTREO ]]=0,"",TEXT(Tabla2[[#This Row],[FECHA DE MUESTREO ]],("MMMM"))))</f>
        <v/>
      </c>
      <c r="U1101" s="6"/>
      <c r="W11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1" s="7">
        <f t="shared" si="37"/>
        <v>1</v>
      </c>
    </row>
    <row r="1102" spans="10:24" x14ac:dyDescent="0.25">
      <c r="J1102" s="5" t="str">
        <f>IFERROR(VLOOKUP(I1102,[1]INFO_LOCALES!$B:$C,2,FALSE),"")</f>
        <v/>
      </c>
      <c r="K1102" s="5" t="str">
        <f>IFERROR(VLOOKUP(Tabla2[[#This Row],[TIENDA]],[1]INFO_LOCALES!$B:$D,3,FALSE),"")</f>
        <v/>
      </c>
      <c r="L1102" s="5" t="str">
        <f>IFERROR(VLOOKUP(I1102,[1]INFO_LOCALES!$B:$I,8,FALSE),"")</f>
        <v/>
      </c>
      <c r="M1102" s="5" t="str">
        <f>IFERROR(VLOOKUP(I1102,[1]INFO_LOCALES!$B:$H,7,FALSE),"")</f>
        <v/>
      </c>
      <c r="N1102" s="5" t="str">
        <f>IFERROR(VLOOKUP(I1102,[1]INFO_LOCALES!$B:$E,4,FALSE),"")</f>
        <v/>
      </c>
      <c r="O1102" s="5" t="e">
        <f>VLOOKUP(Tabla2[[#This Row],[TIENDA]],[1]INFO_LOCALES!$B:$J,9,0)</f>
        <v>#N/A</v>
      </c>
      <c r="P1102" s="5" t="str">
        <f>IFERROR(VLOOKUP(I1102,[1]INFO_LOCALES!$B:$F,5,FALSE),"")</f>
        <v/>
      </c>
      <c r="S1102" s="6"/>
      <c r="T1102" s="5" t="str">
        <f>UPPER(IF(Tabla2[[#This Row],[FECHA DE MUESTREO ]]=0,"",TEXT(Tabla2[[#This Row],[FECHA DE MUESTREO ]],("MMMM"))))</f>
        <v/>
      </c>
      <c r="U1102" s="6"/>
      <c r="W11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2" s="7">
        <f t="shared" si="37"/>
        <v>1</v>
      </c>
    </row>
    <row r="1103" spans="10:24" x14ac:dyDescent="0.25">
      <c r="J1103" s="5" t="str">
        <f>IFERROR(VLOOKUP(I1103,[1]INFO_LOCALES!$B:$C,2,FALSE),"")</f>
        <v/>
      </c>
      <c r="K1103" s="5" t="str">
        <f>IFERROR(VLOOKUP(Tabla2[[#This Row],[TIENDA]],[1]INFO_LOCALES!$B:$D,3,FALSE),"")</f>
        <v/>
      </c>
      <c r="L1103" s="5" t="str">
        <f>IFERROR(VLOOKUP(I1103,[1]INFO_LOCALES!$B:$I,8,FALSE),"")</f>
        <v/>
      </c>
      <c r="M1103" s="5" t="str">
        <f>IFERROR(VLOOKUP(I1103,[1]INFO_LOCALES!$B:$H,7,FALSE),"")</f>
        <v/>
      </c>
      <c r="N1103" s="5" t="str">
        <f>IFERROR(VLOOKUP(I1103,[1]INFO_LOCALES!$B:$E,4,FALSE),"")</f>
        <v/>
      </c>
      <c r="O1103" s="5" t="e">
        <f>VLOOKUP(Tabla2[[#This Row],[TIENDA]],[1]INFO_LOCALES!$B:$J,9,0)</f>
        <v>#N/A</v>
      </c>
      <c r="P1103" s="5" t="str">
        <f>IFERROR(VLOOKUP(I1103,[1]INFO_LOCALES!$B:$F,5,FALSE),"")</f>
        <v/>
      </c>
      <c r="S1103" s="6"/>
      <c r="T1103" s="5" t="str">
        <f>UPPER(IF(Tabla2[[#This Row],[FECHA DE MUESTREO ]]=0,"",TEXT(Tabla2[[#This Row],[FECHA DE MUESTREO ]],("MMMM"))))</f>
        <v/>
      </c>
      <c r="U1103" s="6"/>
      <c r="W11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3" s="7">
        <f t="shared" si="37"/>
        <v>1</v>
      </c>
    </row>
    <row r="1104" spans="10:24" x14ac:dyDescent="0.25">
      <c r="J1104" s="5" t="str">
        <f>IFERROR(VLOOKUP(I1104,[1]INFO_LOCALES!$B:$C,2,FALSE),"")</f>
        <v/>
      </c>
      <c r="K1104" s="5" t="str">
        <f>IFERROR(VLOOKUP(Tabla2[[#This Row],[TIENDA]],[1]INFO_LOCALES!$B:$D,3,FALSE),"")</f>
        <v/>
      </c>
      <c r="L1104" s="5" t="str">
        <f>IFERROR(VLOOKUP(I1104,[1]INFO_LOCALES!$B:$I,8,FALSE),"")</f>
        <v/>
      </c>
      <c r="M1104" s="5" t="str">
        <f>IFERROR(VLOOKUP(I1104,[1]INFO_LOCALES!$B:$H,7,FALSE),"")</f>
        <v/>
      </c>
      <c r="N1104" s="5" t="str">
        <f>IFERROR(VLOOKUP(I1104,[1]INFO_LOCALES!$B:$E,4,FALSE),"")</f>
        <v/>
      </c>
      <c r="O1104" s="5" t="e">
        <f>VLOOKUP(Tabla2[[#This Row],[TIENDA]],[1]INFO_LOCALES!$B:$J,9,0)</f>
        <v>#N/A</v>
      </c>
      <c r="P1104" s="5" t="str">
        <f>IFERROR(VLOOKUP(I1104,[1]INFO_LOCALES!$B:$F,5,FALSE),"")</f>
        <v/>
      </c>
      <c r="S1104" s="6"/>
      <c r="T1104" s="5" t="str">
        <f>UPPER(IF(Tabla2[[#This Row],[FECHA DE MUESTREO ]]=0,"",TEXT(Tabla2[[#This Row],[FECHA DE MUESTREO ]],("MMMM"))))</f>
        <v/>
      </c>
      <c r="U1104" s="6"/>
      <c r="W11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4" s="7">
        <f t="shared" si="37"/>
        <v>1</v>
      </c>
    </row>
    <row r="1105" spans="10:24" x14ac:dyDescent="0.25">
      <c r="J1105" s="5" t="str">
        <f>IFERROR(VLOOKUP(I1105,[1]INFO_LOCALES!$B:$C,2,FALSE),"")</f>
        <v/>
      </c>
      <c r="K1105" s="5" t="str">
        <f>IFERROR(VLOOKUP(Tabla2[[#This Row],[TIENDA]],[1]INFO_LOCALES!$B:$D,3,FALSE),"")</f>
        <v/>
      </c>
      <c r="L1105" s="5" t="str">
        <f>IFERROR(VLOOKUP(I1105,[1]INFO_LOCALES!$B:$I,8,FALSE),"")</f>
        <v/>
      </c>
      <c r="M1105" s="5" t="str">
        <f>IFERROR(VLOOKUP(I1105,[1]INFO_LOCALES!$B:$H,7,FALSE),"")</f>
        <v/>
      </c>
      <c r="N1105" s="5" t="str">
        <f>IFERROR(VLOOKUP(I1105,[1]INFO_LOCALES!$B:$E,4,FALSE),"")</f>
        <v/>
      </c>
      <c r="O1105" s="5" t="e">
        <f>VLOOKUP(Tabla2[[#This Row],[TIENDA]],[1]INFO_LOCALES!$B:$J,9,0)</f>
        <v>#N/A</v>
      </c>
      <c r="P1105" s="5" t="str">
        <f>IFERROR(VLOOKUP(I1105,[1]INFO_LOCALES!$B:$F,5,FALSE),"")</f>
        <v/>
      </c>
      <c r="S1105" s="6"/>
      <c r="T1105" s="5" t="str">
        <f>UPPER(IF(Tabla2[[#This Row],[FECHA DE MUESTREO ]]=0,"",TEXT(Tabla2[[#This Row],[FECHA DE MUESTREO ]],("MMMM"))))</f>
        <v/>
      </c>
      <c r="U1105" s="6"/>
      <c r="W11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5" s="7">
        <f t="shared" si="37"/>
        <v>1</v>
      </c>
    </row>
    <row r="1106" spans="10:24" x14ac:dyDescent="0.25">
      <c r="J1106" s="5" t="str">
        <f>IFERROR(VLOOKUP(I1106,[1]INFO_LOCALES!$B:$C,2,FALSE),"")</f>
        <v/>
      </c>
      <c r="K1106" s="5" t="str">
        <f>IFERROR(VLOOKUP(Tabla2[[#This Row],[TIENDA]],[1]INFO_LOCALES!$B:$D,3,FALSE),"")</f>
        <v/>
      </c>
      <c r="L1106" s="5" t="str">
        <f>IFERROR(VLOOKUP(I1106,[1]INFO_LOCALES!$B:$I,8,FALSE),"")</f>
        <v/>
      </c>
      <c r="M1106" s="5" t="str">
        <f>IFERROR(VLOOKUP(I1106,[1]INFO_LOCALES!$B:$H,7,FALSE),"")</f>
        <v/>
      </c>
      <c r="N1106" s="5" t="str">
        <f>IFERROR(VLOOKUP(I1106,[1]INFO_LOCALES!$B:$E,4,FALSE),"")</f>
        <v/>
      </c>
      <c r="O1106" s="5" t="e">
        <f>VLOOKUP(Tabla2[[#This Row],[TIENDA]],[1]INFO_LOCALES!$B:$J,9,0)</f>
        <v>#N/A</v>
      </c>
      <c r="P1106" s="5" t="str">
        <f>IFERROR(VLOOKUP(I1106,[1]INFO_LOCALES!$B:$F,5,FALSE),"")</f>
        <v/>
      </c>
      <c r="S1106" s="6"/>
      <c r="T1106" s="5" t="str">
        <f>UPPER(IF(Tabla2[[#This Row],[FECHA DE MUESTREO ]]=0,"",TEXT(Tabla2[[#This Row],[FECHA DE MUESTREO ]],("MMMM"))))</f>
        <v/>
      </c>
      <c r="U1106" s="6"/>
      <c r="W11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6" s="7">
        <f t="shared" si="37"/>
        <v>1</v>
      </c>
    </row>
    <row r="1107" spans="10:24" x14ac:dyDescent="0.25">
      <c r="J1107" s="5" t="str">
        <f>IFERROR(VLOOKUP(I1107,[1]INFO_LOCALES!$B:$C,2,FALSE),"")</f>
        <v/>
      </c>
      <c r="K1107" s="5" t="str">
        <f>IFERROR(VLOOKUP(Tabla2[[#This Row],[TIENDA]],[1]INFO_LOCALES!$B:$D,3,FALSE),"")</f>
        <v/>
      </c>
      <c r="L1107" s="5" t="str">
        <f>IFERROR(VLOOKUP(I1107,[1]INFO_LOCALES!$B:$I,8,FALSE),"")</f>
        <v/>
      </c>
      <c r="M1107" s="5" t="str">
        <f>IFERROR(VLOOKUP(I1107,[1]INFO_LOCALES!$B:$H,7,FALSE),"")</f>
        <v/>
      </c>
      <c r="N1107" s="5" t="str">
        <f>IFERROR(VLOOKUP(I1107,[1]INFO_LOCALES!$B:$E,4,FALSE),"")</f>
        <v/>
      </c>
      <c r="O1107" s="5" t="e">
        <f>VLOOKUP(Tabla2[[#This Row],[TIENDA]],[1]INFO_LOCALES!$B:$J,9,0)</f>
        <v>#N/A</v>
      </c>
      <c r="P1107" s="5" t="str">
        <f>IFERROR(VLOOKUP(I1107,[1]INFO_LOCALES!$B:$F,5,FALSE),"")</f>
        <v/>
      </c>
      <c r="S1107" s="6"/>
      <c r="T1107" s="5" t="str">
        <f>UPPER(IF(Tabla2[[#This Row],[FECHA DE MUESTREO ]]=0,"",TEXT(Tabla2[[#This Row],[FECHA DE MUESTREO ]],("MMMM"))))</f>
        <v/>
      </c>
      <c r="U1107" s="6"/>
      <c r="W11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7" s="7">
        <f t="shared" si="37"/>
        <v>1</v>
      </c>
    </row>
    <row r="1108" spans="10:24" x14ac:dyDescent="0.25">
      <c r="J1108" s="5" t="str">
        <f>IFERROR(VLOOKUP(I1108,[1]INFO_LOCALES!$B:$C,2,FALSE),"")</f>
        <v/>
      </c>
      <c r="K1108" s="5" t="str">
        <f>IFERROR(VLOOKUP(Tabla2[[#This Row],[TIENDA]],[1]INFO_LOCALES!$B:$D,3,FALSE),"")</f>
        <v/>
      </c>
      <c r="L1108" s="5" t="str">
        <f>IFERROR(VLOOKUP(I1108,[1]INFO_LOCALES!$B:$I,8,FALSE),"")</f>
        <v/>
      </c>
      <c r="M1108" s="5" t="str">
        <f>IFERROR(VLOOKUP(I1108,[1]INFO_LOCALES!$B:$H,7,FALSE),"")</f>
        <v/>
      </c>
      <c r="N1108" s="5" t="str">
        <f>IFERROR(VLOOKUP(I1108,[1]INFO_LOCALES!$B:$E,4,FALSE),"")</f>
        <v/>
      </c>
      <c r="O1108" s="5" t="e">
        <f>VLOOKUP(Tabla2[[#This Row],[TIENDA]],[1]INFO_LOCALES!$B:$J,9,0)</f>
        <v>#N/A</v>
      </c>
      <c r="P1108" s="5" t="str">
        <f>IFERROR(VLOOKUP(I1108,[1]INFO_LOCALES!$B:$F,5,FALSE),"")</f>
        <v/>
      </c>
      <c r="S1108" s="6"/>
      <c r="T1108" s="5" t="str">
        <f>UPPER(IF(Tabla2[[#This Row],[FECHA DE MUESTREO ]]=0,"",TEXT(Tabla2[[#This Row],[FECHA DE MUESTREO ]],("MMMM"))))</f>
        <v/>
      </c>
      <c r="U1108" s="6"/>
      <c r="W11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8" s="7">
        <f t="shared" si="37"/>
        <v>1</v>
      </c>
    </row>
    <row r="1109" spans="10:24" x14ac:dyDescent="0.25">
      <c r="J1109" s="5" t="str">
        <f>IFERROR(VLOOKUP(I1109,[1]INFO_LOCALES!$B:$C,2,FALSE),"")</f>
        <v/>
      </c>
      <c r="K1109" s="5" t="str">
        <f>IFERROR(VLOOKUP(Tabla2[[#This Row],[TIENDA]],[1]INFO_LOCALES!$B:$D,3,FALSE),"")</f>
        <v/>
      </c>
      <c r="L1109" s="5" t="str">
        <f>IFERROR(VLOOKUP(I1109,[1]INFO_LOCALES!$B:$I,8,FALSE),"")</f>
        <v/>
      </c>
      <c r="M1109" s="5" t="str">
        <f>IFERROR(VLOOKUP(I1109,[1]INFO_LOCALES!$B:$H,7,FALSE),"")</f>
        <v/>
      </c>
      <c r="N1109" s="5" t="str">
        <f>IFERROR(VLOOKUP(I1109,[1]INFO_LOCALES!$B:$E,4,FALSE),"")</f>
        <v/>
      </c>
      <c r="O1109" s="5" t="e">
        <f>VLOOKUP(Tabla2[[#This Row],[TIENDA]],[1]INFO_LOCALES!$B:$J,9,0)</f>
        <v>#N/A</v>
      </c>
      <c r="P1109" s="5" t="str">
        <f>IFERROR(VLOOKUP(I1109,[1]INFO_LOCALES!$B:$F,5,FALSE),"")</f>
        <v/>
      </c>
      <c r="S1109" s="6"/>
      <c r="T1109" s="5" t="str">
        <f>UPPER(IF(Tabla2[[#This Row],[FECHA DE MUESTREO ]]=0,"",TEXT(Tabla2[[#This Row],[FECHA DE MUESTREO ]],("MMMM"))))</f>
        <v/>
      </c>
      <c r="U1109" s="6"/>
      <c r="W11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09" s="7">
        <f t="shared" si="37"/>
        <v>1</v>
      </c>
    </row>
    <row r="1110" spans="10:24" x14ac:dyDescent="0.25">
      <c r="J1110" s="5" t="str">
        <f>IFERROR(VLOOKUP(I1110,[1]INFO_LOCALES!$B:$C,2,FALSE),"")</f>
        <v/>
      </c>
      <c r="K1110" s="5" t="str">
        <f>IFERROR(VLOOKUP(Tabla2[[#This Row],[TIENDA]],[1]INFO_LOCALES!$B:$D,3,FALSE),"")</f>
        <v/>
      </c>
      <c r="L1110" s="5" t="str">
        <f>IFERROR(VLOOKUP(I1110,[1]INFO_LOCALES!$B:$I,8,FALSE),"")</f>
        <v/>
      </c>
      <c r="M1110" s="5" t="str">
        <f>IFERROR(VLOOKUP(I1110,[1]INFO_LOCALES!$B:$H,7,FALSE),"")</f>
        <v/>
      </c>
      <c r="N1110" s="5" t="str">
        <f>IFERROR(VLOOKUP(I1110,[1]INFO_LOCALES!$B:$E,4,FALSE),"")</f>
        <v/>
      </c>
      <c r="O1110" s="5" t="e">
        <f>VLOOKUP(Tabla2[[#This Row],[TIENDA]],[1]INFO_LOCALES!$B:$J,9,0)</f>
        <v>#N/A</v>
      </c>
      <c r="P1110" s="5" t="str">
        <f>IFERROR(VLOOKUP(I1110,[1]INFO_LOCALES!$B:$F,5,FALSE),"")</f>
        <v/>
      </c>
      <c r="S1110" s="6"/>
      <c r="T1110" s="5" t="str">
        <f>UPPER(IF(Tabla2[[#This Row],[FECHA DE MUESTREO ]]=0,"",TEXT(Tabla2[[#This Row],[FECHA DE MUESTREO ]],("MMMM"))))</f>
        <v/>
      </c>
      <c r="U1110" s="6"/>
      <c r="W11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0" s="7">
        <f t="shared" si="37"/>
        <v>1</v>
      </c>
    </row>
    <row r="1111" spans="10:24" x14ac:dyDescent="0.25">
      <c r="J1111" s="5" t="str">
        <f>IFERROR(VLOOKUP(I1111,[1]INFO_LOCALES!$B:$C,2,FALSE),"")</f>
        <v/>
      </c>
      <c r="K1111" s="5" t="str">
        <f>IFERROR(VLOOKUP(Tabla2[[#This Row],[TIENDA]],[1]INFO_LOCALES!$B:$D,3,FALSE),"")</f>
        <v/>
      </c>
      <c r="L1111" s="5" t="str">
        <f>IFERROR(VLOOKUP(I1111,[1]INFO_LOCALES!$B:$I,8,FALSE),"")</f>
        <v/>
      </c>
      <c r="M1111" s="5" t="str">
        <f>IFERROR(VLOOKUP(I1111,[1]INFO_LOCALES!$B:$H,7,FALSE),"")</f>
        <v/>
      </c>
      <c r="N1111" s="5" t="str">
        <f>IFERROR(VLOOKUP(I1111,[1]INFO_LOCALES!$B:$E,4,FALSE),"")</f>
        <v/>
      </c>
      <c r="O1111" s="5" t="e">
        <f>VLOOKUP(Tabla2[[#This Row],[TIENDA]],[1]INFO_LOCALES!$B:$J,9,0)</f>
        <v>#N/A</v>
      </c>
      <c r="P1111" s="5" t="str">
        <f>IFERROR(VLOOKUP(I1111,[1]INFO_LOCALES!$B:$F,5,FALSE),"")</f>
        <v/>
      </c>
      <c r="S1111" s="6"/>
      <c r="T1111" s="5" t="str">
        <f>UPPER(IF(Tabla2[[#This Row],[FECHA DE MUESTREO ]]=0,"",TEXT(Tabla2[[#This Row],[FECHA DE MUESTREO ]],("MMMM"))))</f>
        <v/>
      </c>
      <c r="U1111" s="6"/>
      <c r="W11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1" s="7">
        <f t="shared" si="37"/>
        <v>1</v>
      </c>
    </row>
    <row r="1112" spans="10:24" x14ac:dyDescent="0.25">
      <c r="J1112" s="5" t="str">
        <f>IFERROR(VLOOKUP(I1112,[1]INFO_LOCALES!$B:$C,2,FALSE),"")</f>
        <v/>
      </c>
      <c r="K1112" s="5" t="str">
        <f>IFERROR(VLOOKUP(Tabla2[[#This Row],[TIENDA]],[1]INFO_LOCALES!$B:$D,3,FALSE),"")</f>
        <v/>
      </c>
      <c r="L1112" s="5" t="str">
        <f>IFERROR(VLOOKUP(I1112,[1]INFO_LOCALES!$B:$I,8,FALSE),"")</f>
        <v/>
      </c>
      <c r="M1112" s="5" t="str">
        <f>IFERROR(VLOOKUP(I1112,[1]INFO_LOCALES!$B:$H,7,FALSE),"")</f>
        <v/>
      </c>
      <c r="N1112" s="5" t="str">
        <f>IFERROR(VLOOKUP(I1112,[1]INFO_LOCALES!$B:$E,4,FALSE),"")</f>
        <v/>
      </c>
      <c r="O1112" s="5" t="e">
        <f>VLOOKUP(Tabla2[[#This Row],[TIENDA]],[1]INFO_LOCALES!$B:$J,9,0)</f>
        <v>#N/A</v>
      </c>
      <c r="P1112" s="5" t="str">
        <f>IFERROR(VLOOKUP(I1112,[1]INFO_LOCALES!$B:$F,5,FALSE),"")</f>
        <v/>
      </c>
      <c r="S1112" s="6"/>
      <c r="T1112" s="5" t="str">
        <f>UPPER(IF(Tabla2[[#This Row],[FECHA DE MUESTREO ]]=0,"",TEXT(Tabla2[[#This Row],[FECHA DE MUESTREO ]],("MMMM"))))</f>
        <v/>
      </c>
      <c r="U1112" s="6"/>
      <c r="W11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2" s="7">
        <f t="shared" si="37"/>
        <v>1</v>
      </c>
    </row>
    <row r="1113" spans="10:24" x14ac:dyDescent="0.25">
      <c r="J1113" s="5" t="str">
        <f>IFERROR(VLOOKUP(I1113,[1]INFO_LOCALES!$B:$C,2,FALSE),"")</f>
        <v/>
      </c>
      <c r="K1113" s="5" t="str">
        <f>IFERROR(VLOOKUP(Tabla2[[#This Row],[TIENDA]],[1]INFO_LOCALES!$B:$D,3,FALSE),"")</f>
        <v/>
      </c>
      <c r="L1113" s="5" t="str">
        <f>IFERROR(VLOOKUP(I1113,[1]INFO_LOCALES!$B:$I,8,FALSE),"")</f>
        <v/>
      </c>
      <c r="M1113" s="5" t="str">
        <f>IFERROR(VLOOKUP(I1113,[1]INFO_LOCALES!$B:$H,7,FALSE),"")</f>
        <v/>
      </c>
      <c r="N1113" s="5" t="str">
        <f>IFERROR(VLOOKUP(I1113,[1]INFO_LOCALES!$B:$E,4,FALSE),"")</f>
        <v/>
      </c>
      <c r="O1113" s="5" t="e">
        <f>VLOOKUP(Tabla2[[#This Row],[TIENDA]],[1]INFO_LOCALES!$B:$J,9,0)</f>
        <v>#N/A</v>
      </c>
      <c r="P1113" s="5" t="str">
        <f>IFERROR(VLOOKUP(I1113,[1]INFO_LOCALES!$B:$F,5,FALSE),"")</f>
        <v/>
      </c>
      <c r="S1113" s="6"/>
      <c r="T1113" s="5" t="str">
        <f>UPPER(IF(Tabla2[[#This Row],[FECHA DE MUESTREO ]]=0,"",TEXT(Tabla2[[#This Row],[FECHA DE MUESTREO ]],("MMMM"))))</f>
        <v/>
      </c>
      <c r="U1113" s="6"/>
      <c r="W11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3" s="7">
        <f t="shared" si="37"/>
        <v>1</v>
      </c>
    </row>
    <row r="1114" spans="10:24" x14ac:dyDescent="0.25">
      <c r="J1114" s="5" t="str">
        <f>IFERROR(VLOOKUP(I1114,[1]INFO_LOCALES!$B:$C,2,FALSE),"")</f>
        <v/>
      </c>
      <c r="K1114" s="5" t="str">
        <f>IFERROR(VLOOKUP(Tabla2[[#This Row],[TIENDA]],[1]INFO_LOCALES!$B:$D,3,FALSE),"")</f>
        <v/>
      </c>
      <c r="L1114" s="5" t="str">
        <f>IFERROR(VLOOKUP(I1114,[1]INFO_LOCALES!$B:$I,8,FALSE),"")</f>
        <v/>
      </c>
      <c r="M1114" s="5" t="str">
        <f>IFERROR(VLOOKUP(I1114,[1]INFO_LOCALES!$B:$H,7,FALSE),"")</f>
        <v/>
      </c>
      <c r="N1114" s="5" t="str">
        <f>IFERROR(VLOOKUP(I1114,[1]INFO_LOCALES!$B:$E,4,FALSE),"")</f>
        <v/>
      </c>
      <c r="O1114" s="5" t="e">
        <f>VLOOKUP(Tabla2[[#This Row],[TIENDA]],[1]INFO_LOCALES!$B:$J,9,0)</f>
        <v>#N/A</v>
      </c>
      <c r="P1114" s="5" t="str">
        <f>IFERROR(VLOOKUP(I1114,[1]INFO_LOCALES!$B:$F,5,FALSE),"")</f>
        <v/>
      </c>
      <c r="S1114" s="6"/>
      <c r="T1114" s="5" t="str">
        <f>UPPER(IF(Tabla2[[#This Row],[FECHA DE MUESTREO ]]=0,"",TEXT(Tabla2[[#This Row],[FECHA DE MUESTREO ]],("MMMM"))))</f>
        <v/>
      </c>
      <c r="U1114" s="6"/>
      <c r="W11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4" s="7">
        <f t="shared" si="37"/>
        <v>1</v>
      </c>
    </row>
    <row r="1115" spans="10:24" x14ac:dyDescent="0.25">
      <c r="J1115" s="5" t="str">
        <f>IFERROR(VLOOKUP(I1115,[1]INFO_LOCALES!$B:$C,2,FALSE),"")</f>
        <v/>
      </c>
      <c r="K1115" s="5" t="str">
        <f>IFERROR(VLOOKUP(Tabla2[[#This Row],[TIENDA]],[1]INFO_LOCALES!$B:$D,3,FALSE),"")</f>
        <v/>
      </c>
      <c r="L1115" s="5" t="str">
        <f>IFERROR(VLOOKUP(I1115,[1]INFO_LOCALES!$B:$I,8,FALSE),"")</f>
        <v/>
      </c>
      <c r="M1115" s="5" t="str">
        <f>IFERROR(VLOOKUP(I1115,[1]INFO_LOCALES!$B:$H,7,FALSE),"")</f>
        <v/>
      </c>
      <c r="N1115" s="5" t="str">
        <f>IFERROR(VLOOKUP(I1115,[1]INFO_LOCALES!$B:$E,4,FALSE),"")</f>
        <v/>
      </c>
      <c r="O1115" s="5" t="e">
        <f>VLOOKUP(Tabla2[[#This Row],[TIENDA]],[1]INFO_LOCALES!$B:$J,9,0)</f>
        <v>#N/A</v>
      </c>
      <c r="P1115" s="5" t="str">
        <f>IFERROR(VLOOKUP(I1115,[1]INFO_LOCALES!$B:$F,5,FALSE),"")</f>
        <v/>
      </c>
      <c r="S1115" s="6"/>
      <c r="T1115" s="5" t="str">
        <f>UPPER(IF(Tabla2[[#This Row],[FECHA DE MUESTREO ]]=0,"",TEXT(Tabla2[[#This Row],[FECHA DE MUESTREO ]],("MMMM"))))</f>
        <v/>
      </c>
      <c r="U1115" s="6"/>
      <c r="W11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5" s="7">
        <f t="shared" si="37"/>
        <v>1</v>
      </c>
    </row>
    <row r="1116" spans="10:24" x14ac:dyDescent="0.25">
      <c r="J1116" s="5" t="str">
        <f>IFERROR(VLOOKUP(I1116,[1]INFO_LOCALES!$B:$C,2,FALSE),"")</f>
        <v/>
      </c>
      <c r="K1116" s="5" t="str">
        <f>IFERROR(VLOOKUP(Tabla2[[#This Row],[TIENDA]],[1]INFO_LOCALES!$B:$D,3,FALSE),"")</f>
        <v/>
      </c>
      <c r="L1116" s="5" t="str">
        <f>IFERROR(VLOOKUP(I1116,[1]INFO_LOCALES!$B:$I,8,FALSE),"")</f>
        <v/>
      </c>
      <c r="M1116" s="5" t="str">
        <f>IFERROR(VLOOKUP(I1116,[1]INFO_LOCALES!$B:$H,7,FALSE),"")</f>
        <v/>
      </c>
      <c r="N1116" s="5" t="str">
        <f>IFERROR(VLOOKUP(I1116,[1]INFO_LOCALES!$B:$E,4,FALSE),"")</f>
        <v/>
      </c>
      <c r="O1116" s="5" t="e">
        <f>VLOOKUP(Tabla2[[#This Row],[TIENDA]],[1]INFO_LOCALES!$B:$J,9,0)</f>
        <v>#N/A</v>
      </c>
      <c r="P1116" s="5" t="str">
        <f>IFERROR(VLOOKUP(I1116,[1]INFO_LOCALES!$B:$F,5,FALSE),"")</f>
        <v/>
      </c>
      <c r="S1116" s="6"/>
      <c r="T1116" s="5" t="str">
        <f>UPPER(IF(Tabla2[[#This Row],[FECHA DE MUESTREO ]]=0,"",TEXT(Tabla2[[#This Row],[FECHA DE MUESTREO ]],("MMMM"))))</f>
        <v/>
      </c>
      <c r="U1116" s="6"/>
      <c r="W11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6" s="7">
        <f t="shared" si="37"/>
        <v>1</v>
      </c>
    </row>
    <row r="1117" spans="10:24" x14ac:dyDescent="0.25">
      <c r="J1117" s="5" t="str">
        <f>IFERROR(VLOOKUP(I1117,[1]INFO_LOCALES!$B:$C,2,FALSE),"")</f>
        <v/>
      </c>
      <c r="K1117" s="5" t="str">
        <f>IFERROR(VLOOKUP(Tabla2[[#This Row],[TIENDA]],[1]INFO_LOCALES!$B:$D,3,FALSE),"")</f>
        <v/>
      </c>
      <c r="L1117" s="5" t="str">
        <f>IFERROR(VLOOKUP(I1117,[1]INFO_LOCALES!$B:$I,8,FALSE),"")</f>
        <v/>
      </c>
      <c r="M1117" s="5" t="str">
        <f>IFERROR(VLOOKUP(I1117,[1]INFO_LOCALES!$B:$H,7,FALSE),"")</f>
        <v/>
      </c>
      <c r="N1117" s="5" t="str">
        <f>IFERROR(VLOOKUP(I1117,[1]INFO_LOCALES!$B:$E,4,FALSE),"")</f>
        <v/>
      </c>
      <c r="O1117" s="5" t="e">
        <f>VLOOKUP(Tabla2[[#This Row],[TIENDA]],[1]INFO_LOCALES!$B:$J,9,0)</f>
        <v>#N/A</v>
      </c>
      <c r="P1117" s="5" t="str">
        <f>IFERROR(VLOOKUP(I1117,[1]INFO_LOCALES!$B:$F,5,FALSE),"")</f>
        <v/>
      </c>
      <c r="S1117" s="6"/>
      <c r="T1117" s="5" t="str">
        <f>UPPER(IF(Tabla2[[#This Row],[FECHA DE MUESTREO ]]=0,"",TEXT(Tabla2[[#This Row],[FECHA DE MUESTREO ]],("MMMM"))))</f>
        <v/>
      </c>
      <c r="U1117" s="6"/>
      <c r="W11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7" s="7">
        <f t="shared" si="37"/>
        <v>1</v>
      </c>
    </row>
    <row r="1118" spans="10:24" x14ac:dyDescent="0.25">
      <c r="J1118" s="5" t="str">
        <f>IFERROR(VLOOKUP(I1118,[1]INFO_LOCALES!$B:$C,2,FALSE),"")</f>
        <v/>
      </c>
      <c r="K1118" s="5" t="str">
        <f>IFERROR(VLOOKUP(Tabla2[[#This Row],[TIENDA]],[1]INFO_LOCALES!$B:$D,3,FALSE),"")</f>
        <v/>
      </c>
      <c r="L1118" s="5" t="str">
        <f>IFERROR(VLOOKUP(I1118,[1]INFO_LOCALES!$B:$I,8,FALSE),"")</f>
        <v/>
      </c>
      <c r="M1118" s="5" t="str">
        <f>IFERROR(VLOOKUP(I1118,[1]INFO_LOCALES!$B:$H,7,FALSE),"")</f>
        <v/>
      </c>
      <c r="N1118" s="5" t="str">
        <f>IFERROR(VLOOKUP(I1118,[1]INFO_LOCALES!$B:$E,4,FALSE),"")</f>
        <v/>
      </c>
      <c r="O1118" s="5" t="e">
        <f>VLOOKUP(Tabla2[[#This Row],[TIENDA]],[1]INFO_LOCALES!$B:$J,9,0)</f>
        <v>#N/A</v>
      </c>
      <c r="P1118" s="5" t="str">
        <f>IFERROR(VLOOKUP(I1118,[1]INFO_LOCALES!$B:$F,5,FALSE),"")</f>
        <v/>
      </c>
      <c r="S1118" s="6"/>
      <c r="T1118" s="5" t="str">
        <f>UPPER(IF(Tabla2[[#This Row],[FECHA DE MUESTREO ]]=0,"",TEXT(Tabla2[[#This Row],[FECHA DE MUESTREO ]],("MMMM"))))</f>
        <v/>
      </c>
      <c r="U1118" s="6"/>
      <c r="W11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8" s="7">
        <f t="shared" si="37"/>
        <v>1</v>
      </c>
    </row>
    <row r="1119" spans="10:24" x14ac:dyDescent="0.25">
      <c r="J1119" s="5" t="str">
        <f>IFERROR(VLOOKUP(I1119,[1]INFO_LOCALES!$B:$C,2,FALSE),"")</f>
        <v/>
      </c>
      <c r="K1119" s="5" t="str">
        <f>IFERROR(VLOOKUP(Tabla2[[#This Row],[TIENDA]],[1]INFO_LOCALES!$B:$D,3,FALSE),"")</f>
        <v/>
      </c>
      <c r="L1119" s="5" t="str">
        <f>IFERROR(VLOOKUP(I1119,[1]INFO_LOCALES!$B:$I,8,FALSE),"")</f>
        <v/>
      </c>
      <c r="M1119" s="5" t="str">
        <f>IFERROR(VLOOKUP(I1119,[1]INFO_LOCALES!$B:$H,7,FALSE),"")</f>
        <v/>
      </c>
      <c r="N1119" s="5" t="str">
        <f>IFERROR(VLOOKUP(I1119,[1]INFO_LOCALES!$B:$E,4,FALSE),"")</f>
        <v/>
      </c>
      <c r="O1119" s="5" t="e">
        <f>VLOOKUP(Tabla2[[#This Row],[TIENDA]],[1]INFO_LOCALES!$B:$J,9,0)</f>
        <v>#N/A</v>
      </c>
      <c r="P1119" s="5" t="str">
        <f>IFERROR(VLOOKUP(I1119,[1]INFO_LOCALES!$B:$F,5,FALSE),"")</f>
        <v/>
      </c>
      <c r="S1119" s="6"/>
      <c r="T1119" s="5" t="str">
        <f>UPPER(IF(Tabla2[[#This Row],[FECHA DE MUESTREO ]]=0,"",TEXT(Tabla2[[#This Row],[FECHA DE MUESTREO ]],("MMMM"))))</f>
        <v/>
      </c>
      <c r="U1119" s="6"/>
      <c r="W11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19" s="7">
        <f t="shared" si="37"/>
        <v>1</v>
      </c>
    </row>
    <row r="1120" spans="10:24" x14ac:dyDescent="0.25">
      <c r="J1120" s="5" t="str">
        <f>IFERROR(VLOOKUP(I1120,[1]INFO_LOCALES!$B:$C,2,FALSE),"")</f>
        <v/>
      </c>
      <c r="K1120" s="5" t="str">
        <f>IFERROR(VLOOKUP(Tabla2[[#This Row],[TIENDA]],[1]INFO_LOCALES!$B:$D,3,FALSE),"")</f>
        <v/>
      </c>
      <c r="L1120" s="5" t="str">
        <f>IFERROR(VLOOKUP(I1120,[1]INFO_LOCALES!$B:$I,8,FALSE),"")</f>
        <v/>
      </c>
      <c r="M1120" s="5" t="str">
        <f>IFERROR(VLOOKUP(I1120,[1]INFO_LOCALES!$B:$H,7,FALSE),"")</f>
        <v/>
      </c>
      <c r="N1120" s="5" t="str">
        <f>IFERROR(VLOOKUP(I1120,[1]INFO_LOCALES!$B:$E,4,FALSE),"")</f>
        <v/>
      </c>
      <c r="O1120" s="5" t="e">
        <f>VLOOKUP(Tabla2[[#This Row],[TIENDA]],[1]INFO_LOCALES!$B:$J,9,0)</f>
        <v>#N/A</v>
      </c>
      <c r="P1120" s="5" t="str">
        <f>IFERROR(VLOOKUP(I1120,[1]INFO_LOCALES!$B:$F,5,FALSE),"")</f>
        <v/>
      </c>
      <c r="S1120" s="6"/>
      <c r="T1120" s="5" t="str">
        <f>UPPER(IF(Tabla2[[#This Row],[FECHA DE MUESTREO ]]=0,"",TEXT(Tabla2[[#This Row],[FECHA DE MUESTREO ]],("MMMM"))))</f>
        <v/>
      </c>
      <c r="U1120" s="6"/>
      <c r="W11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0" s="7">
        <f t="shared" si="37"/>
        <v>1</v>
      </c>
    </row>
    <row r="1121" spans="10:24" x14ac:dyDescent="0.25">
      <c r="J1121" s="5" t="str">
        <f>IFERROR(VLOOKUP(I1121,[1]INFO_LOCALES!$B:$C,2,FALSE),"")</f>
        <v/>
      </c>
      <c r="K1121" s="5" t="str">
        <f>IFERROR(VLOOKUP(Tabla2[[#This Row],[TIENDA]],[1]INFO_LOCALES!$B:$D,3,FALSE),"")</f>
        <v/>
      </c>
      <c r="L1121" s="5" t="str">
        <f>IFERROR(VLOOKUP(I1121,[1]INFO_LOCALES!$B:$I,8,FALSE),"")</f>
        <v/>
      </c>
      <c r="M1121" s="5" t="str">
        <f>IFERROR(VLOOKUP(I1121,[1]INFO_LOCALES!$B:$H,7,FALSE),"")</f>
        <v/>
      </c>
      <c r="N1121" s="5" t="str">
        <f>IFERROR(VLOOKUP(I1121,[1]INFO_LOCALES!$B:$E,4,FALSE),"")</f>
        <v/>
      </c>
      <c r="O1121" s="5" t="e">
        <f>VLOOKUP(Tabla2[[#This Row],[TIENDA]],[1]INFO_LOCALES!$B:$J,9,0)</f>
        <v>#N/A</v>
      </c>
      <c r="P1121" s="5" t="str">
        <f>IFERROR(VLOOKUP(I1121,[1]INFO_LOCALES!$B:$F,5,FALSE),"")</f>
        <v/>
      </c>
      <c r="S1121" s="6"/>
      <c r="T1121" s="5" t="str">
        <f>UPPER(IF(Tabla2[[#This Row],[FECHA DE MUESTREO ]]=0,"",TEXT(Tabla2[[#This Row],[FECHA DE MUESTREO ]],("MMMM"))))</f>
        <v/>
      </c>
      <c r="U1121" s="6"/>
      <c r="W11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1" s="7">
        <f t="shared" si="37"/>
        <v>1</v>
      </c>
    </row>
    <row r="1122" spans="10:24" x14ac:dyDescent="0.25">
      <c r="J1122" s="5" t="str">
        <f>IFERROR(VLOOKUP(I1122,[1]INFO_LOCALES!$B:$C,2,FALSE),"")</f>
        <v/>
      </c>
      <c r="K1122" s="5" t="str">
        <f>IFERROR(VLOOKUP(Tabla2[[#This Row],[TIENDA]],[1]INFO_LOCALES!$B:$D,3,FALSE),"")</f>
        <v/>
      </c>
      <c r="L1122" s="5" t="str">
        <f>IFERROR(VLOOKUP(I1122,[1]INFO_LOCALES!$B:$I,8,FALSE),"")</f>
        <v/>
      </c>
      <c r="M1122" s="5" t="str">
        <f>IFERROR(VLOOKUP(I1122,[1]INFO_LOCALES!$B:$H,7,FALSE),"")</f>
        <v/>
      </c>
      <c r="N1122" s="5" t="str">
        <f>IFERROR(VLOOKUP(I1122,[1]INFO_LOCALES!$B:$E,4,FALSE),"")</f>
        <v/>
      </c>
      <c r="O1122" s="5" t="e">
        <f>VLOOKUP(Tabla2[[#This Row],[TIENDA]],[1]INFO_LOCALES!$B:$J,9,0)</f>
        <v>#N/A</v>
      </c>
      <c r="P1122" s="5" t="str">
        <f>IFERROR(VLOOKUP(I1122,[1]INFO_LOCALES!$B:$F,5,FALSE),"")</f>
        <v/>
      </c>
      <c r="S1122" s="6"/>
      <c r="T1122" s="5" t="str">
        <f>UPPER(IF(Tabla2[[#This Row],[FECHA DE MUESTREO ]]=0,"",TEXT(Tabla2[[#This Row],[FECHA DE MUESTREO ]],("MMMM"))))</f>
        <v/>
      </c>
      <c r="U1122" s="6"/>
      <c r="W11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2" s="7">
        <f t="shared" si="37"/>
        <v>1</v>
      </c>
    </row>
    <row r="1123" spans="10:24" x14ac:dyDescent="0.25">
      <c r="J1123" s="5" t="str">
        <f>IFERROR(VLOOKUP(I1123,[1]INFO_LOCALES!$B:$C,2,FALSE),"")</f>
        <v/>
      </c>
      <c r="K1123" s="5" t="str">
        <f>IFERROR(VLOOKUP(Tabla2[[#This Row],[TIENDA]],[1]INFO_LOCALES!$B:$D,3,FALSE),"")</f>
        <v/>
      </c>
      <c r="L1123" s="5" t="str">
        <f>IFERROR(VLOOKUP(I1123,[1]INFO_LOCALES!$B:$I,8,FALSE),"")</f>
        <v/>
      </c>
      <c r="M1123" s="5" t="str">
        <f>IFERROR(VLOOKUP(I1123,[1]INFO_LOCALES!$B:$H,7,FALSE),"")</f>
        <v/>
      </c>
      <c r="N1123" s="5" t="str">
        <f>IFERROR(VLOOKUP(I1123,[1]INFO_LOCALES!$B:$E,4,FALSE),"")</f>
        <v/>
      </c>
      <c r="O1123" s="5" t="e">
        <f>VLOOKUP(Tabla2[[#This Row],[TIENDA]],[1]INFO_LOCALES!$B:$J,9,0)</f>
        <v>#N/A</v>
      </c>
      <c r="P1123" s="5" t="str">
        <f>IFERROR(VLOOKUP(I1123,[1]INFO_LOCALES!$B:$F,5,FALSE),"")</f>
        <v/>
      </c>
      <c r="S1123" s="6"/>
      <c r="T1123" s="5" t="str">
        <f>UPPER(IF(Tabla2[[#This Row],[FECHA DE MUESTREO ]]=0,"",TEXT(Tabla2[[#This Row],[FECHA DE MUESTREO ]],("MMMM"))))</f>
        <v/>
      </c>
      <c r="U1123" s="6"/>
      <c r="W11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3" s="7">
        <f t="shared" si="37"/>
        <v>1</v>
      </c>
    </row>
    <row r="1124" spans="10:24" x14ac:dyDescent="0.25">
      <c r="J1124" s="5" t="str">
        <f>IFERROR(VLOOKUP(I1124,[1]INFO_LOCALES!$B:$C,2,FALSE),"")</f>
        <v/>
      </c>
      <c r="K1124" s="5" t="str">
        <f>IFERROR(VLOOKUP(Tabla2[[#This Row],[TIENDA]],[1]INFO_LOCALES!$B:$D,3,FALSE),"")</f>
        <v/>
      </c>
      <c r="L1124" s="5" t="str">
        <f>IFERROR(VLOOKUP(I1124,[1]INFO_LOCALES!$B:$I,8,FALSE),"")</f>
        <v/>
      </c>
      <c r="M1124" s="5" t="str">
        <f>IFERROR(VLOOKUP(I1124,[1]INFO_LOCALES!$B:$H,7,FALSE),"")</f>
        <v/>
      </c>
      <c r="N1124" s="5" t="str">
        <f>IFERROR(VLOOKUP(I1124,[1]INFO_LOCALES!$B:$E,4,FALSE),"")</f>
        <v/>
      </c>
      <c r="O1124" s="5" t="e">
        <f>VLOOKUP(Tabla2[[#This Row],[TIENDA]],[1]INFO_LOCALES!$B:$J,9,0)</f>
        <v>#N/A</v>
      </c>
      <c r="P1124" s="5" t="str">
        <f>IFERROR(VLOOKUP(I1124,[1]INFO_LOCALES!$B:$F,5,FALSE),"")</f>
        <v/>
      </c>
      <c r="S1124" s="6"/>
      <c r="T1124" s="5" t="str">
        <f>UPPER(IF(Tabla2[[#This Row],[FECHA DE MUESTREO ]]=0,"",TEXT(Tabla2[[#This Row],[FECHA DE MUESTREO ]],("MMMM"))))</f>
        <v/>
      </c>
      <c r="U1124" s="6"/>
      <c r="W11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4" s="7">
        <f t="shared" si="37"/>
        <v>1</v>
      </c>
    </row>
    <row r="1125" spans="10:24" x14ac:dyDescent="0.25">
      <c r="J1125" s="5" t="str">
        <f>IFERROR(VLOOKUP(I1125,[1]INFO_LOCALES!$B:$C,2,FALSE),"")</f>
        <v/>
      </c>
      <c r="K1125" s="5" t="str">
        <f>IFERROR(VLOOKUP(Tabla2[[#This Row],[TIENDA]],[1]INFO_LOCALES!$B:$D,3,FALSE),"")</f>
        <v/>
      </c>
      <c r="L1125" s="5" t="str">
        <f>IFERROR(VLOOKUP(I1125,[1]INFO_LOCALES!$B:$I,8,FALSE),"")</f>
        <v/>
      </c>
      <c r="M1125" s="5" t="str">
        <f>IFERROR(VLOOKUP(I1125,[1]INFO_LOCALES!$B:$H,7,FALSE),"")</f>
        <v/>
      </c>
      <c r="N1125" s="5" t="str">
        <f>IFERROR(VLOOKUP(I1125,[1]INFO_LOCALES!$B:$E,4,FALSE),"")</f>
        <v/>
      </c>
      <c r="O1125" s="5" t="e">
        <f>VLOOKUP(Tabla2[[#This Row],[TIENDA]],[1]INFO_LOCALES!$B:$J,9,0)</f>
        <v>#N/A</v>
      </c>
      <c r="P1125" s="5" t="str">
        <f>IFERROR(VLOOKUP(I1125,[1]INFO_LOCALES!$B:$F,5,FALSE),"")</f>
        <v/>
      </c>
      <c r="S1125" s="6"/>
      <c r="T1125" s="5" t="str">
        <f>UPPER(IF(Tabla2[[#This Row],[FECHA DE MUESTREO ]]=0,"",TEXT(Tabla2[[#This Row],[FECHA DE MUESTREO ]],("MMMM"))))</f>
        <v/>
      </c>
      <c r="U1125" s="6"/>
      <c r="W11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5" s="7">
        <f t="shared" si="37"/>
        <v>1</v>
      </c>
    </row>
    <row r="1126" spans="10:24" x14ac:dyDescent="0.25">
      <c r="J1126" s="5" t="str">
        <f>IFERROR(VLOOKUP(I1126,[1]INFO_LOCALES!$B:$C,2,FALSE),"")</f>
        <v/>
      </c>
      <c r="K1126" s="5" t="str">
        <f>IFERROR(VLOOKUP(Tabla2[[#This Row],[TIENDA]],[1]INFO_LOCALES!$B:$D,3,FALSE),"")</f>
        <v/>
      </c>
      <c r="L1126" s="5" t="str">
        <f>IFERROR(VLOOKUP(I1126,[1]INFO_LOCALES!$B:$I,8,FALSE),"")</f>
        <v/>
      </c>
      <c r="M1126" s="5" t="str">
        <f>IFERROR(VLOOKUP(I1126,[1]INFO_LOCALES!$B:$H,7,FALSE),"")</f>
        <v/>
      </c>
      <c r="N1126" s="5" t="str">
        <f>IFERROR(VLOOKUP(I1126,[1]INFO_LOCALES!$B:$E,4,FALSE),"")</f>
        <v/>
      </c>
      <c r="O1126" s="5" t="e">
        <f>VLOOKUP(Tabla2[[#This Row],[TIENDA]],[1]INFO_LOCALES!$B:$J,9,0)</f>
        <v>#N/A</v>
      </c>
      <c r="P1126" s="5" t="str">
        <f>IFERROR(VLOOKUP(I1126,[1]INFO_LOCALES!$B:$F,5,FALSE),"")</f>
        <v/>
      </c>
      <c r="S1126" s="6"/>
      <c r="T1126" s="5" t="str">
        <f>UPPER(IF(Tabla2[[#This Row],[FECHA DE MUESTREO ]]=0,"",TEXT(Tabla2[[#This Row],[FECHA DE MUESTREO ]],("MMMM"))))</f>
        <v/>
      </c>
      <c r="U1126" s="6"/>
      <c r="W11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6" s="7">
        <f t="shared" ref="X1126:X1189" si="38">IF(W1126="CUMPLE",1,IF(W1126="CUMPLE CON TOLERANCIA",2,IF(W1126="NO CUMPLE",3)))</f>
        <v>1</v>
      </c>
    </row>
    <row r="1127" spans="10:24" x14ac:dyDescent="0.25">
      <c r="J1127" s="5" t="str">
        <f>IFERROR(VLOOKUP(I1127,[1]INFO_LOCALES!$B:$C,2,FALSE),"")</f>
        <v/>
      </c>
      <c r="K1127" s="5" t="str">
        <f>IFERROR(VLOOKUP(Tabla2[[#This Row],[TIENDA]],[1]INFO_LOCALES!$B:$D,3,FALSE),"")</f>
        <v/>
      </c>
      <c r="L1127" s="5" t="str">
        <f>IFERROR(VLOOKUP(I1127,[1]INFO_LOCALES!$B:$I,8,FALSE),"")</f>
        <v/>
      </c>
      <c r="M1127" s="5" t="str">
        <f>IFERROR(VLOOKUP(I1127,[1]INFO_LOCALES!$B:$H,7,FALSE),"")</f>
        <v/>
      </c>
      <c r="N1127" s="5" t="str">
        <f>IFERROR(VLOOKUP(I1127,[1]INFO_LOCALES!$B:$E,4,FALSE),"")</f>
        <v/>
      </c>
      <c r="O1127" s="5" t="e">
        <f>VLOOKUP(Tabla2[[#This Row],[TIENDA]],[1]INFO_LOCALES!$B:$J,9,0)</f>
        <v>#N/A</v>
      </c>
      <c r="P1127" s="5" t="str">
        <f>IFERROR(VLOOKUP(I1127,[1]INFO_LOCALES!$B:$F,5,FALSE),"")</f>
        <v/>
      </c>
      <c r="S1127" s="6"/>
      <c r="T1127" s="5" t="str">
        <f>UPPER(IF(Tabla2[[#This Row],[FECHA DE MUESTREO ]]=0,"",TEXT(Tabla2[[#This Row],[FECHA DE MUESTREO ]],("MMMM"))))</f>
        <v/>
      </c>
      <c r="U1127" s="6"/>
      <c r="W11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7" s="7">
        <f t="shared" si="38"/>
        <v>1</v>
      </c>
    </row>
    <row r="1128" spans="10:24" x14ac:dyDescent="0.25">
      <c r="J1128" s="5" t="str">
        <f>IFERROR(VLOOKUP(I1128,[1]INFO_LOCALES!$B:$C,2,FALSE),"")</f>
        <v/>
      </c>
      <c r="K1128" s="5" t="str">
        <f>IFERROR(VLOOKUP(Tabla2[[#This Row],[TIENDA]],[1]INFO_LOCALES!$B:$D,3,FALSE),"")</f>
        <v/>
      </c>
      <c r="L1128" s="5" t="str">
        <f>IFERROR(VLOOKUP(I1128,[1]INFO_LOCALES!$B:$I,8,FALSE),"")</f>
        <v/>
      </c>
      <c r="M1128" s="5" t="str">
        <f>IFERROR(VLOOKUP(I1128,[1]INFO_LOCALES!$B:$H,7,FALSE),"")</f>
        <v/>
      </c>
      <c r="N1128" s="5" t="str">
        <f>IFERROR(VLOOKUP(I1128,[1]INFO_LOCALES!$B:$E,4,FALSE),"")</f>
        <v/>
      </c>
      <c r="O1128" s="5" t="e">
        <f>VLOOKUP(Tabla2[[#This Row],[TIENDA]],[1]INFO_LOCALES!$B:$J,9,0)</f>
        <v>#N/A</v>
      </c>
      <c r="P1128" s="5" t="str">
        <f>IFERROR(VLOOKUP(I1128,[1]INFO_LOCALES!$B:$F,5,FALSE),"")</f>
        <v/>
      </c>
      <c r="S1128" s="6"/>
      <c r="T1128" s="5" t="str">
        <f>UPPER(IF(Tabla2[[#This Row],[FECHA DE MUESTREO ]]=0,"",TEXT(Tabla2[[#This Row],[FECHA DE MUESTREO ]],("MMMM"))))</f>
        <v/>
      </c>
      <c r="U1128" s="6"/>
      <c r="W11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8" s="7">
        <f t="shared" si="38"/>
        <v>1</v>
      </c>
    </row>
    <row r="1129" spans="10:24" x14ac:dyDescent="0.25">
      <c r="J1129" s="5" t="str">
        <f>IFERROR(VLOOKUP(I1129,[1]INFO_LOCALES!$B:$C,2,FALSE),"")</f>
        <v/>
      </c>
      <c r="K1129" s="5" t="str">
        <f>IFERROR(VLOOKUP(Tabla2[[#This Row],[TIENDA]],[1]INFO_LOCALES!$B:$D,3,FALSE),"")</f>
        <v/>
      </c>
      <c r="L1129" s="5" t="str">
        <f>IFERROR(VLOOKUP(I1129,[1]INFO_LOCALES!$B:$I,8,FALSE),"")</f>
        <v/>
      </c>
      <c r="M1129" s="5" t="str">
        <f>IFERROR(VLOOKUP(I1129,[1]INFO_LOCALES!$B:$H,7,FALSE),"")</f>
        <v/>
      </c>
      <c r="N1129" s="5" t="str">
        <f>IFERROR(VLOOKUP(I1129,[1]INFO_LOCALES!$B:$E,4,FALSE),"")</f>
        <v/>
      </c>
      <c r="O1129" s="5" t="e">
        <f>VLOOKUP(Tabla2[[#This Row],[TIENDA]],[1]INFO_LOCALES!$B:$J,9,0)</f>
        <v>#N/A</v>
      </c>
      <c r="P1129" s="5" t="str">
        <f>IFERROR(VLOOKUP(I1129,[1]INFO_LOCALES!$B:$F,5,FALSE),"")</f>
        <v/>
      </c>
      <c r="S1129" s="6"/>
      <c r="T1129" s="5" t="str">
        <f>UPPER(IF(Tabla2[[#This Row],[FECHA DE MUESTREO ]]=0,"",TEXT(Tabla2[[#This Row],[FECHA DE MUESTREO ]],("MMMM"))))</f>
        <v/>
      </c>
      <c r="U1129" s="6"/>
      <c r="W11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29" s="7">
        <f t="shared" si="38"/>
        <v>1</v>
      </c>
    </row>
    <row r="1130" spans="10:24" x14ac:dyDescent="0.25">
      <c r="J1130" s="5" t="str">
        <f>IFERROR(VLOOKUP(I1130,[1]INFO_LOCALES!$B:$C,2,FALSE),"")</f>
        <v/>
      </c>
      <c r="K1130" s="5" t="str">
        <f>IFERROR(VLOOKUP(Tabla2[[#This Row],[TIENDA]],[1]INFO_LOCALES!$B:$D,3,FALSE),"")</f>
        <v/>
      </c>
      <c r="L1130" s="5" t="str">
        <f>IFERROR(VLOOKUP(I1130,[1]INFO_LOCALES!$B:$I,8,FALSE),"")</f>
        <v/>
      </c>
      <c r="M1130" s="5" t="str">
        <f>IFERROR(VLOOKUP(I1130,[1]INFO_LOCALES!$B:$H,7,FALSE),"")</f>
        <v/>
      </c>
      <c r="N1130" s="5" t="str">
        <f>IFERROR(VLOOKUP(I1130,[1]INFO_LOCALES!$B:$E,4,FALSE),"")</f>
        <v/>
      </c>
      <c r="O1130" s="5" t="e">
        <f>VLOOKUP(Tabla2[[#This Row],[TIENDA]],[1]INFO_LOCALES!$B:$J,9,0)</f>
        <v>#N/A</v>
      </c>
      <c r="P1130" s="5" t="str">
        <f>IFERROR(VLOOKUP(I1130,[1]INFO_LOCALES!$B:$F,5,FALSE),"")</f>
        <v/>
      </c>
      <c r="S1130" s="6"/>
      <c r="T1130" s="5" t="str">
        <f>UPPER(IF(Tabla2[[#This Row],[FECHA DE MUESTREO ]]=0,"",TEXT(Tabla2[[#This Row],[FECHA DE MUESTREO ]],("MMMM"))))</f>
        <v/>
      </c>
      <c r="U1130" s="6"/>
      <c r="W11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0" s="7">
        <f t="shared" si="38"/>
        <v>1</v>
      </c>
    </row>
    <row r="1131" spans="10:24" x14ac:dyDescent="0.25">
      <c r="J1131" s="5" t="str">
        <f>IFERROR(VLOOKUP(I1131,[1]INFO_LOCALES!$B:$C,2,FALSE),"")</f>
        <v/>
      </c>
      <c r="K1131" s="5" t="str">
        <f>IFERROR(VLOOKUP(Tabla2[[#This Row],[TIENDA]],[1]INFO_LOCALES!$B:$D,3,FALSE),"")</f>
        <v/>
      </c>
      <c r="L1131" s="5" t="str">
        <f>IFERROR(VLOOKUP(I1131,[1]INFO_LOCALES!$B:$I,8,FALSE),"")</f>
        <v/>
      </c>
      <c r="M1131" s="5" t="str">
        <f>IFERROR(VLOOKUP(I1131,[1]INFO_LOCALES!$B:$H,7,FALSE),"")</f>
        <v/>
      </c>
      <c r="N1131" s="5" t="str">
        <f>IFERROR(VLOOKUP(I1131,[1]INFO_LOCALES!$B:$E,4,FALSE),"")</f>
        <v/>
      </c>
      <c r="O1131" s="5" t="e">
        <f>VLOOKUP(Tabla2[[#This Row],[TIENDA]],[1]INFO_LOCALES!$B:$J,9,0)</f>
        <v>#N/A</v>
      </c>
      <c r="P1131" s="5" t="str">
        <f>IFERROR(VLOOKUP(I1131,[1]INFO_LOCALES!$B:$F,5,FALSE),"")</f>
        <v/>
      </c>
      <c r="S1131" s="6"/>
      <c r="T1131" s="5" t="str">
        <f>UPPER(IF(Tabla2[[#This Row],[FECHA DE MUESTREO ]]=0,"",TEXT(Tabla2[[#This Row],[FECHA DE MUESTREO ]],("MMMM"))))</f>
        <v/>
      </c>
      <c r="U1131" s="6"/>
      <c r="W11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1" s="7">
        <f t="shared" si="38"/>
        <v>1</v>
      </c>
    </row>
    <row r="1132" spans="10:24" x14ac:dyDescent="0.25">
      <c r="J1132" s="5" t="str">
        <f>IFERROR(VLOOKUP(I1132,[1]INFO_LOCALES!$B:$C,2,FALSE),"")</f>
        <v/>
      </c>
      <c r="K1132" s="5" t="str">
        <f>IFERROR(VLOOKUP(Tabla2[[#This Row],[TIENDA]],[1]INFO_LOCALES!$B:$D,3,FALSE),"")</f>
        <v/>
      </c>
      <c r="L1132" s="5" t="str">
        <f>IFERROR(VLOOKUP(I1132,[1]INFO_LOCALES!$B:$I,8,FALSE),"")</f>
        <v/>
      </c>
      <c r="M1132" s="5" t="str">
        <f>IFERROR(VLOOKUP(I1132,[1]INFO_LOCALES!$B:$H,7,FALSE),"")</f>
        <v/>
      </c>
      <c r="N1132" s="5" t="str">
        <f>IFERROR(VLOOKUP(I1132,[1]INFO_LOCALES!$B:$E,4,FALSE),"")</f>
        <v/>
      </c>
      <c r="O1132" s="5" t="e">
        <f>VLOOKUP(Tabla2[[#This Row],[TIENDA]],[1]INFO_LOCALES!$B:$J,9,0)</f>
        <v>#N/A</v>
      </c>
      <c r="P1132" s="5" t="str">
        <f>IFERROR(VLOOKUP(I1132,[1]INFO_LOCALES!$B:$F,5,FALSE),"")</f>
        <v/>
      </c>
      <c r="S1132" s="6"/>
      <c r="T1132" s="5" t="str">
        <f>UPPER(IF(Tabla2[[#This Row],[FECHA DE MUESTREO ]]=0,"",TEXT(Tabla2[[#This Row],[FECHA DE MUESTREO ]],("MMMM"))))</f>
        <v/>
      </c>
      <c r="U1132" s="6"/>
      <c r="W11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2" s="7">
        <f t="shared" si="38"/>
        <v>1</v>
      </c>
    </row>
    <row r="1133" spans="10:24" x14ac:dyDescent="0.25">
      <c r="J1133" s="5" t="str">
        <f>IFERROR(VLOOKUP(I1133,[1]INFO_LOCALES!$B:$C,2,FALSE),"")</f>
        <v/>
      </c>
      <c r="K1133" s="5" t="str">
        <f>IFERROR(VLOOKUP(Tabla2[[#This Row],[TIENDA]],[1]INFO_LOCALES!$B:$D,3,FALSE),"")</f>
        <v/>
      </c>
      <c r="L1133" s="5" t="str">
        <f>IFERROR(VLOOKUP(I1133,[1]INFO_LOCALES!$B:$I,8,FALSE),"")</f>
        <v/>
      </c>
      <c r="M1133" s="5" t="str">
        <f>IFERROR(VLOOKUP(I1133,[1]INFO_LOCALES!$B:$H,7,FALSE),"")</f>
        <v/>
      </c>
      <c r="N1133" s="5" t="str">
        <f>IFERROR(VLOOKUP(I1133,[1]INFO_LOCALES!$B:$E,4,FALSE),"")</f>
        <v/>
      </c>
      <c r="O1133" s="5" t="e">
        <f>VLOOKUP(Tabla2[[#This Row],[TIENDA]],[1]INFO_LOCALES!$B:$J,9,0)</f>
        <v>#N/A</v>
      </c>
      <c r="P1133" s="5" t="str">
        <f>IFERROR(VLOOKUP(I1133,[1]INFO_LOCALES!$B:$F,5,FALSE),"")</f>
        <v/>
      </c>
      <c r="S1133" s="6"/>
      <c r="T1133" s="5" t="str">
        <f>UPPER(IF(Tabla2[[#This Row],[FECHA DE MUESTREO ]]=0,"",TEXT(Tabla2[[#This Row],[FECHA DE MUESTREO ]],("MMMM"))))</f>
        <v/>
      </c>
      <c r="U1133" s="6"/>
      <c r="W11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3" s="7">
        <f t="shared" si="38"/>
        <v>1</v>
      </c>
    </row>
    <row r="1134" spans="10:24" x14ac:dyDescent="0.25">
      <c r="J1134" s="5" t="str">
        <f>IFERROR(VLOOKUP(I1134,[1]INFO_LOCALES!$B:$C,2,FALSE),"")</f>
        <v/>
      </c>
      <c r="K1134" s="5" t="str">
        <f>IFERROR(VLOOKUP(Tabla2[[#This Row],[TIENDA]],[1]INFO_LOCALES!$B:$D,3,FALSE),"")</f>
        <v/>
      </c>
      <c r="L1134" s="5" t="str">
        <f>IFERROR(VLOOKUP(I1134,[1]INFO_LOCALES!$B:$I,8,FALSE),"")</f>
        <v/>
      </c>
      <c r="M1134" s="5" t="str">
        <f>IFERROR(VLOOKUP(I1134,[1]INFO_LOCALES!$B:$H,7,FALSE),"")</f>
        <v/>
      </c>
      <c r="N1134" s="5" t="str">
        <f>IFERROR(VLOOKUP(I1134,[1]INFO_LOCALES!$B:$E,4,FALSE),"")</f>
        <v/>
      </c>
      <c r="O1134" s="5" t="e">
        <f>VLOOKUP(Tabla2[[#This Row],[TIENDA]],[1]INFO_LOCALES!$B:$J,9,0)</f>
        <v>#N/A</v>
      </c>
      <c r="P1134" s="5" t="str">
        <f>IFERROR(VLOOKUP(I1134,[1]INFO_LOCALES!$B:$F,5,FALSE),"")</f>
        <v/>
      </c>
      <c r="S1134" s="6"/>
      <c r="T1134" s="5" t="str">
        <f>UPPER(IF(Tabla2[[#This Row],[FECHA DE MUESTREO ]]=0,"",TEXT(Tabla2[[#This Row],[FECHA DE MUESTREO ]],("MMMM"))))</f>
        <v/>
      </c>
      <c r="U1134" s="6"/>
      <c r="W11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4" s="7">
        <f t="shared" si="38"/>
        <v>1</v>
      </c>
    </row>
    <row r="1135" spans="10:24" x14ac:dyDescent="0.25">
      <c r="J1135" s="5" t="str">
        <f>IFERROR(VLOOKUP(I1135,[1]INFO_LOCALES!$B:$C,2,FALSE),"")</f>
        <v/>
      </c>
      <c r="K1135" s="5" t="str">
        <f>IFERROR(VLOOKUP(Tabla2[[#This Row],[TIENDA]],[1]INFO_LOCALES!$B:$D,3,FALSE),"")</f>
        <v/>
      </c>
      <c r="L1135" s="5" t="str">
        <f>IFERROR(VLOOKUP(I1135,[1]INFO_LOCALES!$B:$I,8,FALSE),"")</f>
        <v/>
      </c>
      <c r="M1135" s="5" t="str">
        <f>IFERROR(VLOOKUP(I1135,[1]INFO_LOCALES!$B:$H,7,FALSE),"")</f>
        <v/>
      </c>
      <c r="N1135" s="5" t="str">
        <f>IFERROR(VLOOKUP(I1135,[1]INFO_LOCALES!$B:$E,4,FALSE),"")</f>
        <v/>
      </c>
      <c r="O1135" s="5" t="e">
        <f>VLOOKUP(Tabla2[[#This Row],[TIENDA]],[1]INFO_LOCALES!$B:$J,9,0)</f>
        <v>#N/A</v>
      </c>
      <c r="P1135" s="5" t="str">
        <f>IFERROR(VLOOKUP(I1135,[1]INFO_LOCALES!$B:$F,5,FALSE),"")</f>
        <v/>
      </c>
      <c r="S1135" s="6"/>
      <c r="T1135" s="5" t="str">
        <f>UPPER(IF(Tabla2[[#This Row],[FECHA DE MUESTREO ]]=0,"",TEXT(Tabla2[[#This Row],[FECHA DE MUESTREO ]],("MMMM"))))</f>
        <v/>
      </c>
      <c r="U1135" s="6"/>
      <c r="W11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5" s="7">
        <f t="shared" si="38"/>
        <v>1</v>
      </c>
    </row>
    <row r="1136" spans="10:24" x14ac:dyDescent="0.25">
      <c r="J1136" s="5" t="str">
        <f>IFERROR(VLOOKUP(I1136,[1]INFO_LOCALES!$B:$C,2,FALSE),"")</f>
        <v/>
      </c>
      <c r="K1136" s="5" t="str">
        <f>IFERROR(VLOOKUP(Tabla2[[#This Row],[TIENDA]],[1]INFO_LOCALES!$B:$D,3,FALSE),"")</f>
        <v/>
      </c>
      <c r="L1136" s="5" t="str">
        <f>IFERROR(VLOOKUP(I1136,[1]INFO_LOCALES!$B:$I,8,FALSE),"")</f>
        <v/>
      </c>
      <c r="M1136" s="5" t="str">
        <f>IFERROR(VLOOKUP(I1136,[1]INFO_LOCALES!$B:$H,7,FALSE),"")</f>
        <v/>
      </c>
      <c r="N1136" s="5" t="str">
        <f>IFERROR(VLOOKUP(I1136,[1]INFO_LOCALES!$B:$E,4,FALSE),"")</f>
        <v/>
      </c>
      <c r="O1136" s="5" t="e">
        <f>VLOOKUP(Tabla2[[#This Row],[TIENDA]],[1]INFO_LOCALES!$B:$J,9,0)</f>
        <v>#N/A</v>
      </c>
      <c r="P1136" s="5" t="str">
        <f>IFERROR(VLOOKUP(I1136,[1]INFO_LOCALES!$B:$F,5,FALSE),"")</f>
        <v/>
      </c>
      <c r="S1136" s="6"/>
      <c r="T1136" s="5" t="str">
        <f>UPPER(IF(Tabla2[[#This Row],[FECHA DE MUESTREO ]]=0,"",TEXT(Tabla2[[#This Row],[FECHA DE MUESTREO ]],("MMMM"))))</f>
        <v/>
      </c>
      <c r="U1136" s="6"/>
      <c r="W11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6" s="7">
        <f t="shared" si="38"/>
        <v>1</v>
      </c>
    </row>
    <row r="1137" spans="10:24" x14ac:dyDescent="0.25">
      <c r="J1137" s="5" t="str">
        <f>IFERROR(VLOOKUP(I1137,[1]INFO_LOCALES!$B:$C,2,FALSE),"")</f>
        <v/>
      </c>
      <c r="K1137" s="5" t="str">
        <f>IFERROR(VLOOKUP(Tabla2[[#This Row],[TIENDA]],[1]INFO_LOCALES!$B:$D,3,FALSE),"")</f>
        <v/>
      </c>
      <c r="L1137" s="5" t="str">
        <f>IFERROR(VLOOKUP(I1137,[1]INFO_LOCALES!$B:$I,8,FALSE),"")</f>
        <v/>
      </c>
      <c r="M1137" s="5" t="str">
        <f>IFERROR(VLOOKUP(I1137,[1]INFO_LOCALES!$B:$H,7,FALSE),"")</f>
        <v/>
      </c>
      <c r="N1137" s="5" t="str">
        <f>IFERROR(VLOOKUP(I1137,[1]INFO_LOCALES!$B:$E,4,FALSE),"")</f>
        <v/>
      </c>
      <c r="O1137" s="5" t="e">
        <f>VLOOKUP(Tabla2[[#This Row],[TIENDA]],[1]INFO_LOCALES!$B:$J,9,0)</f>
        <v>#N/A</v>
      </c>
      <c r="P1137" s="5" t="str">
        <f>IFERROR(VLOOKUP(I1137,[1]INFO_LOCALES!$B:$F,5,FALSE),"")</f>
        <v/>
      </c>
      <c r="S1137" s="6"/>
      <c r="T1137" s="5" t="str">
        <f>UPPER(IF(Tabla2[[#This Row],[FECHA DE MUESTREO ]]=0,"",TEXT(Tabla2[[#This Row],[FECHA DE MUESTREO ]],("MMMM"))))</f>
        <v/>
      </c>
      <c r="U1137" s="6"/>
      <c r="W11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7" s="7">
        <f t="shared" si="38"/>
        <v>1</v>
      </c>
    </row>
    <row r="1138" spans="10:24" x14ac:dyDescent="0.25">
      <c r="J1138" s="5" t="str">
        <f>IFERROR(VLOOKUP(I1138,[1]INFO_LOCALES!$B:$C,2,FALSE),"")</f>
        <v/>
      </c>
      <c r="K1138" s="5" t="str">
        <f>IFERROR(VLOOKUP(Tabla2[[#This Row],[TIENDA]],[1]INFO_LOCALES!$B:$D,3,FALSE),"")</f>
        <v/>
      </c>
      <c r="L1138" s="5" t="str">
        <f>IFERROR(VLOOKUP(I1138,[1]INFO_LOCALES!$B:$I,8,FALSE),"")</f>
        <v/>
      </c>
      <c r="M1138" s="5" t="str">
        <f>IFERROR(VLOOKUP(I1138,[1]INFO_LOCALES!$B:$H,7,FALSE),"")</f>
        <v/>
      </c>
      <c r="N1138" s="5" t="str">
        <f>IFERROR(VLOOKUP(I1138,[1]INFO_LOCALES!$B:$E,4,FALSE),"")</f>
        <v/>
      </c>
      <c r="O1138" s="5" t="e">
        <f>VLOOKUP(Tabla2[[#This Row],[TIENDA]],[1]INFO_LOCALES!$B:$J,9,0)</f>
        <v>#N/A</v>
      </c>
      <c r="P1138" s="5" t="str">
        <f>IFERROR(VLOOKUP(I1138,[1]INFO_LOCALES!$B:$F,5,FALSE),"")</f>
        <v/>
      </c>
      <c r="S1138" s="6"/>
      <c r="T1138" s="5" t="str">
        <f>UPPER(IF(Tabla2[[#This Row],[FECHA DE MUESTREO ]]=0,"",TEXT(Tabla2[[#This Row],[FECHA DE MUESTREO ]],("MMMM"))))</f>
        <v/>
      </c>
      <c r="U1138" s="6"/>
      <c r="W11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8" s="7">
        <f t="shared" si="38"/>
        <v>1</v>
      </c>
    </row>
    <row r="1139" spans="10:24" x14ac:dyDescent="0.25">
      <c r="J1139" s="5" t="str">
        <f>IFERROR(VLOOKUP(I1139,[1]INFO_LOCALES!$B:$C,2,FALSE),"")</f>
        <v/>
      </c>
      <c r="K1139" s="5" t="str">
        <f>IFERROR(VLOOKUP(Tabla2[[#This Row],[TIENDA]],[1]INFO_LOCALES!$B:$D,3,FALSE),"")</f>
        <v/>
      </c>
      <c r="L1139" s="5" t="str">
        <f>IFERROR(VLOOKUP(I1139,[1]INFO_LOCALES!$B:$I,8,FALSE),"")</f>
        <v/>
      </c>
      <c r="M1139" s="5" t="str">
        <f>IFERROR(VLOOKUP(I1139,[1]INFO_LOCALES!$B:$H,7,FALSE),"")</f>
        <v/>
      </c>
      <c r="N1139" s="5" t="str">
        <f>IFERROR(VLOOKUP(I1139,[1]INFO_LOCALES!$B:$E,4,FALSE),"")</f>
        <v/>
      </c>
      <c r="O1139" s="5" t="e">
        <f>VLOOKUP(Tabla2[[#This Row],[TIENDA]],[1]INFO_LOCALES!$B:$J,9,0)</f>
        <v>#N/A</v>
      </c>
      <c r="P1139" s="5" t="str">
        <f>IFERROR(VLOOKUP(I1139,[1]INFO_LOCALES!$B:$F,5,FALSE),"")</f>
        <v/>
      </c>
      <c r="S1139" s="6"/>
      <c r="T1139" s="5" t="str">
        <f>UPPER(IF(Tabla2[[#This Row],[FECHA DE MUESTREO ]]=0,"",TEXT(Tabla2[[#This Row],[FECHA DE MUESTREO ]],("MMMM"))))</f>
        <v/>
      </c>
      <c r="U1139" s="6"/>
      <c r="W11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39" s="7">
        <f t="shared" si="38"/>
        <v>1</v>
      </c>
    </row>
    <row r="1140" spans="10:24" x14ac:dyDescent="0.25">
      <c r="J1140" s="5" t="str">
        <f>IFERROR(VLOOKUP(I1140,[1]INFO_LOCALES!$B:$C,2,FALSE),"")</f>
        <v/>
      </c>
      <c r="K1140" s="5" t="str">
        <f>IFERROR(VLOOKUP(Tabla2[[#This Row],[TIENDA]],[1]INFO_LOCALES!$B:$D,3,FALSE),"")</f>
        <v/>
      </c>
      <c r="L1140" s="5" t="str">
        <f>IFERROR(VLOOKUP(I1140,[1]INFO_LOCALES!$B:$I,8,FALSE),"")</f>
        <v/>
      </c>
      <c r="M1140" s="5" t="str">
        <f>IFERROR(VLOOKUP(I1140,[1]INFO_LOCALES!$B:$H,7,FALSE),"")</f>
        <v/>
      </c>
      <c r="N1140" s="5" t="str">
        <f>IFERROR(VLOOKUP(I1140,[1]INFO_LOCALES!$B:$E,4,FALSE),"")</f>
        <v/>
      </c>
      <c r="O1140" s="5" t="e">
        <f>VLOOKUP(Tabla2[[#This Row],[TIENDA]],[1]INFO_LOCALES!$B:$J,9,0)</f>
        <v>#N/A</v>
      </c>
      <c r="P1140" s="5" t="str">
        <f>IFERROR(VLOOKUP(I1140,[1]INFO_LOCALES!$B:$F,5,FALSE),"")</f>
        <v/>
      </c>
      <c r="S1140" s="6"/>
      <c r="T1140" s="5" t="str">
        <f>UPPER(IF(Tabla2[[#This Row],[FECHA DE MUESTREO ]]=0,"",TEXT(Tabla2[[#This Row],[FECHA DE MUESTREO ]],("MMMM"))))</f>
        <v/>
      </c>
      <c r="U1140" s="6"/>
      <c r="W11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0" s="7">
        <f t="shared" si="38"/>
        <v>1</v>
      </c>
    </row>
    <row r="1141" spans="10:24" x14ac:dyDescent="0.25">
      <c r="J1141" s="5" t="str">
        <f>IFERROR(VLOOKUP(I1141,[1]INFO_LOCALES!$B:$C,2,FALSE),"")</f>
        <v/>
      </c>
      <c r="K1141" s="5" t="str">
        <f>IFERROR(VLOOKUP(Tabla2[[#This Row],[TIENDA]],[1]INFO_LOCALES!$B:$D,3,FALSE),"")</f>
        <v/>
      </c>
      <c r="L1141" s="5" t="str">
        <f>IFERROR(VLOOKUP(I1141,[1]INFO_LOCALES!$B:$I,8,FALSE),"")</f>
        <v/>
      </c>
      <c r="M1141" s="5" t="str">
        <f>IFERROR(VLOOKUP(I1141,[1]INFO_LOCALES!$B:$H,7,FALSE),"")</f>
        <v/>
      </c>
      <c r="N1141" s="5" t="str">
        <f>IFERROR(VLOOKUP(I1141,[1]INFO_LOCALES!$B:$E,4,FALSE),"")</f>
        <v/>
      </c>
      <c r="O1141" s="5" t="e">
        <f>VLOOKUP(Tabla2[[#This Row],[TIENDA]],[1]INFO_LOCALES!$B:$J,9,0)</f>
        <v>#N/A</v>
      </c>
      <c r="P1141" s="5" t="str">
        <f>IFERROR(VLOOKUP(I1141,[1]INFO_LOCALES!$B:$F,5,FALSE),"")</f>
        <v/>
      </c>
      <c r="S1141" s="6"/>
      <c r="T1141" s="5" t="str">
        <f>UPPER(IF(Tabla2[[#This Row],[FECHA DE MUESTREO ]]=0,"",TEXT(Tabla2[[#This Row],[FECHA DE MUESTREO ]],("MMMM"))))</f>
        <v/>
      </c>
      <c r="U1141" s="6"/>
      <c r="W11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1" s="7">
        <f t="shared" si="38"/>
        <v>1</v>
      </c>
    </row>
    <row r="1142" spans="10:24" x14ac:dyDescent="0.25">
      <c r="J1142" s="5" t="str">
        <f>IFERROR(VLOOKUP(I1142,[1]INFO_LOCALES!$B:$C,2,FALSE),"")</f>
        <v/>
      </c>
      <c r="K1142" s="5" t="str">
        <f>IFERROR(VLOOKUP(Tabla2[[#This Row],[TIENDA]],[1]INFO_LOCALES!$B:$D,3,FALSE),"")</f>
        <v/>
      </c>
      <c r="L1142" s="5" t="str">
        <f>IFERROR(VLOOKUP(I1142,[1]INFO_LOCALES!$B:$I,8,FALSE),"")</f>
        <v/>
      </c>
      <c r="M1142" s="5" t="str">
        <f>IFERROR(VLOOKUP(I1142,[1]INFO_LOCALES!$B:$H,7,FALSE),"")</f>
        <v/>
      </c>
      <c r="N1142" s="5" t="str">
        <f>IFERROR(VLOOKUP(I1142,[1]INFO_LOCALES!$B:$E,4,FALSE),"")</f>
        <v/>
      </c>
      <c r="O1142" s="5" t="e">
        <f>VLOOKUP(Tabla2[[#This Row],[TIENDA]],[1]INFO_LOCALES!$B:$J,9,0)</f>
        <v>#N/A</v>
      </c>
      <c r="P1142" s="5" t="str">
        <f>IFERROR(VLOOKUP(I1142,[1]INFO_LOCALES!$B:$F,5,FALSE),"")</f>
        <v/>
      </c>
      <c r="S1142" s="6"/>
      <c r="T1142" s="5" t="str">
        <f>UPPER(IF(Tabla2[[#This Row],[FECHA DE MUESTREO ]]=0,"",TEXT(Tabla2[[#This Row],[FECHA DE MUESTREO ]],("MMMM"))))</f>
        <v/>
      </c>
      <c r="U1142" s="6"/>
      <c r="W11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2" s="7">
        <f t="shared" si="38"/>
        <v>1</v>
      </c>
    </row>
    <row r="1143" spans="10:24" x14ac:dyDescent="0.25">
      <c r="J1143" s="5" t="str">
        <f>IFERROR(VLOOKUP(I1143,[1]INFO_LOCALES!$B:$C,2,FALSE),"")</f>
        <v/>
      </c>
      <c r="K1143" s="5" t="str">
        <f>IFERROR(VLOOKUP(Tabla2[[#This Row],[TIENDA]],[1]INFO_LOCALES!$B:$D,3,FALSE),"")</f>
        <v/>
      </c>
      <c r="L1143" s="5" t="str">
        <f>IFERROR(VLOOKUP(I1143,[1]INFO_LOCALES!$B:$I,8,FALSE),"")</f>
        <v/>
      </c>
      <c r="M1143" s="5" t="str">
        <f>IFERROR(VLOOKUP(I1143,[1]INFO_LOCALES!$B:$H,7,FALSE),"")</f>
        <v/>
      </c>
      <c r="N1143" s="5" t="str">
        <f>IFERROR(VLOOKUP(I1143,[1]INFO_LOCALES!$B:$E,4,FALSE),"")</f>
        <v/>
      </c>
      <c r="O1143" s="5" t="e">
        <f>VLOOKUP(Tabla2[[#This Row],[TIENDA]],[1]INFO_LOCALES!$B:$J,9,0)</f>
        <v>#N/A</v>
      </c>
      <c r="P1143" s="5" t="str">
        <f>IFERROR(VLOOKUP(I1143,[1]INFO_LOCALES!$B:$F,5,FALSE),"")</f>
        <v/>
      </c>
      <c r="S1143" s="6"/>
      <c r="T1143" s="5" t="str">
        <f>UPPER(IF(Tabla2[[#This Row],[FECHA DE MUESTREO ]]=0,"",TEXT(Tabla2[[#This Row],[FECHA DE MUESTREO ]],("MMMM"))))</f>
        <v/>
      </c>
      <c r="U1143" s="6"/>
      <c r="W11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3" s="7">
        <f t="shared" si="38"/>
        <v>1</v>
      </c>
    </row>
    <row r="1144" spans="10:24" x14ac:dyDescent="0.25">
      <c r="J1144" s="5" t="str">
        <f>IFERROR(VLOOKUP(I1144,[1]INFO_LOCALES!$B:$C,2,FALSE),"")</f>
        <v/>
      </c>
      <c r="K1144" s="5" t="str">
        <f>IFERROR(VLOOKUP(Tabla2[[#This Row],[TIENDA]],[1]INFO_LOCALES!$B:$D,3,FALSE),"")</f>
        <v/>
      </c>
      <c r="L1144" s="5" t="str">
        <f>IFERROR(VLOOKUP(I1144,[1]INFO_LOCALES!$B:$I,8,FALSE),"")</f>
        <v/>
      </c>
      <c r="M1144" s="5" t="str">
        <f>IFERROR(VLOOKUP(I1144,[1]INFO_LOCALES!$B:$H,7,FALSE),"")</f>
        <v/>
      </c>
      <c r="N1144" s="5" t="str">
        <f>IFERROR(VLOOKUP(I1144,[1]INFO_LOCALES!$B:$E,4,FALSE),"")</f>
        <v/>
      </c>
      <c r="O1144" s="5" t="e">
        <f>VLOOKUP(Tabla2[[#This Row],[TIENDA]],[1]INFO_LOCALES!$B:$J,9,0)</f>
        <v>#N/A</v>
      </c>
      <c r="P1144" s="5" t="str">
        <f>IFERROR(VLOOKUP(I1144,[1]INFO_LOCALES!$B:$F,5,FALSE),"")</f>
        <v/>
      </c>
      <c r="S1144" s="6"/>
      <c r="T1144" s="5" t="str">
        <f>UPPER(IF(Tabla2[[#This Row],[FECHA DE MUESTREO ]]=0,"",TEXT(Tabla2[[#This Row],[FECHA DE MUESTREO ]],("MMMM"))))</f>
        <v/>
      </c>
      <c r="U1144" s="6"/>
      <c r="W11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4" s="7">
        <f t="shared" si="38"/>
        <v>1</v>
      </c>
    </row>
    <row r="1145" spans="10:24" x14ac:dyDescent="0.25">
      <c r="J1145" s="5" t="str">
        <f>IFERROR(VLOOKUP(I1145,[1]INFO_LOCALES!$B:$C,2,FALSE),"")</f>
        <v/>
      </c>
      <c r="K1145" s="5" t="str">
        <f>IFERROR(VLOOKUP(Tabla2[[#This Row],[TIENDA]],[1]INFO_LOCALES!$B:$D,3,FALSE),"")</f>
        <v/>
      </c>
      <c r="L1145" s="5" t="str">
        <f>IFERROR(VLOOKUP(I1145,[1]INFO_LOCALES!$B:$I,8,FALSE),"")</f>
        <v/>
      </c>
      <c r="M1145" s="5" t="str">
        <f>IFERROR(VLOOKUP(I1145,[1]INFO_LOCALES!$B:$H,7,FALSE),"")</f>
        <v/>
      </c>
      <c r="N1145" s="5" t="str">
        <f>IFERROR(VLOOKUP(I1145,[1]INFO_LOCALES!$B:$E,4,FALSE),"")</f>
        <v/>
      </c>
      <c r="O1145" s="5" t="e">
        <f>VLOOKUP(Tabla2[[#This Row],[TIENDA]],[1]INFO_LOCALES!$B:$J,9,0)</f>
        <v>#N/A</v>
      </c>
      <c r="P1145" s="5" t="str">
        <f>IFERROR(VLOOKUP(I1145,[1]INFO_LOCALES!$B:$F,5,FALSE),"")</f>
        <v/>
      </c>
      <c r="S1145" s="6"/>
      <c r="T1145" s="5" t="str">
        <f>UPPER(IF(Tabla2[[#This Row],[FECHA DE MUESTREO ]]=0,"",TEXT(Tabla2[[#This Row],[FECHA DE MUESTREO ]],("MMMM"))))</f>
        <v/>
      </c>
      <c r="U1145" s="6"/>
      <c r="W11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5" s="7">
        <f t="shared" si="38"/>
        <v>1</v>
      </c>
    </row>
    <row r="1146" spans="10:24" x14ac:dyDescent="0.25">
      <c r="J1146" s="5" t="str">
        <f>IFERROR(VLOOKUP(I1146,[1]INFO_LOCALES!$B:$C,2,FALSE),"")</f>
        <v/>
      </c>
      <c r="K1146" s="5" t="str">
        <f>IFERROR(VLOOKUP(Tabla2[[#This Row],[TIENDA]],[1]INFO_LOCALES!$B:$D,3,FALSE),"")</f>
        <v/>
      </c>
      <c r="L1146" s="5" t="str">
        <f>IFERROR(VLOOKUP(I1146,[1]INFO_LOCALES!$B:$I,8,FALSE),"")</f>
        <v/>
      </c>
      <c r="M1146" s="5" t="str">
        <f>IFERROR(VLOOKUP(I1146,[1]INFO_LOCALES!$B:$H,7,FALSE),"")</f>
        <v/>
      </c>
      <c r="N1146" s="5" t="str">
        <f>IFERROR(VLOOKUP(I1146,[1]INFO_LOCALES!$B:$E,4,FALSE),"")</f>
        <v/>
      </c>
      <c r="O1146" s="5" t="e">
        <f>VLOOKUP(Tabla2[[#This Row],[TIENDA]],[1]INFO_LOCALES!$B:$J,9,0)</f>
        <v>#N/A</v>
      </c>
      <c r="P1146" s="5" t="str">
        <f>IFERROR(VLOOKUP(I1146,[1]INFO_LOCALES!$B:$F,5,FALSE),"")</f>
        <v/>
      </c>
      <c r="S1146" s="6"/>
      <c r="T1146" s="5" t="str">
        <f>UPPER(IF(Tabla2[[#This Row],[FECHA DE MUESTREO ]]=0,"",TEXT(Tabla2[[#This Row],[FECHA DE MUESTREO ]],("MMMM"))))</f>
        <v/>
      </c>
      <c r="U1146" s="6"/>
      <c r="W11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6" s="7">
        <f t="shared" si="38"/>
        <v>1</v>
      </c>
    </row>
    <row r="1147" spans="10:24" x14ac:dyDescent="0.25">
      <c r="J1147" s="5" t="str">
        <f>IFERROR(VLOOKUP(I1147,[1]INFO_LOCALES!$B:$C,2,FALSE),"")</f>
        <v/>
      </c>
      <c r="K1147" s="5" t="str">
        <f>IFERROR(VLOOKUP(Tabla2[[#This Row],[TIENDA]],[1]INFO_LOCALES!$B:$D,3,FALSE),"")</f>
        <v/>
      </c>
      <c r="L1147" s="5" t="str">
        <f>IFERROR(VLOOKUP(I1147,[1]INFO_LOCALES!$B:$I,8,FALSE),"")</f>
        <v/>
      </c>
      <c r="M1147" s="5" t="str">
        <f>IFERROR(VLOOKUP(I1147,[1]INFO_LOCALES!$B:$H,7,FALSE),"")</f>
        <v/>
      </c>
      <c r="N1147" s="5" t="str">
        <f>IFERROR(VLOOKUP(I1147,[1]INFO_LOCALES!$B:$E,4,FALSE),"")</f>
        <v/>
      </c>
      <c r="O1147" s="5" t="e">
        <f>VLOOKUP(Tabla2[[#This Row],[TIENDA]],[1]INFO_LOCALES!$B:$J,9,0)</f>
        <v>#N/A</v>
      </c>
      <c r="P1147" s="5" t="str">
        <f>IFERROR(VLOOKUP(I1147,[1]INFO_LOCALES!$B:$F,5,FALSE),"")</f>
        <v/>
      </c>
      <c r="S1147" s="6"/>
      <c r="T1147" s="5" t="str">
        <f>UPPER(IF(Tabla2[[#This Row],[FECHA DE MUESTREO ]]=0,"",TEXT(Tabla2[[#This Row],[FECHA DE MUESTREO ]],("MMMM"))))</f>
        <v/>
      </c>
      <c r="U1147" s="6"/>
      <c r="W11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7" s="7">
        <f t="shared" si="38"/>
        <v>1</v>
      </c>
    </row>
    <row r="1148" spans="10:24" x14ac:dyDescent="0.25">
      <c r="J1148" s="5" t="str">
        <f>IFERROR(VLOOKUP(I1148,[1]INFO_LOCALES!$B:$C,2,FALSE),"")</f>
        <v/>
      </c>
      <c r="K1148" s="5" t="str">
        <f>IFERROR(VLOOKUP(Tabla2[[#This Row],[TIENDA]],[1]INFO_LOCALES!$B:$D,3,FALSE),"")</f>
        <v/>
      </c>
      <c r="L1148" s="5" t="str">
        <f>IFERROR(VLOOKUP(I1148,[1]INFO_LOCALES!$B:$I,8,FALSE),"")</f>
        <v/>
      </c>
      <c r="M1148" s="5" t="str">
        <f>IFERROR(VLOOKUP(I1148,[1]INFO_LOCALES!$B:$H,7,FALSE),"")</f>
        <v/>
      </c>
      <c r="N1148" s="5" t="str">
        <f>IFERROR(VLOOKUP(I1148,[1]INFO_LOCALES!$B:$E,4,FALSE),"")</f>
        <v/>
      </c>
      <c r="O1148" s="5" t="e">
        <f>VLOOKUP(Tabla2[[#This Row],[TIENDA]],[1]INFO_LOCALES!$B:$J,9,0)</f>
        <v>#N/A</v>
      </c>
      <c r="P1148" s="5" t="str">
        <f>IFERROR(VLOOKUP(I1148,[1]INFO_LOCALES!$B:$F,5,FALSE),"")</f>
        <v/>
      </c>
      <c r="S1148" s="6"/>
      <c r="T1148" s="5" t="str">
        <f>UPPER(IF(Tabla2[[#This Row],[FECHA DE MUESTREO ]]=0,"",TEXT(Tabla2[[#This Row],[FECHA DE MUESTREO ]],("MMMM"))))</f>
        <v/>
      </c>
      <c r="U1148" s="6"/>
      <c r="W11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8" s="7">
        <f t="shared" si="38"/>
        <v>1</v>
      </c>
    </row>
    <row r="1149" spans="10:24" x14ac:dyDescent="0.25">
      <c r="J1149" s="5" t="str">
        <f>IFERROR(VLOOKUP(I1149,[1]INFO_LOCALES!$B:$C,2,FALSE),"")</f>
        <v/>
      </c>
      <c r="K1149" s="5" t="str">
        <f>IFERROR(VLOOKUP(Tabla2[[#This Row],[TIENDA]],[1]INFO_LOCALES!$B:$D,3,FALSE),"")</f>
        <v/>
      </c>
      <c r="L1149" s="5" t="str">
        <f>IFERROR(VLOOKUP(I1149,[1]INFO_LOCALES!$B:$I,8,FALSE),"")</f>
        <v/>
      </c>
      <c r="M1149" s="5" t="str">
        <f>IFERROR(VLOOKUP(I1149,[1]INFO_LOCALES!$B:$H,7,FALSE),"")</f>
        <v/>
      </c>
      <c r="N1149" s="5" t="str">
        <f>IFERROR(VLOOKUP(I1149,[1]INFO_LOCALES!$B:$E,4,FALSE),"")</f>
        <v/>
      </c>
      <c r="O1149" s="5" t="e">
        <f>VLOOKUP(Tabla2[[#This Row],[TIENDA]],[1]INFO_LOCALES!$B:$J,9,0)</f>
        <v>#N/A</v>
      </c>
      <c r="P1149" s="5" t="str">
        <f>IFERROR(VLOOKUP(I1149,[1]INFO_LOCALES!$B:$F,5,FALSE),"")</f>
        <v/>
      </c>
      <c r="S1149" s="6"/>
      <c r="T1149" s="5" t="str">
        <f>UPPER(IF(Tabla2[[#This Row],[FECHA DE MUESTREO ]]=0,"",TEXT(Tabla2[[#This Row],[FECHA DE MUESTREO ]],("MMMM"))))</f>
        <v/>
      </c>
      <c r="U1149" s="6"/>
      <c r="W11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49" s="7">
        <f t="shared" si="38"/>
        <v>1</v>
      </c>
    </row>
    <row r="1150" spans="10:24" x14ac:dyDescent="0.25">
      <c r="J1150" s="5" t="str">
        <f>IFERROR(VLOOKUP(I1150,[1]INFO_LOCALES!$B:$C,2,FALSE),"")</f>
        <v/>
      </c>
      <c r="K1150" s="5" t="str">
        <f>IFERROR(VLOOKUP(Tabla2[[#This Row],[TIENDA]],[1]INFO_LOCALES!$B:$D,3,FALSE),"")</f>
        <v/>
      </c>
      <c r="L1150" s="5" t="str">
        <f>IFERROR(VLOOKUP(I1150,[1]INFO_LOCALES!$B:$I,8,FALSE),"")</f>
        <v/>
      </c>
      <c r="M1150" s="5" t="str">
        <f>IFERROR(VLOOKUP(I1150,[1]INFO_LOCALES!$B:$H,7,FALSE),"")</f>
        <v/>
      </c>
      <c r="N1150" s="5" t="str">
        <f>IFERROR(VLOOKUP(I1150,[1]INFO_LOCALES!$B:$E,4,FALSE),"")</f>
        <v/>
      </c>
      <c r="O1150" s="5" t="e">
        <f>VLOOKUP(Tabla2[[#This Row],[TIENDA]],[1]INFO_LOCALES!$B:$J,9,0)</f>
        <v>#N/A</v>
      </c>
      <c r="P1150" s="5" t="str">
        <f>IFERROR(VLOOKUP(I1150,[1]INFO_LOCALES!$B:$F,5,FALSE),"")</f>
        <v/>
      </c>
      <c r="S1150" s="6"/>
      <c r="T1150" s="5" t="str">
        <f>UPPER(IF(Tabla2[[#This Row],[FECHA DE MUESTREO ]]=0,"",TEXT(Tabla2[[#This Row],[FECHA DE MUESTREO ]],("MMMM"))))</f>
        <v/>
      </c>
      <c r="U1150" s="6"/>
      <c r="W11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0" s="7">
        <f t="shared" si="38"/>
        <v>1</v>
      </c>
    </row>
    <row r="1151" spans="10:24" x14ac:dyDescent="0.25">
      <c r="J1151" s="5" t="str">
        <f>IFERROR(VLOOKUP(I1151,[1]INFO_LOCALES!$B:$C,2,FALSE),"")</f>
        <v/>
      </c>
      <c r="K1151" s="5" t="str">
        <f>IFERROR(VLOOKUP(Tabla2[[#This Row],[TIENDA]],[1]INFO_LOCALES!$B:$D,3,FALSE),"")</f>
        <v/>
      </c>
      <c r="L1151" s="5" t="str">
        <f>IFERROR(VLOOKUP(I1151,[1]INFO_LOCALES!$B:$I,8,FALSE),"")</f>
        <v/>
      </c>
      <c r="M1151" s="5" t="str">
        <f>IFERROR(VLOOKUP(I1151,[1]INFO_LOCALES!$B:$H,7,FALSE),"")</f>
        <v/>
      </c>
      <c r="N1151" s="5" t="str">
        <f>IFERROR(VLOOKUP(I1151,[1]INFO_LOCALES!$B:$E,4,FALSE),"")</f>
        <v/>
      </c>
      <c r="O1151" s="5" t="e">
        <f>VLOOKUP(Tabla2[[#This Row],[TIENDA]],[1]INFO_LOCALES!$B:$J,9,0)</f>
        <v>#N/A</v>
      </c>
      <c r="P1151" s="5" t="str">
        <f>IFERROR(VLOOKUP(I1151,[1]INFO_LOCALES!$B:$F,5,FALSE),"")</f>
        <v/>
      </c>
      <c r="S1151" s="6"/>
      <c r="T1151" s="5" t="str">
        <f>UPPER(IF(Tabla2[[#This Row],[FECHA DE MUESTREO ]]=0,"",TEXT(Tabla2[[#This Row],[FECHA DE MUESTREO ]],("MMMM"))))</f>
        <v/>
      </c>
      <c r="U1151" s="6"/>
      <c r="W11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1" s="7">
        <f t="shared" si="38"/>
        <v>1</v>
      </c>
    </row>
    <row r="1152" spans="10:24" x14ac:dyDescent="0.25">
      <c r="J1152" s="5" t="str">
        <f>IFERROR(VLOOKUP(I1152,[1]INFO_LOCALES!$B:$C,2,FALSE),"")</f>
        <v/>
      </c>
      <c r="K1152" s="5" t="str">
        <f>IFERROR(VLOOKUP(Tabla2[[#This Row],[TIENDA]],[1]INFO_LOCALES!$B:$D,3,FALSE),"")</f>
        <v/>
      </c>
      <c r="L1152" s="5" t="str">
        <f>IFERROR(VLOOKUP(I1152,[1]INFO_LOCALES!$B:$I,8,FALSE),"")</f>
        <v/>
      </c>
      <c r="M1152" s="5" t="str">
        <f>IFERROR(VLOOKUP(I1152,[1]INFO_LOCALES!$B:$H,7,FALSE),"")</f>
        <v/>
      </c>
      <c r="N1152" s="5" t="str">
        <f>IFERROR(VLOOKUP(I1152,[1]INFO_LOCALES!$B:$E,4,FALSE),"")</f>
        <v/>
      </c>
      <c r="O1152" s="5" t="e">
        <f>VLOOKUP(Tabla2[[#This Row],[TIENDA]],[1]INFO_LOCALES!$B:$J,9,0)</f>
        <v>#N/A</v>
      </c>
      <c r="P1152" s="5" t="str">
        <f>IFERROR(VLOOKUP(I1152,[1]INFO_LOCALES!$B:$F,5,FALSE),"")</f>
        <v/>
      </c>
      <c r="S1152" s="6"/>
      <c r="T1152" s="5" t="str">
        <f>UPPER(IF(Tabla2[[#This Row],[FECHA DE MUESTREO ]]=0,"",TEXT(Tabla2[[#This Row],[FECHA DE MUESTREO ]],("MMMM"))))</f>
        <v/>
      </c>
      <c r="U1152" s="6"/>
      <c r="W11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2" s="7">
        <f t="shared" si="38"/>
        <v>1</v>
      </c>
    </row>
    <row r="1153" spans="10:24" x14ac:dyDescent="0.25">
      <c r="J1153" s="5" t="str">
        <f>IFERROR(VLOOKUP(I1153,[1]INFO_LOCALES!$B:$C,2,FALSE),"")</f>
        <v/>
      </c>
      <c r="K1153" s="5" t="str">
        <f>IFERROR(VLOOKUP(Tabla2[[#This Row],[TIENDA]],[1]INFO_LOCALES!$B:$D,3,FALSE),"")</f>
        <v/>
      </c>
      <c r="L1153" s="5" t="str">
        <f>IFERROR(VLOOKUP(I1153,[1]INFO_LOCALES!$B:$I,8,FALSE),"")</f>
        <v/>
      </c>
      <c r="M1153" s="5" t="str">
        <f>IFERROR(VLOOKUP(I1153,[1]INFO_LOCALES!$B:$H,7,FALSE),"")</f>
        <v/>
      </c>
      <c r="N1153" s="5" t="str">
        <f>IFERROR(VLOOKUP(I1153,[1]INFO_LOCALES!$B:$E,4,FALSE),"")</f>
        <v/>
      </c>
      <c r="O1153" s="5" t="e">
        <f>VLOOKUP(Tabla2[[#This Row],[TIENDA]],[1]INFO_LOCALES!$B:$J,9,0)</f>
        <v>#N/A</v>
      </c>
      <c r="P1153" s="5" t="str">
        <f>IFERROR(VLOOKUP(I1153,[1]INFO_LOCALES!$B:$F,5,FALSE),"")</f>
        <v/>
      </c>
      <c r="S1153" s="6"/>
      <c r="T1153" s="5" t="str">
        <f>UPPER(IF(Tabla2[[#This Row],[FECHA DE MUESTREO ]]=0,"",TEXT(Tabla2[[#This Row],[FECHA DE MUESTREO ]],("MMMM"))))</f>
        <v/>
      </c>
      <c r="U1153" s="6"/>
      <c r="W11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3" s="7">
        <f t="shared" si="38"/>
        <v>1</v>
      </c>
    </row>
    <row r="1154" spans="10:24" x14ac:dyDescent="0.25">
      <c r="J1154" s="5" t="str">
        <f>IFERROR(VLOOKUP(I1154,[1]INFO_LOCALES!$B:$C,2,FALSE),"")</f>
        <v/>
      </c>
      <c r="K1154" s="5" t="str">
        <f>IFERROR(VLOOKUP(Tabla2[[#This Row],[TIENDA]],[1]INFO_LOCALES!$B:$D,3,FALSE),"")</f>
        <v/>
      </c>
      <c r="L1154" s="5" t="str">
        <f>IFERROR(VLOOKUP(I1154,[1]INFO_LOCALES!$B:$I,8,FALSE),"")</f>
        <v/>
      </c>
      <c r="M1154" s="5" t="str">
        <f>IFERROR(VLOOKUP(I1154,[1]INFO_LOCALES!$B:$H,7,FALSE),"")</f>
        <v/>
      </c>
      <c r="N1154" s="5" t="str">
        <f>IFERROR(VLOOKUP(I1154,[1]INFO_LOCALES!$B:$E,4,FALSE),"")</f>
        <v/>
      </c>
      <c r="O1154" s="5" t="e">
        <f>VLOOKUP(Tabla2[[#This Row],[TIENDA]],[1]INFO_LOCALES!$B:$J,9,0)</f>
        <v>#N/A</v>
      </c>
      <c r="P1154" s="5" t="str">
        <f>IFERROR(VLOOKUP(I1154,[1]INFO_LOCALES!$B:$F,5,FALSE),"")</f>
        <v/>
      </c>
      <c r="S1154" s="6"/>
      <c r="T1154" s="5" t="str">
        <f>UPPER(IF(Tabla2[[#This Row],[FECHA DE MUESTREO ]]=0,"",TEXT(Tabla2[[#This Row],[FECHA DE MUESTREO ]],("MMMM"))))</f>
        <v/>
      </c>
      <c r="U1154" s="6"/>
      <c r="W11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4" s="7">
        <f t="shared" si="38"/>
        <v>1</v>
      </c>
    </row>
    <row r="1155" spans="10:24" x14ac:dyDescent="0.25">
      <c r="J1155" s="5" t="str">
        <f>IFERROR(VLOOKUP(I1155,[1]INFO_LOCALES!$B:$C,2,FALSE),"")</f>
        <v/>
      </c>
      <c r="K1155" s="5" t="str">
        <f>IFERROR(VLOOKUP(Tabla2[[#This Row],[TIENDA]],[1]INFO_LOCALES!$B:$D,3,FALSE),"")</f>
        <v/>
      </c>
      <c r="L1155" s="5" t="str">
        <f>IFERROR(VLOOKUP(I1155,[1]INFO_LOCALES!$B:$I,8,FALSE),"")</f>
        <v/>
      </c>
      <c r="M1155" s="5" t="str">
        <f>IFERROR(VLOOKUP(I1155,[1]INFO_LOCALES!$B:$H,7,FALSE),"")</f>
        <v/>
      </c>
      <c r="N1155" s="5" t="str">
        <f>IFERROR(VLOOKUP(I1155,[1]INFO_LOCALES!$B:$E,4,FALSE),"")</f>
        <v/>
      </c>
      <c r="O1155" s="5" t="e">
        <f>VLOOKUP(Tabla2[[#This Row],[TIENDA]],[1]INFO_LOCALES!$B:$J,9,0)</f>
        <v>#N/A</v>
      </c>
      <c r="P1155" s="5" t="str">
        <f>IFERROR(VLOOKUP(I1155,[1]INFO_LOCALES!$B:$F,5,FALSE),"")</f>
        <v/>
      </c>
      <c r="S1155" s="6"/>
      <c r="T1155" s="5" t="str">
        <f>UPPER(IF(Tabla2[[#This Row],[FECHA DE MUESTREO ]]=0,"",TEXT(Tabla2[[#This Row],[FECHA DE MUESTREO ]],("MMMM"))))</f>
        <v/>
      </c>
      <c r="U1155" s="6"/>
      <c r="W11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5" s="7">
        <f t="shared" si="38"/>
        <v>1</v>
      </c>
    </row>
    <row r="1156" spans="10:24" x14ac:dyDescent="0.25">
      <c r="J1156" s="5" t="str">
        <f>IFERROR(VLOOKUP(I1156,[1]INFO_LOCALES!$B:$C,2,FALSE),"")</f>
        <v/>
      </c>
      <c r="K1156" s="5" t="str">
        <f>IFERROR(VLOOKUP(Tabla2[[#This Row],[TIENDA]],[1]INFO_LOCALES!$B:$D,3,FALSE),"")</f>
        <v/>
      </c>
      <c r="L1156" s="5" t="str">
        <f>IFERROR(VLOOKUP(I1156,[1]INFO_LOCALES!$B:$I,8,FALSE),"")</f>
        <v/>
      </c>
      <c r="M1156" s="5" t="str">
        <f>IFERROR(VLOOKUP(I1156,[1]INFO_LOCALES!$B:$H,7,FALSE),"")</f>
        <v/>
      </c>
      <c r="N1156" s="5" t="str">
        <f>IFERROR(VLOOKUP(I1156,[1]INFO_LOCALES!$B:$E,4,FALSE),"")</f>
        <v/>
      </c>
      <c r="O1156" s="5" t="e">
        <f>VLOOKUP(Tabla2[[#This Row],[TIENDA]],[1]INFO_LOCALES!$B:$J,9,0)</f>
        <v>#N/A</v>
      </c>
      <c r="P1156" s="5" t="str">
        <f>IFERROR(VLOOKUP(I1156,[1]INFO_LOCALES!$B:$F,5,FALSE),"")</f>
        <v/>
      </c>
      <c r="S1156" s="6"/>
      <c r="T1156" s="5" t="str">
        <f>UPPER(IF(Tabla2[[#This Row],[FECHA DE MUESTREO ]]=0,"",TEXT(Tabla2[[#This Row],[FECHA DE MUESTREO ]],("MMMM"))))</f>
        <v/>
      </c>
      <c r="U1156" s="6"/>
      <c r="W11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6" s="7">
        <f t="shared" si="38"/>
        <v>1</v>
      </c>
    </row>
    <row r="1157" spans="10:24" x14ac:dyDescent="0.25">
      <c r="J1157" s="5" t="str">
        <f>IFERROR(VLOOKUP(I1157,[1]INFO_LOCALES!$B:$C,2,FALSE),"")</f>
        <v/>
      </c>
      <c r="K1157" s="5" t="str">
        <f>IFERROR(VLOOKUP(Tabla2[[#This Row],[TIENDA]],[1]INFO_LOCALES!$B:$D,3,FALSE),"")</f>
        <v/>
      </c>
      <c r="L1157" s="5" t="str">
        <f>IFERROR(VLOOKUP(I1157,[1]INFO_LOCALES!$B:$I,8,FALSE),"")</f>
        <v/>
      </c>
      <c r="M1157" s="5" t="str">
        <f>IFERROR(VLOOKUP(I1157,[1]INFO_LOCALES!$B:$H,7,FALSE),"")</f>
        <v/>
      </c>
      <c r="N1157" s="5" t="str">
        <f>IFERROR(VLOOKUP(I1157,[1]INFO_LOCALES!$B:$E,4,FALSE),"")</f>
        <v/>
      </c>
      <c r="O1157" s="5" t="e">
        <f>VLOOKUP(Tabla2[[#This Row],[TIENDA]],[1]INFO_LOCALES!$B:$J,9,0)</f>
        <v>#N/A</v>
      </c>
      <c r="P1157" s="5" t="str">
        <f>IFERROR(VLOOKUP(I1157,[1]INFO_LOCALES!$B:$F,5,FALSE),"")</f>
        <v/>
      </c>
      <c r="S1157" s="6"/>
      <c r="T1157" s="5" t="str">
        <f>UPPER(IF(Tabla2[[#This Row],[FECHA DE MUESTREO ]]=0,"",TEXT(Tabla2[[#This Row],[FECHA DE MUESTREO ]],("MMMM"))))</f>
        <v/>
      </c>
      <c r="U1157" s="6"/>
      <c r="W11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7" s="7">
        <f t="shared" si="38"/>
        <v>1</v>
      </c>
    </row>
    <row r="1158" spans="10:24" x14ac:dyDescent="0.25">
      <c r="J1158" s="5" t="str">
        <f>IFERROR(VLOOKUP(I1158,[1]INFO_LOCALES!$B:$C,2,FALSE),"")</f>
        <v/>
      </c>
      <c r="K1158" s="5" t="str">
        <f>IFERROR(VLOOKUP(Tabla2[[#This Row],[TIENDA]],[1]INFO_LOCALES!$B:$D,3,FALSE),"")</f>
        <v/>
      </c>
      <c r="L1158" s="5" t="str">
        <f>IFERROR(VLOOKUP(I1158,[1]INFO_LOCALES!$B:$I,8,FALSE),"")</f>
        <v/>
      </c>
      <c r="M1158" s="5" t="str">
        <f>IFERROR(VLOOKUP(I1158,[1]INFO_LOCALES!$B:$H,7,FALSE),"")</f>
        <v/>
      </c>
      <c r="N1158" s="5" t="str">
        <f>IFERROR(VLOOKUP(I1158,[1]INFO_LOCALES!$B:$E,4,FALSE),"")</f>
        <v/>
      </c>
      <c r="O1158" s="5" t="e">
        <f>VLOOKUP(Tabla2[[#This Row],[TIENDA]],[1]INFO_LOCALES!$B:$J,9,0)</f>
        <v>#N/A</v>
      </c>
      <c r="P1158" s="5" t="str">
        <f>IFERROR(VLOOKUP(I1158,[1]INFO_LOCALES!$B:$F,5,FALSE),"")</f>
        <v/>
      </c>
      <c r="S1158" s="6"/>
      <c r="T1158" s="5" t="str">
        <f>UPPER(IF(Tabla2[[#This Row],[FECHA DE MUESTREO ]]=0,"",TEXT(Tabla2[[#This Row],[FECHA DE MUESTREO ]],("MMMM"))))</f>
        <v/>
      </c>
      <c r="U1158" s="6"/>
      <c r="W11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8" s="7">
        <f t="shared" si="38"/>
        <v>1</v>
      </c>
    </row>
    <row r="1159" spans="10:24" x14ac:dyDescent="0.25">
      <c r="J1159" s="5" t="str">
        <f>IFERROR(VLOOKUP(I1159,[1]INFO_LOCALES!$B:$C,2,FALSE),"")</f>
        <v/>
      </c>
      <c r="K1159" s="5" t="str">
        <f>IFERROR(VLOOKUP(Tabla2[[#This Row],[TIENDA]],[1]INFO_LOCALES!$B:$D,3,FALSE),"")</f>
        <v/>
      </c>
      <c r="L1159" s="5" t="str">
        <f>IFERROR(VLOOKUP(I1159,[1]INFO_LOCALES!$B:$I,8,FALSE),"")</f>
        <v/>
      </c>
      <c r="M1159" s="5" t="str">
        <f>IFERROR(VLOOKUP(I1159,[1]INFO_LOCALES!$B:$H,7,FALSE),"")</f>
        <v/>
      </c>
      <c r="N1159" s="5" t="str">
        <f>IFERROR(VLOOKUP(I1159,[1]INFO_LOCALES!$B:$E,4,FALSE),"")</f>
        <v/>
      </c>
      <c r="O1159" s="5" t="e">
        <f>VLOOKUP(Tabla2[[#This Row],[TIENDA]],[1]INFO_LOCALES!$B:$J,9,0)</f>
        <v>#N/A</v>
      </c>
      <c r="P1159" s="5" t="str">
        <f>IFERROR(VLOOKUP(I1159,[1]INFO_LOCALES!$B:$F,5,FALSE),"")</f>
        <v/>
      </c>
      <c r="S1159" s="6"/>
      <c r="T1159" s="5" t="str">
        <f>UPPER(IF(Tabla2[[#This Row],[FECHA DE MUESTREO ]]=0,"",TEXT(Tabla2[[#This Row],[FECHA DE MUESTREO ]],("MMMM"))))</f>
        <v/>
      </c>
      <c r="U1159" s="6"/>
      <c r="W11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59" s="7">
        <f t="shared" si="38"/>
        <v>1</v>
      </c>
    </row>
    <row r="1160" spans="10:24" x14ac:dyDescent="0.25">
      <c r="J1160" s="5" t="str">
        <f>IFERROR(VLOOKUP(I1160,[1]INFO_LOCALES!$B:$C,2,FALSE),"")</f>
        <v/>
      </c>
      <c r="K1160" s="5" t="str">
        <f>IFERROR(VLOOKUP(Tabla2[[#This Row],[TIENDA]],[1]INFO_LOCALES!$B:$D,3,FALSE),"")</f>
        <v/>
      </c>
      <c r="L1160" s="5" t="str">
        <f>IFERROR(VLOOKUP(I1160,[1]INFO_LOCALES!$B:$I,8,FALSE),"")</f>
        <v/>
      </c>
      <c r="M1160" s="5" t="str">
        <f>IFERROR(VLOOKUP(I1160,[1]INFO_LOCALES!$B:$H,7,FALSE),"")</f>
        <v/>
      </c>
      <c r="N1160" s="5" t="str">
        <f>IFERROR(VLOOKUP(I1160,[1]INFO_LOCALES!$B:$E,4,FALSE),"")</f>
        <v/>
      </c>
      <c r="O1160" s="5" t="e">
        <f>VLOOKUP(Tabla2[[#This Row],[TIENDA]],[1]INFO_LOCALES!$B:$J,9,0)</f>
        <v>#N/A</v>
      </c>
      <c r="P1160" s="5" t="str">
        <f>IFERROR(VLOOKUP(I1160,[1]INFO_LOCALES!$B:$F,5,FALSE),"")</f>
        <v/>
      </c>
      <c r="S1160" s="6"/>
      <c r="T1160" s="5" t="str">
        <f>UPPER(IF(Tabla2[[#This Row],[FECHA DE MUESTREO ]]=0,"",TEXT(Tabla2[[#This Row],[FECHA DE MUESTREO ]],("MMMM"))))</f>
        <v/>
      </c>
      <c r="U1160" s="6"/>
      <c r="W11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0" s="7">
        <f t="shared" si="38"/>
        <v>1</v>
      </c>
    </row>
    <row r="1161" spans="10:24" x14ac:dyDescent="0.25">
      <c r="J1161" s="5" t="str">
        <f>IFERROR(VLOOKUP(I1161,[1]INFO_LOCALES!$B:$C,2,FALSE),"")</f>
        <v/>
      </c>
      <c r="K1161" s="5" t="str">
        <f>IFERROR(VLOOKUP(Tabla2[[#This Row],[TIENDA]],[1]INFO_LOCALES!$B:$D,3,FALSE),"")</f>
        <v/>
      </c>
      <c r="L1161" s="5" t="str">
        <f>IFERROR(VLOOKUP(I1161,[1]INFO_LOCALES!$B:$I,8,FALSE),"")</f>
        <v/>
      </c>
      <c r="M1161" s="5" t="str">
        <f>IFERROR(VLOOKUP(I1161,[1]INFO_LOCALES!$B:$H,7,FALSE),"")</f>
        <v/>
      </c>
      <c r="N1161" s="5" t="str">
        <f>IFERROR(VLOOKUP(I1161,[1]INFO_LOCALES!$B:$E,4,FALSE),"")</f>
        <v/>
      </c>
      <c r="O1161" s="5" t="e">
        <f>VLOOKUP(Tabla2[[#This Row],[TIENDA]],[1]INFO_LOCALES!$B:$J,9,0)</f>
        <v>#N/A</v>
      </c>
      <c r="P1161" s="5" t="str">
        <f>IFERROR(VLOOKUP(I1161,[1]INFO_LOCALES!$B:$F,5,FALSE),"")</f>
        <v/>
      </c>
      <c r="S1161" s="6"/>
      <c r="T1161" s="5" t="str">
        <f>UPPER(IF(Tabla2[[#This Row],[FECHA DE MUESTREO ]]=0,"",TEXT(Tabla2[[#This Row],[FECHA DE MUESTREO ]],("MMMM"))))</f>
        <v/>
      </c>
      <c r="U1161" s="6"/>
      <c r="W11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1" s="7">
        <f t="shared" si="38"/>
        <v>1</v>
      </c>
    </row>
    <row r="1162" spans="10:24" x14ac:dyDescent="0.25">
      <c r="J1162" s="5" t="str">
        <f>IFERROR(VLOOKUP(I1162,[1]INFO_LOCALES!$B:$C,2,FALSE),"")</f>
        <v/>
      </c>
      <c r="K1162" s="5" t="str">
        <f>IFERROR(VLOOKUP(Tabla2[[#This Row],[TIENDA]],[1]INFO_LOCALES!$B:$D,3,FALSE),"")</f>
        <v/>
      </c>
      <c r="L1162" s="5" t="str">
        <f>IFERROR(VLOOKUP(I1162,[1]INFO_LOCALES!$B:$I,8,FALSE),"")</f>
        <v/>
      </c>
      <c r="M1162" s="5" t="str">
        <f>IFERROR(VLOOKUP(I1162,[1]INFO_LOCALES!$B:$H,7,FALSE),"")</f>
        <v/>
      </c>
      <c r="N1162" s="5" t="str">
        <f>IFERROR(VLOOKUP(I1162,[1]INFO_LOCALES!$B:$E,4,FALSE),"")</f>
        <v/>
      </c>
      <c r="O1162" s="5" t="e">
        <f>VLOOKUP(Tabla2[[#This Row],[TIENDA]],[1]INFO_LOCALES!$B:$J,9,0)</f>
        <v>#N/A</v>
      </c>
      <c r="P1162" s="5" t="str">
        <f>IFERROR(VLOOKUP(I1162,[1]INFO_LOCALES!$B:$F,5,FALSE),"")</f>
        <v/>
      </c>
      <c r="S1162" s="6"/>
      <c r="T1162" s="5" t="str">
        <f>UPPER(IF(Tabla2[[#This Row],[FECHA DE MUESTREO ]]=0,"",TEXT(Tabla2[[#This Row],[FECHA DE MUESTREO ]],("MMMM"))))</f>
        <v/>
      </c>
      <c r="U1162" s="6"/>
      <c r="W11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2" s="7">
        <f t="shared" si="38"/>
        <v>1</v>
      </c>
    </row>
    <row r="1163" spans="10:24" x14ac:dyDescent="0.25">
      <c r="J1163" s="5" t="str">
        <f>IFERROR(VLOOKUP(I1163,[1]INFO_LOCALES!$B:$C,2,FALSE),"")</f>
        <v/>
      </c>
      <c r="K1163" s="5" t="str">
        <f>IFERROR(VLOOKUP(Tabla2[[#This Row],[TIENDA]],[1]INFO_LOCALES!$B:$D,3,FALSE),"")</f>
        <v/>
      </c>
      <c r="L1163" s="5" t="str">
        <f>IFERROR(VLOOKUP(I1163,[1]INFO_LOCALES!$B:$I,8,FALSE),"")</f>
        <v/>
      </c>
      <c r="M1163" s="5" t="str">
        <f>IFERROR(VLOOKUP(I1163,[1]INFO_LOCALES!$B:$H,7,FALSE),"")</f>
        <v/>
      </c>
      <c r="N1163" s="5" t="str">
        <f>IFERROR(VLOOKUP(I1163,[1]INFO_LOCALES!$B:$E,4,FALSE),"")</f>
        <v/>
      </c>
      <c r="O1163" s="5" t="e">
        <f>VLOOKUP(Tabla2[[#This Row],[TIENDA]],[1]INFO_LOCALES!$B:$J,9,0)</f>
        <v>#N/A</v>
      </c>
      <c r="P1163" s="5" t="str">
        <f>IFERROR(VLOOKUP(I1163,[1]INFO_LOCALES!$B:$F,5,FALSE),"")</f>
        <v/>
      </c>
      <c r="S1163" s="6"/>
      <c r="T1163" s="5" t="str">
        <f>UPPER(IF(Tabla2[[#This Row],[FECHA DE MUESTREO ]]=0,"",TEXT(Tabla2[[#This Row],[FECHA DE MUESTREO ]],("MMMM"))))</f>
        <v/>
      </c>
      <c r="U1163" s="6"/>
      <c r="W11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3" s="7">
        <f t="shared" si="38"/>
        <v>1</v>
      </c>
    </row>
    <row r="1164" spans="10:24" x14ac:dyDescent="0.25">
      <c r="J1164" s="5" t="str">
        <f>IFERROR(VLOOKUP(I1164,[1]INFO_LOCALES!$B:$C,2,FALSE),"")</f>
        <v/>
      </c>
      <c r="K1164" s="5" t="str">
        <f>IFERROR(VLOOKUP(Tabla2[[#This Row],[TIENDA]],[1]INFO_LOCALES!$B:$D,3,FALSE),"")</f>
        <v/>
      </c>
      <c r="L1164" s="5" t="str">
        <f>IFERROR(VLOOKUP(I1164,[1]INFO_LOCALES!$B:$I,8,FALSE),"")</f>
        <v/>
      </c>
      <c r="M1164" s="5" t="str">
        <f>IFERROR(VLOOKUP(I1164,[1]INFO_LOCALES!$B:$H,7,FALSE),"")</f>
        <v/>
      </c>
      <c r="N1164" s="5" t="str">
        <f>IFERROR(VLOOKUP(I1164,[1]INFO_LOCALES!$B:$E,4,FALSE),"")</f>
        <v/>
      </c>
      <c r="O1164" s="5" t="e">
        <f>VLOOKUP(Tabla2[[#This Row],[TIENDA]],[1]INFO_LOCALES!$B:$J,9,0)</f>
        <v>#N/A</v>
      </c>
      <c r="P1164" s="5" t="str">
        <f>IFERROR(VLOOKUP(I1164,[1]INFO_LOCALES!$B:$F,5,FALSE),"")</f>
        <v/>
      </c>
      <c r="S1164" s="6"/>
      <c r="T1164" s="5" t="str">
        <f>UPPER(IF(Tabla2[[#This Row],[FECHA DE MUESTREO ]]=0,"",TEXT(Tabla2[[#This Row],[FECHA DE MUESTREO ]],("MMMM"))))</f>
        <v/>
      </c>
      <c r="U1164" s="6"/>
      <c r="W11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4" s="7">
        <f t="shared" si="38"/>
        <v>1</v>
      </c>
    </row>
    <row r="1165" spans="10:24" x14ac:dyDescent="0.25">
      <c r="J1165" s="5" t="str">
        <f>IFERROR(VLOOKUP(I1165,[1]INFO_LOCALES!$B:$C,2,FALSE),"")</f>
        <v/>
      </c>
      <c r="K1165" s="5" t="str">
        <f>IFERROR(VLOOKUP(Tabla2[[#This Row],[TIENDA]],[1]INFO_LOCALES!$B:$D,3,FALSE),"")</f>
        <v/>
      </c>
      <c r="L1165" s="5" t="str">
        <f>IFERROR(VLOOKUP(I1165,[1]INFO_LOCALES!$B:$I,8,FALSE),"")</f>
        <v/>
      </c>
      <c r="M1165" s="5" t="str">
        <f>IFERROR(VLOOKUP(I1165,[1]INFO_LOCALES!$B:$H,7,FALSE),"")</f>
        <v/>
      </c>
      <c r="N1165" s="5" t="str">
        <f>IFERROR(VLOOKUP(I1165,[1]INFO_LOCALES!$B:$E,4,FALSE),"")</f>
        <v/>
      </c>
      <c r="O1165" s="5" t="e">
        <f>VLOOKUP(Tabla2[[#This Row],[TIENDA]],[1]INFO_LOCALES!$B:$J,9,0)</f>
        <v>#N/A</v>
      </c>
      <c r="P1165" s="5" t="str">
        <f>IFERROR(VLOOKUP(I1165,[1]INFO_LOCALES!$B:$F,5,FALSE),"")</f>
        <v/>
      </c>
      <c r="S1165" s="6"/>
      <c r="T1165" s="5" t="str">
        <f>UPPER(IF(Tabla2[[#This Row],[FECHA DE MUESTREO ]]=0,"",TEXT(Tabla2[[#This Row],[FECHA DE MUESTREO ]],("MMMM"))))</f>
        <v/>
      </c>
      <c r="U1165" s="6"/>
      <c r="W11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5" s="7">
        <f t="shared" si="38"/>
        <v>1</v>
      </c>
    </row>
    <row r="1166" spans="10:24" x14ac:dyDescent="0.25">
      <c r="J1166" s="5" t="str">
        <f>IFERROR(VLOOKUP(I1166,[1]INFO_LOCALES!$B:$C,2,FALSE),"")</f>
        <v/>
      </c>
      <c r="K1166" s="5" t="str">
        <f>IFERROR(VLOOKUP(Tabla2[[#This Row],[TIENDA]],[1]INFO_LOCALES!$B:$D,3,FALSE),"")</f>
        <v/>
      </c>
      <c r="L1166" s="5" t="str">
        <f>IFERROR(VLOOKUP(I1166,[1]INFO_LOCALES!$B:$I,8,FALSE),"")</f>
        <v/>
      </c>
      <c r="M1166" s="5" t="str">
        <f>IFERROR(VLOOKUP(I1166,[1]INFO_LOCALES!$B:$H,7,FALSE),"")</f>
        <v/>
      </c>
      <c r="N1166" s="5" t="str">
        <f>IFERROR(VLOOKUP(I1166,[1]INFO_LOCALES!$B:$E,4,FALSE),"")</f>
        <v/>
      </c>
      <c r="O1166" s="5" t="e">
        <f>VLOOKUP(Tabla2[[#This Row],[TIENDA]],[1]INFO_LOCALES!$B:$J,9,0)</f>
        <v>#N/A</v>
      </c>
      <c r="P1166" s="5" t="str">
        <f>IFERROR(VLOOKUP(I1166,[1]INFO_LOCALES!$B:$F,5,FALSE),"")</f>
        <v/>
      </c>
      <c r="S1166" s="6"/>
      <c r="T1166" s="5" t="str">
        <f>UPPER(IF(Tabla2[[#This Row],[FECHA DE MUESTREO ]]=0,"",TEXT(Tabla2[[#This Row],[FECHA DE MUESTREO ]],("MMMM"))))</f>
        <v/>
      </c>
      <c r="U1166" s="6"/>
      <c r="W11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6" s="7">
        <f t="shared" si="38"/>
        <v>1</v>
      </c>
    </row>
    <row r="1167" spans="10:24" x14ac:dyDescent="0.25">
      <c r="J1167" s="5" t="str">
        <f>IFERROR(VLOOKUP(I1167,[1]INFO_LOCALES!$B:$C,2,FALSE),"")</f>
        <v/>
      </c>
      <c r="K1167" s="5" t="str">
        <f>IFERROR(VLOOKUP(Tabla2[[#This Row],[TIENDA]],[1]INFO_LOCALES!$B:$D,3,FALSE),"")</f>
        <v/>
      </c>
      <c r="L1167" s="5" t="str">
        <f>IFERROR(VLOOKUP(I1167,[1]INFO_LOCALES!$B:$I,8,FALSE),"")</f>
        <v/>
      </c>
      <c r="M1167" s="5" t="str">
        <f>IFERROR(VLOOKUP(I1167,[1]INFO_LOCALES!$B:$H,7,FALSE),"")</f>
        <v/>
      </c>
      <c r="N1167" s="5" t="str">
        <f>IFERROR(VLOOKUP(I1167,[1]INFO_LOCALES!$B:$E,4,FALSE),"")</f>
        <v/>
      </c>
      <c r="O1167" s="5" t="e">
        <f>VLOOKUP(Tabla2[[#This Row],[TIENDA]],[1]INFO_LOCALES!$B:$J,9,0)</f>
        <v>#N/A</v>
      </c>
      <c r="P1167" s="5" t="str">
        <f>IFERROR(VLOOKUP(I1167,[1]INFO_LOCALES!$B:$F,5,FALSE),"")</f>
        <v/>
      </c>
      <c r="S1167" s="6"/>
      <c r="T1167" s="5" t="str">
        <f>UPPER(IF(Tabla2[[#This Row],[FECHA DE MUESTREO ]]=0,"",TEXT(Tabla2[[#This Row],[FECHA DE MUESTREO ]],("MMMM"))))</f>
        <v/>
      </c>
      <c r="U1167" s="6"/>
      <c r="W11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7" s="7">
        <f t="shared" si="38"/>
        <v>1</v>
      </c>
    </row>
    <row r="1168" spans="10:24" x14ac:dyDescent="0.25">
      <c r="J1168" s="5" t="str">
        <f>IFERROR(VLOOKUP(I1168,[1]INFO_LOCALES!$B:$C,2,FALSE),"")</f>
        <v/>
      </c>
      <c r="K1168" s="5" t="str">
        <f>IFERROR(VLOOKUP(Tabla2[[#This Row],[TIENDA]],[1]INFO_LOCALES!$B:$D,3,FALSE),"")</f>
        <v/>
      </c>
      <c r="L1168" s="5" t="str">
        <f>IFERROR(VLOOKUP(I1168,[1]INFO_LOCALES!$B:$I,8,FALSE),"")</f>
        <v/>
      </c>
      <c r="M1168" s="5" t="str">
        <f>IFERROR(VLOOKUP(I1168,[1]INFO_LOCALES!$B:$H,7,FALSE),"")</f>
        <v/>
      </c>
      <c r="N1168" s="5" t="str">
        <f>IFERROR(VLOOKUP(I1168,[1]INFO_LOCALES!$B:$E,4,FALSE),"")</f>
        <v/>
      </c>
      <c r="O1168" s="5" t="e">
        <f>VLOOKUP(Tabla2[[#This Row],[TIENDA]],[1]INFO_LOCALES!$B:$J,9,0)</f>
        <v>#N/A</v>
      </c>
      <c r="P1168" s="5" t="str">
        <f>IFERROR(VLOOKUP(I1168,[1]INFO_LOCALES!$B:$F,5,FALSE),"")</f>
        <v/>
      </c>
      <c r="S1168" s="6"/>
      <c r="T1168" s="5" t="str">
        <f>UPPER(IF(Tabla2[[#This Row],[FECHA DE MUESTREO ]]=0,"",TEXT(Tabla2[[#This Row],[FECHA DE MUESTREO ]],("MMMM"))))</f>
        <v/>
      </c>
      <c r="U1168" s="6"/>
      <c r="W11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8" s="7">
        <f t="shared" si="38"/>
        <v>1</v>
      </c>
    </row>
    <row r="1169" spans="10:24" x14ac:dyDescent="0.25">
      <c r="J1169" s="5" t="str">
        <f>IFERROR(VLOOKUP(I1169,[1]INFO_LOCALES!$B:$C,2,FALSE),"")</f>
        <v/>
      </c>
      <c r="K1169" s="5" t="str">
        <f>IFERROR(VLOOKUP(Tabla2[[#This Row],[TIENDA]],[1]INFO_LOCALES!$B:$D,3,FALSE),"")</f>
        <v/>
      </c>
      <c r="L1169" s="5" t="str">
        <f>IFERROR(VLOOKUP(I1169,[1]INFO_LOCALES!$B:$I,8,FALSE),"")</f>
        <v/>
      </c>
      <c r="M1169" s="5" t="str">
        <f>IFERROR(VLOOKUP(I1169,[1]INFO_LOCALES!$B:$H,7,FALSE),"")</f>
        <v/>
      </c>
      <c r="N1169" s="5" t="str">
        <f>IFERROR(VLOOKUP(I1169,[1]INFO_LOCALES!$B:$E,4,FALSE),"")</f>
        <v/>
      </c>
      <c r="O1169" s="5" t="e">
        <f>VLOOKUP(Tabla2[[#This Row],[TIENDA]],[1]INFO_LOCALES!$B:$J,9,0)</f>
        <v>#N/A</v>
      </c>
      <c r="P1169" s="5" t="str">
        <f>IFERROR(VLOOKUP(I1169,[1]INFO_LOCALES!$B:$F,5,FALSE),"")</f>
        <v/>
      </c>
      <c r="S1169" s="6"/>
      <c r="T1169" s="5" t="str">
        <f>UPPER(IF(Tabla2[[#This Row],[FECHA DE MUESTREO ]]=0,"",TEXT(Tabla2[[#This Row],[FECHA DE MUESTREO ]],("MMMM"))))</f>
        <v/>
      </c>
      <c r="U1169" s="6"/>
      <c r="W11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69" s="7">
        <f t="shared" si="38"/>
        <v>1</v>
      </c>
    </row>
    <row r="1170" spans="10:24" x14ac:dyDescent="0.25">
      <c r="J1170" s="5" t="str">
        <f>IFERROR(VLOOKUP(I1170,[1]INFO_LOCALES!$B:$C,2,FALSE),"")</f>
        <v/>
      </c>
      <c r="K1170" s="5" t="str">
        <f>IFERROR(VLOOKUP(Tabla2[[#This Row],[TIENDA]],[1]INFO_LOCALES!$B:$D,3,FALSE),"")</f>
        <v/>
      </c>
      <c r="L1170" s="5" t="str">
        <f>IFERROR(VLOOKUP(I1170,[1]INFO_LOCALES!$B:$I,8,FALSE),"")</f>
        <v/>
      </c>
      <c r="M1170" s="5" t="str">
        <f>IFERROR(VLOOKUP(I1170,[1]INFO_LOCALES!$B:$H,7,FALSE),"")</f>
        <v/>
      </c>
      <c r="N1170" s="5" t="str">
        <f>IFERROR(VLOOKUP(I1170,[1]INFO_LOCALES!$B:$E,4,FALSE),"")</f>
        <v/>
      </c>
      <c r="O1170" s="5" t="e">
        <f>VLOOKUP(Tabla2[[#This Row],[TIENDA]],[1]INFO_LOCALES!$B:$J,9,0)</f>
        <v>#N/A</v>
      </c>
      <c r="P1170" s="5" t="str">
        <f>IFERROR(VLOOKUP(I1170,[1]INFO_LOCALES!$B:$F,5,FALSE),"")</f>
        <v/>
      </c>
      <c r="S1170" s="6"/>
      <c r="T1170" s="5" t="str">
        <f>UPPER(IF(Tabla2[[#This Row],[FECHA DE MUESTREO ]]=0,"",TEXT(Tabla2[[#This Row],[FECHA DE MUESTREO ]],("MMMM"))))</f>
        <v/>
      </c>
      <c r="U1170" s="6"/>
      <c r="W11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0" s="7">
        <f t="shared" si="38"/>
        <v>1</v>
      </c>
    </row>
    <row r="1171" spans="10:24" x14ac:dyDescent="0.25">
      <c r="J1171" s="5" t="str">
        <f>IFERROR(VLOOKUP(I1171,[1]INFO_LOCALES!$B:$C,2,FALSE),"")</f>
        <v/>
      </c>
      <c r="K1171" s="5" t="str">
        <f>IFERROR(VLOOKUP(Tabla2[[#This Row],[TIENDA]],[1]INFO_LOCALES!$B:$D,3,FALSE),"")</f>
        <v/>
      </c>
      <c r="L1171" s="5" t="str">
        <f>IFERROR(VLOOKUP(I1171,[1]INFO_LOCALES!$B:$I,8,FALSE),"")</f>
        <v/>
      </c>
      <c r="M1171" s="5" t="str">
        <f>IFERROR(VLOOKUP(I1171,[1]INFO_LOCALES!$B:$H,7,FALSE),"")</f>
        <v/>
      </c>
      <c r="N1171" s="5" t="str">
        <f>IFERROR(VLOOKUP(I1171,[1]INFO_LOCALES!$B:$E,4,FALSE),"")</f>
        <v/>
      </c>
      <c r="O1171" s="5" t="e">
        <f>VLOOKUP(Tabla2[[#This Row],[TIENDA]],[1]INFO_LOCALES!$B:$J,9,0)</f>
        <v>#N/A</v>
      </c>
      <c r="P1171" s="5" t="str">
        <f>IFERROR(VLOOKUP(I1171,[1]INFO_LOCALES!$B:$F,5,FALSE),"")</f>
        <v/>
      </c>
      <c r="S1171" s="6"/>
      <c r="T1171" s="5" t="str">
        <f>UPPER(IF(Tabla2[[#This Row],[FECHA DE MUESTREO ]]=0,"",TEXT(Tabla2[[#This Row],[FECHA DE MUESTREO ]],("MMMM"))))</f>
        <v/>
      </c>
      <c r="U1171" s="6"/>
      <c r="W11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1" s="7">
        <f t="shared" si="38"/>
        <v>1</v>
      </c>
    </row>
    <row r="1172" spans="10:24" x14ac:dyDescent="0.25">
      <c r="J1172" s="5" t="str">
        <f>IFERROR(VLOOKUP(I1172,[1]INFO_LOCALES!$B:$C,2,FALSE),"")</f>
        <v/>
      </c>
      <c r="K1172" s="5" t="str">
        <f>IFERROR(VLOOKUP(Tabla2[[#This Row],[TIENDA]],[1]INFO_LOCALES!$B:$D,3,FALSE),"")</f>
        <v/>
      </c>
      <c r="L1172" s="5" t="str">
        <f>IFERROR(VLOOKUP(I1172,[1]INFO_LOCALES!$B:$I,8,FALSE),"")</f>
        <v/>
      </c>
      <c r="M1172" s="5" t="str">
        <f>IFERROR(VLOOKUP(I1172,[1]INFO_LOCALES!$B:$H,7,FALSE),"")</f>
        <v/>
      </c>
      <c r="N1172" s="5" t="str">
        <f>IFERROR(VLOOKUP(I1172,[1]INFO_LOCALES!$B:$E,4,FALSE),"")</f>
        <v/>
      </c>
      <c r="O1172" s="5" t="e">
        <f>VLOOKUP(Tabla2[[#This Row],[TIENDA]],[1]INFO_LOCALES!$B:$J,9,0)</f>
        <v>#N/A</v>
      </c>
      <c r="P1172" s="5" t="str">
        <f>IFERROR(VLOOKUP(I1172,[1]INFO_LOCALES!$B:$F,5,FALSE),"")</f>
        <v/>
      </c>
      <c r="S1172" s="6"/>
      <c r="T1172" s="5" t="str">
        <f>UPPER(IF(Tabla2[[#This Row],[FECHA DE MUESTREO ]]=0,"",TEXT(Tabla2[[#This Row],[FECHA DE MUESTREO ]],("MMMM"))))</f>
        <v/>
      </c>
      <c r="U1172" s="6"/>
      <c r="W11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2" s="7">
        <f t="shared" si="38"/>
        <v>1</v>
      </c>
    </row>
    <row r="1173" spans="10:24" x14ac:dyDescent="0.25">
      <c r="J1173" s="5" t="str">
        <f>IFERROR(VLOOKUP(I1173,[1]INFO_LOCALES!$B:$C,2,FALSE),"")</f>
        <v/>
      </c>
      <c r="K1173" s="5" t="str">
        <f>IFERROR(VLOOKUP(Tabla2[[#This Row],[TIENDA]],[1]INFO_LOCALES!$B:$D,3,FALSE),"")</f>
        <v/>
      </c>
      <c r="L1173" s="5" t="str">
        <f>IFERROR(VLOOKUP(I1173,[1]INFO_LOCALES!$B:$I,8,FALSE),"")</f>
        <v/>
      </c>
      <c r="M1173" s="5" t="str">
        <f>IFERROR(VLOOKUP(I1173,[1]INFO_LOCALES!$B:$H,7,FALSE),"")</f>
        <v/>
      </c>
      <c r="N1173" s="5" t="str">
        <f>IFERROR(VLOOKUP(I1173,[1]INFO_LOCALES!$B:$E,4,FALSE),"")</f>
        <v/>
      </c>
      <c r="O1173" s="5" t="e">
        <f>VLOOKUP(Tabla2[[#This Row],[TIENDA]],[1]INFO_LOCALES!$B:$J,9,0)</f>
        <v>#N/A</v>
      </c>
      <c r="P1173" s="5" t="str">
        <f>IFERROR(VLOOKUP(I1173,[1]INFO_LOCALES!$B:$F,5,FALSE),"")</f>
        <v/>
      </c>
      <c r="S1173" s="6"/>
      <c r="T1173" s="5" t="str">
        <f>UPPER(IF(Tabla2[[#This Row],[FECHA DE MUESTREO ]]=0,"",TEXT(Tabla2[[#This Row],[FECHA DE MUESTREO ]],("MMMM"))))</f>
        <v/>
      </c>
      <c r="U1173" s="6"/>
      <c r="W11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3" s="7">
        <f t="shared" si="38"/>
        <v>1</v>
      </c>
    </row>
    <row r="1174" spans="10:24" x14ac:dyDescent="0.25">
      <c r="J1174" s="5" t="str">
        <f>IFERROR(VLOOKUP(I1174,[1]INFO_LOCALES!$B:$C,2,FALSE),"")</f>
        <v/>
      </c>
      <c r="K1174" s="5" t="str">
        <f>IFERROR(VLOOKUP(Tabla2[[#This Row],[TIENDA]],[1]INFO_LOCALES!$B:$D,3,FALSE),"")</f>
        <v/>
      </c>
      <c r="L1174" s="5" t="str">
        <f>IFERROR(VLOOKUP(I1174,[1]INFO_LOCALES!$B:$I,8,FALSE),"")</f>
        <v/>
      </c>
      <c r="M1174" s="5" t="str">
        <f>IFERROR(VLOOKUP(I1174,[1]INFO_LOCALES!$B:$H,7,FALSE),"")</f>
        <v/>
      </c>
      <c r="N1174" s="5" t="str">
        <f>IFERROR(VLOOKUP(I1174,[1]INFO_LOCALES!$B:$E,4,FALSE),"")</f>
        <v/>
      </c>
      <c r="O1174" s="5" t="e">
        <f>VLOOKUP(Tabla2[[#This Row],[TIENDA]],[1]INFO_LOCALES!$B:$J,9,0)</f>
        <v>#N/A</v>
      </c>
      <c r="P1174" s="5" t="str">
        <f>IFERROR(VLOOKUP(I1174,[1]INFO_LOCALES!$B:$F,5,FALSE),"")</f>
        <v/>
      </c>
      <c r="S1174" s="6"/>
      <c r="T1174" s="5" t="str">
        <f>UPPER(IF(Tabla2[[#This Row],[FECHA DE MUESTREO ]]=0,"",TEXT(Tabla2[[#This Row],[FECHA DE MUESTREO ]],("MMMM"))))</f>
        <v/>
      </c>
      <c r="U1174" s="6"/>
      <c r="W11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4" s="7">
        <f t="shared" si="38"/>
        <v>1</v>
      </c>
    </row>
    <row r="1175" spans="10:24" x14ac:dyDescent="0.25">
      <c r="J1175" s="5" t="str">
        <f>IFERROR(VLOOKUP(I1175,[1]INFO_LOCALES!$B:$C,2,FALSE),"")</f>
        <v/>
      </c>
      <c r="K1175" s="5" t="str">
        <f>IFERROR(VLOOKUP(Tabla2[[#This Row],[TIENDA]],[1]INFO_LOCALES!$B:$D,3,FALSE),"")</f>
        <v/>
      </c>
      <c r="L1175" s="5" t="str">
        <f>IFERROR(VLOOKUP(I1175,[1]INFO_LOCALES!$B:$I,8,FALSE),"")</f>
        <v/>
      </c>
      <c r="M1175" s="5" t="str">
        <f>IFERROR(VLOOKUP(I1175,[1]INFO_LOCALES!$B:$H,7,FALSE),"")</f>
        <v/>
      </c>
      <c r="N1175" s="5" t="str">
        <f>IFERROR(VLOOKUP(I1175,[1]INFO_LOCALES!$B:$E,4,FALSE),"")</f>
        <v/>
      </c>
      <c r="O1175" s="5" t="e">
        <f>VLOOKUP(Tabla2[[#This Row],[TIENDA]],[1]INFO_LOCALES!$B:$J,9,0)</f>
        <v>#N/A</v>
      </c>
      <c r="P1175" s="5" t="str">
        <f>IFERROR(VLOOKUP(I1175,[1]INFO_LOCALES!$B:$F,5,FALSE),"")</f>
        <v/>
      </c>
      <c r="S1175" s="6"/>
      <c r="T1175" s="5" t="str">
        <f>UPPER(IF(Tabla2[[#This Row],[FECHA DE MUESTREO ]]=0,"",TEXT(Tabla2[[#This Row],[FECHA DE MUESTREO ]],("MMMM"))))</f>
        <v/>
      </c>
      <c r="U1175" s="6"/>
      <c r="W11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5" s="7">
        <f t="shared" si="38"/>
        <v>1</v>
      </c>
    </row>
    <row r="1176" spans="10:24" x14ac:dyDescent="0.25">
      <c r="J1176" s="5" t="str">
        <f>IFERROR(VLOOKUP(I1176,[1]INFO_LOCALES!$B:$C,2,FALSE),"")</f>
        <v/>
      </c>
      <c r="K1176" s="5" t="str">
        <f>IFERROR(VLOOKUP(Tabla2[[#This Row],[TIENDA]],[1]INFO_LOCALES!$B:$D,3,FALSE),"")</f>
        <v/>
      </c>
      <c r="L1176" s="5" t="str">
        <f>IFERROR(VLOOKUP(I1176,[1]INFO_LOCALES!$B:$I,8,FALSE),"")</f>
        <v/>
      </c>
      <c r="M1176" s="5" t="str">
        <f>IFERROR(VLOOKUP(I1176,[1]INFO_LOCALES!$B:$H,7,FALSE),"")</f>
        <v/>
      </c>
      <c r="N1176" s="5" t="str">
        <f>IFERROR(VLOOKUP(I1176,[1]INFO_LOCALES!$B:$E,4,FALSE),"")</f>
        <v/>
      </c>
      <c r="O1176" s="5" t="e">
        <f>VLOOKUP(Tabla2[[#This Row],[TIENDA]],[1]INFO_LOCALES!$B:$J,9,0)</f>
        <v>#N/A</v>
      </c>
      <c r="P1176" s="5" t="str">
        <f>IFERROR(VLOOKUP(I1176,[1]INFO_LOCALES!$B:$F,5,FALSE),"")</f>
        <v/>
      </c>
      <c r="S1176" s="6"/>
      <c r="T1176" s="5" t="str">
        <f>UPPER(IF(Tabla2[[#This Row],[FECHA DE MUESTREO ]]=0,"",TEXT(Tabla2[[#This Row],[FECHA DE MUESTREO ]],("MMMM"))))</f>
        <v/>
      </c>
      <c r="U1176" s="6"/>
      <c r="W11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6" s="7">
        <f t="shared" si="38"/>
        <v>1</v>
      </c>
    </row>
    <row r="1177" spans="10:24" x14ac:dyDescent="0.25">
      <c r="J1177" s="5" t="str">
        <f>IFERROR(VLOOKUP(I1177,[1]INFO_LOCALES!$B:$C,2,FALSE),"")</f>
        <v/>
      </c>
      <c r="K1177" s="5" t="str">
        <f>IFERROR(VLOOKUP(Tabla2[[#This Row],[TIENDA]],[1]INFO_LOCALES!$B:$D,3,FALSE),"")</f>
        <v/>
      </c>
      <c r="L1177" s="5" t="str">
        <f>IFERROR(VLOOKUP(I1177,[1]INFO_LOCALES!$B:$I,8,FALSE),"")</f>
        <v/>
      </c>
      <c r="M1177" s="5" t="str">
        <f>IFERROR(VLOOKUP(I1177,[1]INFO_LOCALES!$B:$H,7,FALSE),"")</f>
        <v/>
      </c>
      <c r="N1177" s="5" t="str">
        <f>IFERROR(VLOOKUP(I1177,[1]INFO_LOCALES!$B:$E,4,FALSE),"")</f>
        <v/>
      </c>
      <c r="O1177" s="5" t="e">
        <f>VLOOKUP(Tabla2[[#This Row],[TIENDA]],[1]INFO_LOCALES!$B:$J,9,0)</f>
        <v>#N/A</v>
      </c>
      <c r="P1177" s="5" t="str">
        <f>IFERROR(VLOOKUP(I1177,[1]INFO_LOCALES!$B:$F,5,FALSE),"")</f>
        <v/>
      </c>
      <c r="S1177" s="6"/>
      <c r="T1177" s="5" t="str">
        <f>UPPER(IF(Tabla2[[#This Row],[FECHA DE MUESTREO ]]=0,"",TEXT(Tabla2[[#This Row],[FECHA DE MUESTREO ]],("MMMM"))))</f>
        <v/>
      </c>
      <c r="U1177" s="6"/>
      <c r="W11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7" s="7">
        <f t="shared" si="38"/>
        <v>1</v>
      </c>
    </row>
    <row r="1178" spans="10:24" x14ac:dyDescent="0.25">
      <c r="J1178" s="5" t="str">
        <f>IFERROR(VLOOKUP(I1178,[1]INFO_LOCALES!$B:$C,2,FALSE),"")</f>
        <v/>
      </c>
      <c r="K1178" s="5" t="str">
        <f>IFERROR(VLOOKUP(Tabla2[[#This Row],[TIENDA]],[1]INFO_LOCALES!$B:$D,3,FALSE),"")</f>
        <v/>
      </c>
      <c r="L1178" s="5" t="str">
        <f>IFERROR(VLOOKUP(I1178,[1]INFO_LOCALES!$B:$I,8,FALSE),"")</f>
        <v/>
      </c>
      <c r="M1178" s="5" t="str">
        <f>IFERROR(VLOOKUP(I1178,[1]INFO_LOCALES!$B:$H,7,FALSE),"")</f>
        <v/>
      </c>
      <c r="N1178" s="5" t="str">
        <f>IFERROR(VLOOKUP(I1178,[1]INFO_LOCALES!$B:$E,4,FALSE),"")</f>
        <v/>
      </c>
      <c r="O1178" s="5" t="e">
        <f>VLOOKUP(Tabla2[[#This Row],[TIENDA]],[1]INFO_LOCALES!$B:$J,9,0)</f>
        <v>#N/A</v>
      </c>
      <c r="P1178" s="5" t="str">
        <f>IFERROR(VLOOKUP(I1178,[1]INFO_LOCALES!$B:$F,5,FALSE),"")</f>
        <v/>
      </c>
      <c r="S1178" s="6"/>
      <c r="T1178" s="5" t="str">
        <f>UPPER(IF(Tabla2[[#This Row],[FECHA DE MUESTREO ]]=0,"",TEXT(Tabla2[[#This Row],[FECHA DE MUESTREO ]],("MMMM"))))</f>
        <v/>
      </c>
      <c r="U1178" s="6"/>
      <c r="W11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8" s="7">
        <f t="shared" si="38"/>
        <v>1</v>
      </c>
    </row>
    <row r="1179" spans="10:24" x14ac:dyDescent="0.25">
      <c r="J1179" s="5" t="str">
        <f>IFERROR(VLOOKUP(I1179,[1]INFO_LOCALES!$B:$C,2,FALSE),"")</f>
        <v/>
      </c>
      <c r="K1179" s="5" t="str">
        <f>IFERROR(VLOOKUP(Tabla2[[#This Row],[TIENDA]],[1]INFO_LOCALES!$B:$D,3,FALSE),"")</f>
        <v/>
      </c>
      <c r="L1179" s="5" t="str">
        <f>IFERROR(VLOOKUP(I1179,[1]INFO_LOCALES!$B:$I,8,FALSE),"")</f>
        <v/>
      </c>
      <c r="M1179" s="5" t="str">
        <f>IFERROR(VLOOKUP(I1179,[1]INFO_LOCALES!$B:$H,7,FALSE),"")</f>
        <v/>
      </c>
      <c r="N1179" s="5" t="str">
        <f>IFERROR(VLOOKUP(I1179,[1]INFO_LOCALES!$B:$E,4,FALSE),"")</f>
        <v/>
      </c>
      <c r="O1179" s="5" t="e">
        <f>VLOOKUP(Tabla2[[#This Row],[TIENDA]],[1]INFO_LOCALES!$B:$J,9,0)</f>
        <v>#N/A</v>
      </c>
      <c r="P1179" s="5" t="str">
        <f>IFERROR(VLOOKUP(I1179,[1]INFO_LOCALES!$B:$F,5,FALSE),"")</f>
        <v/>
      </c>
      <c r="S1179" s="6"/>
      <c r="T1179" s="5" t="str">
        <f>UPPER(IF(Tabla2[[#This Row],[FECHA DE MUESTREO ]]=0,"",TEXT(Tabla2[[#This Row],[FECHA DE MUESTREO ]],("MMMM"))))</f>
        <v/>
      </c>
      <c r="U1179" s="6"/>
      <c r="W11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79" s="7">
        <f t="shared" si="38"/>
        <v>1</v>
      </c>
    </row>
    <row r="1180" spans="10:24" x14ac:dyDescent="0.25">
      <c r="J1180" s="5" t="str">
        <f>IFERROR(VLOOKUP(I1180,[1]INFO_LOCALES!$B:$C,2,FALSE),"")</f>
        <v/>
      </c>
      <c r="K1180" s="5" t="str">
        <f>IFERROR(VLOOKUP(Tabla2[[#This Row],[TIENDA]],[1]INFO_LOCALES!$B:$D,3,FALSE),"")</f>
        <v/>
      </c>
      <c r="L1180" s="5" t="str">
        <f>IFERROR(VLOOKUP(I1180,[1]INFO_LOCALES!$B:$I,8,FALSE),"")</f>
        <v/>
      </c>
      <c r="M1180" s="5" t="str">
        <f>IFERROR(VLOOKUP(I1180,[1]INFO_LOCALES!$B:$H,7,FALSE),"")</f>
        <v/>
      </c>
      <c r="N1180" s="5" t="str">
        <f>IFERROR(VLOOKUP(I1180,[1]INFO_LOCALES!$B:$E,4,FALSE),"")</f>
        <v/>
      </c>
      <c r="O1180" s="5" t="e">
        <f>VLOOKUP(Tabla2[[#This Row],[TIENDA]],[1]INFO_LOCALES!$B:$J,9,0)</f>
        <v>#N/A</v>
      </c>
      <c r="P1180" s="5" t="str">
        <f>IFERROR(VLOOKUP(I1180,[1]INFO_LOCALES!$B:$F,5,FALSE),"")</f>
        <v/>
      </c>
      <c r="S1180" s="6"/>
      <c r="T1180" s="5" t="str">
        <f>UPPER(IF(Tabla2[[#This Row],[FECHA DE MUESTREO ]]=0,"",TEXT(Tabla2[[#This Row],[FECHA DE MUESTREO ]],("MMMM"))))</f>
        <v/>
      </c>
      <c r="U1180" s="6"/>
      <c r="W11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0" s="7">
        <f t="shared" si="38"/>
        <v>1</v>
      </c>
    </row>
    <row r="1181" spans="10:24" x14ac:dyDescent="0.25">
      <c r="J1181" s="5" t="str">
        <f>IFERROR(VLOOKUP(I1181,[1]INFO_LOCALES!$B:$C,2,FALSE),"")</f>
        <v/>
      </c>
      <c r="K1181" s="5" t="str">
        <f>IFERROR(VLOOKUP(Tabla2[[#This Row],[TIENDA]],[1]INFO_LOCALES!$B:$D,3,FALSE),"")</f>
        <v/>
      </c>
      <c r="L1181" s="5" t="str">
        <f>IFERROR(VLOOKUP(I1181,[1]INFO_LOCALES!$B:$I,8,FALSE),"")</f>
        <v/>
      </c>
      <c r="M1181" s="5" t="str">
        <f>IFERROR(VLOOKUP(I1181,[1]INFO_LOCALES!$B:$H,7,FALSE),"")</f>
        <v/>
      </c>
      <c r="N1181" s="5" t="str">
        <f>IFERROR(VLOOKUP(I1181,[1]INFO_LOCALES!$B:$E,4,FALSE),"")</f>
        <v/>
      </c>
      <c r="O1181" s="5" t="e">
        <f>VLOOKUP(Tabla2[[#This Row],[TIENDA]],[1]INFO_LOCALES!$B:$J,9,0)</f>
        <v>#N/A</v>
      </c>
      <c r="P1181" s="5" t="str">
        <f>IFERROR(VLOOKUP(I1181,[1]INFO_LOCALES!$B:$F,5,FALSE),"")</f>
        <v/>
      </c>
      <c r="S1181" s="6"/>
      <c r="T1181" s="5" t="str">
        <f>UPPER(IF(Tabla2[[#This Row],[FECHA DE MUESTREO ]]=0,"",TEXT(Tabla2[[#This Row],[FECHA DE MUESTREO ]],("MMMM"))))</f>
        <v/>
      </c>
      <c r="U1181" s="6"/>
      <c r="W11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1" s="7">
        <f t="shared" si="38"/>
        <v>1</v>
      </c>
    </row>
    <row r="1182" spans="10:24" x14ac:dyDescent="0.25">
      <c r="J1182" s="5" t="str">
        <f>IFERROR(VLOOKUP(I1182,[1]INFO_LOCALES!$B:$C,2,FALSE),"")</f>
        <v/>
      </c>
      <c r="K1182" s="5" t="str">
        <f>IFERROR(VLOOKUP(Tabla2[[#This Row],[TIENDA]],[1]INFO_LOCALES!$B:$D,3,FALSE),"")</f>
        <v/>
      </c>
      <c r="L1182" s="5" t="str">
        <f>IFERROR(VLOOKUP(I1182,[1]INFO_LOCALES!$B:$I,8,FALSE),"")</f>
        <v/>
      </c>
      <c r="M1182" s="5" t="str">
        <f>IFERROR(VLOOKUP(I1182,[1]INFO_LOCALES!$B:$H,7,FALSE),"")</f>
        <v/>
      </c>
      <c r="N1182" s="5" t="str">
        <f>IFERROR(VLOOKUP(I1182,[1]INFO_LOCALES!$B:$E,4,FALSE),"")</f>
        <v/>
      </c>
      <c r="O1182" s="5" t="e">
        <f>VLOOKUP(Tabla2[[#This Row],[TIENDA]],[1]INFO_LOCALES!$B:$J,9,0)</f>
        <v>#N/A</v>
      </c>
      <c r="P1182" s="5" t="str">
        <f>IFERROR(VLOOKUP(I1182,[1]INFO_LOCALES!$B:$F,5,FALSE),"")</f>
        <v/>
      </c>
      <c r="S1182" s="6"/>
      <c r="T1182" s="5" t="str">
        <f>UPPER(IF(Tabla2[[#This Row],[FECHA DE MUESTREO ]]=0,"",TEXT(Tabla2[[#This Row],[FECHA DE MUESTREO ]],("MMMM"))))</f>
        <v/>
      </c>
      <c r="U1182" s="6"/>
      <c r="W11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2" s="7">
        <f t="shared" si="38"/>
        <v>1</v>
      </c>
    </row>
    <row r="1183" spans="10:24" x14ac:dyDescent="0.25">
      <c r="J1183" s="5" t="str">
        <f>IFERROR(VLOOKUP(I1183,[1]INFO_LOCALES!$B:$C,2,FALSE),"")</f>
        <v/>
      </c>
      <c r="K1183" s="5" t="str">
        <f>IFERROR(VLOOKUP(Tabla2[[#This Row],[TIENDA]],[1]INFO_LOCALES!$B:$D,3,FALSE),"")</f>
        <v/>
      </c>
      <c r="L1183" s="5" t="str">
        <f>IFERROR(VLOOKUP(I1183,[1]INFO_LOCALES!$B:$I,8,FALSE),"")</f>
        <v/>
      </c>
      <c r="M1183" s="5" t="str">
        <f>IFERROR(VLOOKUP(I1183,[1]INFO_LOCALES!$B:$H,7,FALSE),"")</f>
        <v/>
      </c>
      <c r="N1183" s="5" t="str">
        <f>IFERROR(VLOOKUP(I1183,[1]INFO_LOCALES!$B:$E,4,FALSE),"")</f>
        <v/>
      </c>
      <c r="O1183" s="5" t="e">
        <f>VLOOKUP(Tabla2[[#This Row],[TIENDA]],[1]INFO_LOCALES!$B:$J,9,0)</f>
        <v>#N/A</v>
      </c>
      <c r="P1183" s="5" t="str">
        <f>IFERROR(VLOOKUP(I1183,[1]INFO_LOCALES!$B:$F,5,FALSE),"")</f>
        <v/>
      </c>
      <c r="S1183" s="6"/>
      <c r="T1183" s="5" t="str">
        <f>UPPER(IF(Tabla2[[#This Row],[FECHA DE MUESTREO ]]=0,"",TEXT(Tabla2[[#This Row],[FECHA DE MUESTREO ]],("MMMM"))))</f>
        <v/>
      </c>
      <c r="U1183" s="6"/>
      <c r="W11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3" s="7">
        <f t="shared" si="38"/>
        <v>1</v>
      </c>
    </row>
    <row r="1184" spans="10:24" x14ac:dyDescent="0.25">
      <c r="J1184" s="5" t="str">
        <f>IFERROR(VLOOKUP(I1184,[1]INFO_LOCALES!$B:$C,2,FALSE),"")</f>
        <v/>
      </c>
      <c r="K1184" s="5" t="str">
        <f>IFERROR(VLOOKUP(Tabla2[[#This Row],[TIENDA]],[1]INFO_LOCALES!$B:$D,3,FALSE),"")</f>
        <v/>
      </c>
      <c r="L1184" s="5" t="str">
        <f>IFERROR(VLOOKUP(I1184,[1]INFO_LOCALES!$B:$I,8,FALSE),"")</f>
        <v/>
      </c>
      <c r="M1184" s="5" t="str">
        <f>IFERROR(VLOOKUP(I1184,[1]INFO_LOCALES!$B:$H,7,FALSE),"")</f>
        <v/>
      </c>
      <c r="N1184" s="5" t="str">
        <f>IFERROR(VLOOKUP(I1184,[1]INFO_LOCALES!$B:$E,4,FALSE),"")</f>
        <v/>
      </c>
      <c r="O1184" s="5" t="e">
        <f>VLOOKUP(Tabla2[[#This Row],[TIENDA]],[1]INFO_LOCALES!$B:$J,9,0)</f>
        <v>#N/A</v>
      </c>
      <c r="P1184" s="5" t="str">
        <f>IFERROR(VLOOKUP(I1184,[1]INFO_LOCALES!$B:$F,5,FALSE),"")</f>
        <v/>
      </c>
      <c r="S1184" s="6"/>
      <c r="T1184" s="5" t="str">
        <f>UPPER(IF(Tabla2[[#This Row],[FECHA DE MUESTREO ]]=0,"",TEXT(Tabla2[[#This Row],[FECHA DE MUESTREO ]],("MMMM"))))</f>
        <v/>
      </c>
      <c r="U1184" s="6"/>
      <c r="W11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4" s="7">
        <f t="shared" si="38"/>
        <v>1</v>
      </c>
    </row>
    <row r="1185" spans="10:24" x14ac:dyDescent="0.25">
      <c r="J1185" s="5" t="str">
        <f>IFERROR(VLOOKUP(I1185,[1]INFO_LOCALES!$B:$C,2,FALSE),"")</f>
        <v/>
      </c>
      <c r="K1185" s="5" t="str">
        <f>IFERROR(VLOOKUP(Tabla2[[#This Row],[TIENDA]],[1]INFO_LOCALES!$B:$D,3,FALSE),"")</f>
        <v/>
      </c>
      <c r="L1185" s="5" t="str">
        <f>IFERROR(VLOOKUP(I1185,[1]INFO_LOCALES!$B:$I,8,FALSE),"")</f>
        <v/>
      </c>
      <c r="M1185" s="5" t="str">
        <f>IFERROR(VLOOKUP(I1185,[1]INFO_LOCALES!$B:$H,7,FALSE),"")</f>
        <v/>
      </c>
      <c r="N1185" s="5" t="str">
        <f>IFERROR(VLOOKUP(I1185,[1]INFO_LOCALES!$B:$E,4,FALSE),"")</f>
        <v/>
      </c>
      <c r="O1185" s="5" t="e">
        <f>VLOOKUP(Tabla2[[#This Row],[TIENDA]],[1]INFO_LOCALES!$B:$J,9,0)</f>
        <v>#N/A</v>
      </c>
      <c r="P1185" s="5" t="str">
        <f>IFERROR(VLOOKUP(I1185,[1]INFO_LOCALES!$B:$F,5,FALSE),"")</f>
        <v/>
      </c>
      <c r="S1185" s="6"/>
      <c r="T1185" s="5" t="str">
        <f>UPPER(IF(Tabla2[[#This Row],[FECHA DE MUESTREO ]]=0,"",TEXT(Tabla2[[#This Row],[FECHA DE MUESTREO ]],("MMMM"))))</f>
        <v/>
      </c>
      <c r="U1185" s="6"/>
      <c r="W11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5" s="7">
        <f t="shared" si="38"/>
        <v>1</v>
      </c>
    </row>
    <row r="1186" spans="10:24" x14ac:dyDescent="0.25">
      <c r="J1186" s="5" t="str">
        <f>IFERROR(VLOOKUP(I1186,[1]INFO_LOCALES!$B:$C,2,FALSE),"")</f>
        <v/>
      </c>
      <c r="K1186" s="5" t="str">
        <f>IFERROR(VLOOKUP(Tabla2[[#This Row],[TIENDA]],[1]INFO_LOCALES!$B:$D,3,FALSE),"")</f>
        <v/>
      </c>
      <c r="L1186" s="5" t="str">
        <f>IFERROR(VLOOKUP(I1186,[1]INFO_LOCALES!$B:$I,8,FALSE),"")</f>
        <v/>
      </c>
      <c r="M1186" s="5" t="str">
        <f>IFERROR(VLOOKUP(I1186,[1]INFO_LOCALES!$B:$H,7,FALSE),"")</f>
        <v/>
      </c>
      <c r="N1186" s="5" t="str">
        <f>IFERROR(VLOOKUP(I1186,[1]INFO_LOCALES!$B:$E,4,FALSE),"")</f>
        <v/>
      </c>
      <c r="O1186" s="5" t="e">
        <f>VLOOKUP(Tabla2[[#This Row],[TIENDA]],[1]INFO_LOCALES!$B:$J,9,0)</f>
        <v>#N/A</v>
      </c>
      <c r="P1186" s="5" t="str">
        <f>IFERROR(VLOOKUP(I1186,[1]INFO_LOCALES!$B:$F,5,FALSE),"")</f>
        <v/>
      </c>
      <c r="S1186" s="6"/>
      <c r="T1186" s="5" t="str">
        <f>UPPER(IF(Tabla2[[#This Row],[FECHA DE MUESTREO ]]=0,"",TEXT(Tabla2[[#This Row],[FECHA DE MUESTREO ]],("MMMM"))))</f>
        <v/>
      </c>
      <c r="U1186" s="6"/>
      <c r="W11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6" s="7">
        <f t="shared" si="38"/>
        <v>1</v>
      </c>
    </row>
    <row r="1187" spans="10:24" x14ac:dyDescent="0.25">
      <c r="J1187" s="5" t="str">
        <f>IFERROR(VLOOKUP(I1187,[1]INFO_LOCALES!$B:$C,2,FALSE),"")</f>
        <v/>
      </c>
      <c r="K1187" s="5" t="str">
        <f>IFERROR(VLOOKUP(Tabla2[[#This Row],[TIENDA]],[1]INFO_LOCALES!$B:$D,3,FALSE),"")</f>
        <v/>
      </c>
      <c r="L1187" s="5" t="str">
        <f>IFERROR(VLOOKUP(I1187,[1]INFO_LOCALES!$B:$I,8,FALSE),"")</f>
        <v/>
      </c>
      <c r="M1187" s="5" t="str">
        <f>IFERROR(VLOOKUP(I1187,[1]INFO_LOCALES!$B:$H,7,FALSE),"")</f>
        <v/>
      </c>
      <c r="N1187" s="5" t="str">
        <f>IFERROR(VLOOKUP(I1187,[1]INFO_LOCALES!$B:$E,4,FALSE),"")</f>
        <v/>
      </c>
      <c r="O1187" s="5" t="e">
        <f>VLOOKUP(Tabla2[[#This Row],[TIENDA]],[1]INFO_LOCALES!$B:$J,9,0)</f>
        <v>#N/A</v>
      </c>
      <c r="P1187" s="5" t="str">
        <f>IFERROR(VLOOKUP(I1187,[1]INFO_LOCALES!$B:$F,5,FALSE),"")</f>
        <v/>
      </c>
      <c r="S1187" s="6"/>
      <c r="T1187" s="5" t="str">
        <f>UPPER(IF(Tabla2[[#This Row],[FECHA DE MUESTREO ]]=0,"",TEXT(Tabla2[[#This Row],[FECHA DE MUESTREO ]],("MMMM"))))</f>
        <v/>
      </c>
      <c r="U1187" s="6"/>
      <c r="W11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7" s="7">
        <f t="shared" si="38"/>
        <v>1</v>
      </c>
    </row>
    <row r="1188" spans="10:24" x14ac:dyDescent="0.25">
      <c r="J1188" s="5" t="str">
        <f>IFERROR(VLOOKUP(I1188,[1]INFO_LOCALES!$B:$C,2,FALSE),"")</f>
        <v/>
      </c>
      <c r="K1188" s="5" t="str">
        <f>IFERROR(VLOOKUP(Tabla2[[#This Row],[TIENDA]],[1]INFO_LOCALES!$B:$D,3,FALSE),"")</f>
        <v/>
      </c>
      <c r="L1188" s="5" t="str">
        <f>IFERROR(VLOOKUP(I1188,[1]INFO_LOCALES!$B:$I,8,FALSE),"")</f>
        <v/>
      </c>
      <c r="M1188" s="5" t="str">
        <f>IFERROR(VLOOKUP(I1188,[1]INFO_LOCALES!$B:$H,7,FALSE),"")</f>
        <v/>
      </c>
      <c r="N1188" s="5" t="str">
        <f>IFERROR(VLOOKUP(I1188,[1]INFO_LOCALES!$B:$E,4,FALSE),"")</f>
        <v/>
      </c>
      <c r="O1188" s="5" t="e">
        <f>VLOOKUP(Tabla2[[#This Row],[TIENDA]],[1]INFO_LOCALES!$B:$J,9,0)</f>
        <v>#N/A</v>
      </c>
      <c r="P1188" s="5" t="str">
        <f>IFERROR(VLOOKUP(I1188,[1]INFO_LOCALES!$B:$F,5,FALSE),"")</f>
        <v/>
      </c>
      <c r="S1188" s="6"/>
      <c r="T1188" s="5" t="str">
        <f>UPPER(IF(Tabla2[[#This Row],[FECHA DE MUESTREO ]]=0,"",TEXT(Tabla2[[#This Row],[FECHA DE MUESTREO ]],("MMMM"))))</f>
        <v/>
      </c>
      <c r="U1188" s="6"/>
      <c r="W11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8" s="7">
        <f t="shared" si="38"/>
        <v>1</v>
      </c>
    </row>
    <row r="1189" spans="10:24" x14ac:dyDescent="0.25">
      <c r="J1189" s="5" t="str">
        <f>IFERROR(VLOOKUP(I1189,[1]INFO_LOCALES!$B:$C,2,FALSE),"")</f>
        <v/>
      </c>
      <c r="K1189" s="5" t="str">
        <f>IFERROR(VLOOKUP(Tabla2[[#This Row],[TIENDA]],[1]INFO_LOCALES!$B:$D,3,FALSE),"")</f>
        <v/>
      </c>
      <c r="L1189" s="5" t="str">
        <f>IFERROR(VLOOKUP(I1189,[1]INFO_LOCALES!$B:$I,8,FALSE),"")</f>
        <v/>
      </c>
      <c r="M1189" s="5" t="str">
        <f>IFERROR(VLOOKUP(I1189,[1]INFO_LOCALES!$B:$H,7,FALSE),"")</f>
        <v/>
      </c>
      <c r="N1189" s="5" t="str">
        <f>IFERROR(VLOOKUP(I1189,[1]INFO_LOCALES!$B:$E,4,FALSE),"")</f>
        <v/>
      </c>
      <c r="O1189" s="5" t="e">
        <f>VLOOKUP(Tabla2[[#This Row],[TIENDA]],[1]INFO_LOCALES!$B:$J,9,0)</f>
        <v>#N/A</v>
      </c>
      <c r="P1189" s="5" t="str">
        <f>IFERROR(VLOOKUP(I1189,[1]INFO_LOCALES!$B:$F,5,FALSE),"")</f>
        <v/>
      </c>
      <c r="S1189" s="6"/>
      <c r="T1189" s="5" t="str">
        <f>UPPER(IF(Tabla2[[#This Row],[FECHA DE MUESTREO ]]=0,"",TEXT(Tabla2[[#This Row],[FECHA DE MUESTREO ]],("MMMM"))))</f>
        <v/>
      </c>
      <c r="U1189" s="6"/>
      <c r="W11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89" s="7">
        <f t="shared" si="38"/>
        <v>1</v>
      </c>
    </row>
    <row r="1190" spans="10:24" x14ac:dyDescent="0.25">
      <c r="J1190" s="5" t="str">
        <f>IFERROR(VLOOKUP(I1190,[1]INFO_LOCALES!$B:$C,2,FALSE),"")</f>
        <v/>
      </c>
      <c r="K1190" s="5" t="str">
        <f>IFERROR(VLOOKUP(Tabla2[[#This Row],[TIENDA]],[1]INFO_LOCALES!$B:$D,3,FALSE),"")</f>
        <v/>
      </c>
      <c r="L1190" s="5" t="str">
        <f>IFERROR(VLOOKUP(I1190,[1]INFO_LOCALES!$B:$I,8,FALSE),"")</f>
        <v/>
      </c>
      <c r="M1190" s="5" t="str">
        <f>IFERROR(VLOOKUP(I1190,[1]INFO_LOCALES!$B:$H,7,FALSE),"")</f>
        <v/>
      </c>
      <c r="N1190" s="5" t="str">
        <f>IFERROR(VLOOKUP(I1190,[1]INFO_LOCALES!$B:$E,4,FALSE),"")</f>
        <v/>
      </c>
      <c r="O1190" s="5" t="e">
        <f>VLOOKUP(Tabla2[[#This Row],[TIENDA]],[1]INFO_LOCALES!$B:$J,9,0)</f>
        <v>#N/A</v>
      </c>
      <c r="P1190" s="5" t="str">
        <f>IFERROR(VLOOKUP(I1190,[1]INFO_LOCALES!$B:$F,5,FALSE),"")</f>
        <v/>
      </c>
      <c r="S1190" s="6"/>
      <c r="T1190" s="5" t="str">
        <f>UPPER(IF(Tabla2[[#This Row],[FECHA DE MUESTREO ]]=0,"",TEXT(Tabla2[[#This Row],[FECHA DE MUESTREO ]],("MMMM"))))</f>
        <v/>
      </c>
      <c r="U1190" s="6"/>
      <c r="W11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0" s="7">
        <f t="shared" ref="X1190:X1253" si="39">IF(W1190="CUMPLE",1,IF(W1190="CUMPLE CON TOLERANCIA",2,IF(W1190="NO CUMPLE",3)))</f>
        <v>1</v>
      </c>
    </row>
    <row r="1191" spans="10:24" x14ac:dyDescent="0.25">
      <c r="J1191" s="5" t="str">
        <f>IFERROR(VLOOKUP(I1191,[1]INFO_LOCALES!$B:$C,2,FALSE),"")</f>
        <v/>
      </c>
      <c r="K1191" s="5" t="str">
        <f>IFERROR(VLOOKUP(Tabla2[[#This Row],[TIENDA]],[1]INFO_LOCALES!$B:$D,3,FALSE),"")</f>
        <v/>
      </c>
      <c r="L1191" s="5" t="str">
        <f>IFERROR(VLOOKUP(I1191,[1]INFO_LOCALES!$B:$I,8,FALSE),"")</f>
        <v/>
      </c>
      <c r="M1191" s="5" t="str">
        <f>IFERROR(VLOOKUP(I1191,[1]INFO_LOCALES!$B:$H,7,FALSE),"")</f>
        <v/>
      </c>
      <c r="N1191" s="5" t="str">
        <f>IFERROR(VLOOKUP(I1191,[1]INFO_LOCALES!$B:$E,4,FALSE),"")</f>
        <v/>
      </c>
      <c r="O1191" s="5" t="e">
        <f>VLOOKUP(Tabla2[[#This Row],[TIENDA]],[1]INFO_LOCALES!$B:$J,9,0)</f>
        <v>#N/A</v>
      </c>
      <c r="P1191" s="5" t="str">
        <f>IFERROR(VLOOKUP(I1191,[1]INFO_LOCALES!$B:$F,5,FALSE),"")</f>
        <v/>
      </c>
      <c r="S1191" s="6"/>
      <c r="T1191" s="5" t="str">
        <f>UPPER(IF(Tabla2[[#This Row],[FECHA DE MUESTREO ]]=0,"",TEXT(Tabla2[[#This Row],[FECHA DE MUESTREO ]],("MMMM"))))</f>
        <v/>
      </c>
      <c r="U1191" s="6"/>
      <c r="W11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1" s="7">
        <f t="shared" si="39"/>
        <v>1</v>
      </c>
    </row>
    <row r="1192" spans="10:24" x14ac:dyDescent="0.25">
      <c r="J1192" s="5" t="str">
        <f>IFERROR(VLOOKUP(I1192,[1]INFO_LOCALES!$B:$C,2,FALSE),"")</f>
        <v/>
      </c>
      <c r="K1192" s="5" t="str">
        <f>IFERROR(VLOOKUP(Tabla2[[#This Row],[TIENDA]],[1]INFO_LOCALES!$B:$D,3,FALSE),"")</f>
        <v/>
      </c>
      <c r="L1192" s="5" t="str">
        <f>IFERROR(VLOOKUP(I1192,[1]INFO_LOCALES!$B:$I,8,FALSE),"")</f>
        <v/>
      </c>
      <c r="M1192" s="5" t="str">
        <f>IFERROR(VLOOKUP(I1192,[1]INFO_LOCALES!$B:$H,7,FALSE),"")</f>
        <v/>
      </c>
      <c r="N1192" s="5" t="str">
        <f>IFERROR(VLOOKUP(I1192,[1]INFO_LOCALES!$B:$E,4,FALSE),"")</f>
        <v/>
      </c>
      <c r="O1192" s="5" t="e">
        <f>VLOOKUP(Tabla2[[#This Row],[TIENDA]],[1]INFO_LOCALES!$B:$J,9,0)</f>
        <v>#N/A</v>
      </c>
      <c r="P1192" s="5" t="str">
        <f>IFERROR(VLOOKUP(I1192,[1]INFO_LOCALES!$B:$F,5,FALSE),"")</f>
        <v/>
      </c>
      <c r="S1192" s="6"/>
      <c r="T1192" s="5" t="str">
        <f>UPPER(IF(Tabla2[[#This Row],[FECHA DE MUESTREO ]]=0,"",TEXT(Tabla2[[#This Row],[FECHA DE MUESTREO ]],("MMMM"))))</f>
        <v/>
      </c>
      <c r="U1192" s="6"/>
      <c r="W11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2" s="7">
        <f t="shared" si="39"/>
        <v>1</v>
      </c>
    </row>
    <row r="1193" spans="10:24" x14ac:dyDescent="0.25">
      <c r="J1193" s="5" t="str">
        <f>IFERROR(VLOOKUP(I1193,[1]INFO_LOCALES!$B:$C,2,FALSE),"")</f>
        <v/>
      </c>
      <c r="K1193" s="5" t="str">
        <f>IFERROR(VLOOKUP(Tabla2[[#This Row],[TIENDA]],[1]INFO_LOCALES!$B:$D,3,FALSE),"")</f>
        <v/>
      </c>
      <c r="L1193" s="5" t="str">
        <f>IFERROR(VLOOKUP(I1193,[1]INFO_LOCALES!$B:$I,8,FALSE),"")</f>
        <v/>
      </c>
      <c r="M1193" s="5" t="str">
        <f>IFERROR(VLOOKUP(I1193,[1]INFO_LOCALES!$B:$H,7,FALSE),"")</f>
        <v/>
      </c>
      <c r="N1193" s="5" t="str">
        <f>IFERROR(VLOOKUP(I1193,[1]INFO_LOCALES!$B:$E,4,FALSE),"")</f>
        <v/>
      </c>
      <c r="O1193" s="5" t="e">
        <f>VLOOKUP(Tabla2[[#This Row],[TIENDA]],[1]INFO_LOCALES!$B:$J,9,0)</f>
        <v>#N/A</v>
      </c>
      <c r="P1193" s="5" t="str">
        <f>IFERROR(VLOOKUP(I1193,[1]INFO_LOCALES!$B:$F,5,FALSE),"")</f>
        <v/>
      </c>
      <c r="S1193" s="6"/>
      <c r="T1193" s="5" t="str">
        <f>UPPER(IF(Tabla2[[#This Row],[FECHA DE MUESTREO ]]=0,"",TEXT(Tabla2[[#This Row],[FECHA DE MUESTREO ]],("MMMM"))))</f>
        <v/>
      </c>
      <c r="U1193" s="6"/>
      <c r="W11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3" s="7">
        <f t="shared" si="39"/>
        <v>1</v>
      </c>
    </row>
    <row r="1194" spans="10:24" x14ac:dyDescent="0.25">
      <c r="J1194" s="5" t="str">
        <f>IFERROR(VLOOKUP(I1194,[1]INFO_LOCALES!$B:$C,2,FALSE),"")</f>
        <v/>
      </c>
      <c r="K1194" s="5" t="str">
        <f>IFERROR(VLOOKUP(Tabla2[[#This Row],[TIENDA]],[1]INFO_LOCALES!$B:$D,3,FALSE),"")</f>
        <v/>
      </c>
      <c r="L1194" s="5" t="str">
        <f>IFERROR(VLOOKUP(I1194,[1]INFO_LOCALES!$B:$I,8,FALSE),"")</f>
        <v/>
      </c>
      <c r="M1194" s="5" t="str">
        <f>IFERROR(VLOOKUP(I1194,[1]INFO_LOCALES!$B:$H,7,FALSE),"")</f>
        <v/>
      </c>
      <c r="N1194" s="5" t="str">
        <f>IFERROR(VLOOKUP(I1194,[1]INFO_LOCALES!$B:$E,4,FALSE),"")</f>
        <v/>
      </c>
      <c r="O1194" s="5" t="e">
        <f>VLOOKUP(Tabla2[[#This Row],[TIENDA]],[1]INFO_LOCALES!$B:$J,9,0)</f>
        <v>#N/A</v>
      </c>
      <c r="P1194" s="5" t="str">
        <f>IFERROR(VLOOKUP(I1194,[1]INFO_LOCALES!$B:$F,5,FALSE),"")</f>
        <v/>
      </c>
      <c r="S1194" s="6"/>
      <c r="T1194" s="5" t="str">
        <f>UPPER(IF(Tabla2[[#This Row],[FECHA DE MUESTREO ]]=0,"",TEXT(Tabla2[[#This Row],[FECHA DE MUESTREO ]],("MMMM"))))</f>
        <v/>
      </c>
      <c r="U1194" s="6"/>
      <c r="W11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4" s="7">
        <f t="shared" si="39"/>
        <v>1</v>
      </c>
    </row>
    <row r="1195" spans="10:24" x14ac:dyDescent="0.25">
      <c r="J1195" s="5" t="str">
        <f>IFERROR(VLOOKUP(I1195,[1]INFO_LOCALES!$B:$C,2,FALSE),"")</f>
        <v/>
      </c>
      <c r="K1195" s="5" t="str">
        <f>IFERROR(VLOOKUP(Tabla2[[#This Row],[TIENDA]],[1]INFO_LOCALES!$B:$D,3,FALSE),"")</f>
        <v/>
      </c>
      <c r="L1195" s="5" t="str">
        <f>IFERROR(VLOOKUP(I1195,[1]INFO_LOCALES!$B:$I,8,FALSE),"")</f>
        <v/>
      </c>
      <c r="M1195" s="5" t="str">
        <f>IFERROR(VLOOKUP(I1195,[1]INFO_LOCALES!$B:$H,7,FALSE),"")</f>
        <v/>
      </c>
      <c r="N1195" s="5" t="str">
        <f>IFERROR(VLOOKUP(I1195,[1]INFO_LOCALES!$B:$E,4,FALSE),"")</f>
        <v/>
      </c>
      <c r="O1195" s="5" t="e">
        <f>VLOOKUP(Tabla2[[#This Row],[TIENDA]],[1]INFO_LOCALES!$B:$J,9,0)</f>
        <v>#N/A</v>
      </c>
      <c r="P1195" s="5" t="str">
        <f>IFERROR(VLOOKUP(I1195,[1]INFO_LOCALES!$B:$F,5,FALSE),"")</f>
        <v/>
      </c>
      <c r="S1195" s="6"/>
      <c r="T1195" s="5" t="str">
        <f>UPPER(IF(Tabla2[[#This Row],[FECHA DE MUESTREO ]]=0,"",TEXT(Tabla2[[#This Row],[FECHA DE MUESTREO ]],("MMMM"))))</f>
        <v/>
      </c>
      <c r="U1195" s="6"/>
      <c r="W11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5" s="7">
        <f t="shared" si="39"/>
        <v>1</v>
      </c>
    </row>
    <row r="1196" spans="10:24" x14ac:dyDescent="0.25">
      <c r="J1196" s="5" t="str">
        <f>IFERROR(VLOOKUP(I1196,[1]INFO_LOCALES!$B:$C,2,FALSE),"")</f>
        <v/>
      </c>
      <c r="K1196" s="5" t="str">
        <f>IFERROR(VLOOKUP(Tabla2[[#This Row],[TIENDA]],[1]INFO_LOCALES!$B:$D,3,FALSE),"")</f>
        <v/>
      </c>
      <c r="L1196" s="5" t="str">
        <f>IFERROR(VLOOKUP(I1196,[1]INFO_LOCALES!$B:$I,8,FALSE),"")</f>
        <v/>
      </c>
      <c r="M1196" s="5" t="str">
        <f>IFERROR(VLOOKUP(I1196,[1]INFO_LOCALES!$B:$H,7,FALSE),"")</f>
        <v/>
      </c>
      <c r="N1196" s="5" t="str">
        <f>IFERROR(VLOOKUP(I1196,[1]INFO_LOCALES!$B:$E,4,FALSE),"")</f>
        <v/>
      </c>
      <c r="O1196" s="5" t="e">
        <f>VLOOKUP(Tabla2[[#This Row],[TIENDA]],[1]INFO_LOCALES!$B:$J,9,0)</f>
        <v>#N/A</v>
      </c>
      <c r="P1196" s="5" t="str">
        <f>IFERROR(VLOOKUP(I1196,[1]INFO_LOCALES!$B:$F,5,FALSE),"")</f>
        <v/>
      </c>
      <c r="S1196" s="6"/>
      <c r="T1196" s="5" t="str">
        <f>UPPER(IF(Tabla2[[#This Row],[FECHA DE MUESTREO ]]=0,"",TEXT(Tabla2[[#This Row],[FECHA DE MUESTREO ]],("MMMM"))))</f>
        <v/>
      </c>
      <c r="U1196" s="6"/>
      <c r="W11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6" s="7">
        <f t="shared" si="39"/>
        <v>1</v>
      </c>
    </row>
    <row r="1197" spans="10:24" x14ac:dyDescent="0.25">
      <c r="J1197" s="5" t="str">
        <f>IFERROR(VLOOKUP(I1197,[1]INFO_LOCALES!$B:$C,2,FALSE),"")</f>
        <v/>
      </c>
      <c r="K1197" s="5" t="str">
        <f>IFERROR(VLOOKUP(Tabla2[[#This Row],[TIENDA]],[1]INFO_LOCALES!$B:$D,3,FALSE),"")</f>
        <v/>
      </c>
      <c r="L1197" s="5" t="str">
        <f>IFERROR(VLOOKUP(I1197,[1]INFO_LOCALES!$B:$I,8,FALSE),"")</f>
        <v/>
      </c>
      <c r="M1197" s="5" t="str">
        <f>IFERROR(VLOOKUP(I1197,[1]INFO_LOCALES!$B:$H,7,FALSE),"")</f>
        <v/>
      </c>
      <c r="N1197" s="5" t="str">
        <f>IFERROR(VLOOKUP(I1197,[1]INFO_LOCALES!$B:$E,4,FALSE),"")</f>
        <v/>
      </c>
      <c r="O1197" s="5" t="e">
        <f>VLOOKUP(Tabla2[[#This Row],[TIENDA]],[1]INFO_LOCALES!$B:$J,9,0)</f>
        <v>#N/A</v>
      </c>
      <c r="P1197" s="5" t="str">
        <f>IFERROR(VLOOKUP(I1197,[1]INFO_LOCALES!$B:$F,5,FALSE),"")</f>
        <v/>
      </c>
      <c r="S1197" s="6"/>
      <c r="T1197" s="5" t="str">
        <f>UPPER(IF(Tabla2[[#This Row],[FECHA DE MUESTREO ]]=0,"",TEXT(Tabla2[[#This Row],[FECHA DE MUESTREO ]],("MMMM"))))</f>
        <v/>
      </c>
      <c r="U1197" s="6"/>
      <c r="W11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7" s="7">
        <f t="shared" si="39"/>
        <v>1</v>
      </c>
    </row>
    <row r="1198" spans="10:24" x14ac:dyDescent="0.25">
      <c r="J1198" s="5" t="str">
        <f>IFERROR(VLOOKUP(I1198,[1]INFO_LOCALES!$B:$C,2,FALSE),"")</f>
        <v/>
      </c>
      <c r="K1198" s="5" t="str">
        <f>IFERROR(VLOOKUP(Tabla2[[#This Row],[TIENDA]],[1]INFO_LOCALES!$B:$D,3,FALSE),"")</f>
        <v/>
      </c>
      <c r="L1198" s="5" t="str">
        <f>IFERROR(VLOOKUP(I1198,[1]INFO_LOCALES!$B:$I,8,FALSE),"")</f>
        <v/>
      </c>
      <c r="M1198" s="5" t="str">
        <f>IFERROR(VLOOKUP(I1198,[1]INFO_LOCALES!$B:$H,7,FALSE),"")</f>
        <v/>
      </c>
      <c r="N1198" s="5" t="str">
        <f>IFERROR(VLOOKUP(I1198,[1]INFO_LOCALES!$B:$E,4,FALSE),"")</f>
        <v/>
      </c>
      <c r="O1198" s="5" t="e">
        <f>VLOOKUP(Tabla2[[#This Row],[TIENDA]],[1]INFO_LOCALES!$B:$J,9,0)</f>
        <v>#N/A</v>
      </c>
      <c r="P1198" s="5" t="str">
        <f>IFERROR(VLOOKUP(I1198,[1]INFO_LOCALES!$B:$F,5,FALSE),"")</f>
        <v/>
      </c>
      <c r="S1198" s="6"/>
      <c r="T1198" s="5" t="str">
        <f>UPPER(IF(Tabla2[[#This Row],[FECHA DE MUESTREO ]]=0,"",TEXT(Tabla2[[#This Row],[FECHA DE MUESTREO ]],("MMMM"))))</f>
        <v/>
      </c>
      <c r="U1198" s="6"/>
      <c r="W11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8" s="7">
        <f t="shared" si="39"/>
        <v>1</v>
      </c>
    </row>
    <row r="1199" spans="10:24" x14ac:dyDescent="0.25">
      <c r="J1199" s="5" t="str">
        <f>IFERROR(VLOOKUP(I1199,[1]INFO_LOCALES!$B:$C,2,FALSE),"")</f>
        <v/>
      </c>
      <c r="K1199" s="5" t="str">
        <f>IFERROR(VLOOKUP(Tabla2[[#This Row],[TIENDA]],[1]INFO_LOCALES!$B:$D,3,FALSE),"")</f>
        <v/>
      </c>
      <c r="L1199" s="5" t="str">
        <f>IFERROR(VLOOKUP(I1199,[1]INFO_LOCALES!$B:$I,8,FALSE),"")</f>
        <v/>
      </c>
      <c r="M1199" s="5" t="str">
        <f>IFERROR(VLOOKUP(I1199,[1]INFO_LOCALES!$B:$H,7,FALSE),"")</f>
        <v/>
      </c>
      <c r="N1199" s="5" t="str">
        <f>IFERROR(VLOOKUP(I1199,[1]INFO_LOCALES!$B:$E,4,FALSE),"")</f>
        <v/>
      </c>
      <c r="O1199" s="5" t="e">
        <f>VLOOKUP(Tabla2[[#This Row],[TIENDA]],[1]INFO_LOCALES!$B:$J,9,0)</f>
        <v>#N/A</v>
      </c>
      <c r="P1199" s="5" t="str">
        <f>IFERROR(VLOOKUP(I1199,[1]INFO_LOCALES!$B:$F,5,FALSE),"")</f>
        <v/>
      </c>
      <c r="S1199" s="6"/>
      <c r="T1199" s="5" t="str">
        <f>UPPER(IF(Tabla2[[#This Row],[FECHA DE MUESTREO ]]=0,"",TEXT(Tabla2[[#This Row],[FECHA DE MUESTREO ]],("MMMM"))))</f>
        <v/>
      </c>
      <c r="U1199" s="6"/>
      <c r="W11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199" s="7">
        <f t="shared" si="39"/>
        <v>1</v>
      </c>
    </row>
    <row r="1200" spans="10:24" x14ac:dyDescent="0.25">
      <c r="J1200" s="5" t="str">
        <f>IFERROR(VLOOKUP(I1200,[1]INFO_LOCALES!$B:$C,2,FALSE),"")</f>
        <v/>
      </c>
      <c r="K1200" s="5" t="str">
        <f>IFERROR(VLOOKUP(Tabla2[[#This Row],[TIENDA]],[1]INFO_LOCALES!$B:$D,3,FALSE),"")</f>
        <v/>
      </c>
      <c r="L1200" s="5" t="str">
        <f>IFERROR(VLOOKUP(I1200,[1]INFO_LOCALES!$B:$I,8,FALSE),"")</f>
        <v/>
      </c>
      <c r="M1200" s="5" t="str">
        <f>IFERROR(VLOOKUP(I1200,[1]INFO_LOCALES!$B:$H,7,FALSE),"")</f>
        <v/>
      </c>
      <c r="N1200" s="5" t="str">
        <f>IFERROR(VLOOKUP(I1200,[1]INFO_LOCALES!$B:$E,4,FALSE),"")</f>
        <v/>
      </c>
      <c r="O1200" s="5" t="e">
        <f>VLOOKUP(Tabla2[[#This Row],[TIENDA]],[1]INFO_LOCALES!$B:$J,9,0)</f>
        <v>#N/A</v>
      </c>
      <c r="P1200" s="5" t="str">
        <f>IFERROR(VLOOKUP(I1200,[1]INFO_LOCALES!$B:$F,5,FALSE),"")</f>
        <v/>
      </c>
      <c r="S1200" s="6"/>
      <c r="T1200" s="5" t="str">
        <f>UPPER(IF(Tabla2[[#This Row],[FECHA DE MUESTREO ]]=0,"",TEXT(Tabla2[[#This Row],[FECHA DE MUESTREO ]],("MMMM"))))</f>
        <v/>
      </c>
      <c r="U1200" s="6"/>
      <c r="W12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0" s="7">
        <f t="shared" si="39"/>
        <v>1</v>
      </c>
    </row>
    <row r="1201" spans="10:24" x14ac:dyDescent="0.25">
      <c r="J1201" s="5" t="str">
        <f>IFERROR(VLOOKUP(I1201,[1]INFO_LOCALES!$B:$C,2,FALSE),"")</f>
        <v/>
      </c>
      <c r="K1201" s="5" t="str">
        <f>IFERROR(VLOOKUP(Tabla2[[#This Row],[TIENDA]],[1]INFO_LOCALES!$B:$D,3,FALSE),"")</f>
        <v/>
      </c>
      <c r="L1201" s="5" t="str">
        <f>IFERROR(VLOOKUP(I1201,[1]INFO_LOCALES!$B:$I,8,FALSE),"")</f>
        <v/>
      </c>
      <c r="M1201" s="5" t="str">
        <f>IFERROR(VLOOKUP(I1201,[1]INFO_LOCALES!$B:$H,7,FALSE),"")</f>
        <v/>
      </c>
      <c r="N1201" s="5" t="str">
        <f>IFERROR(VLOOKUP(I1201,[1]INFO_LOCALES!$B:$E,4,FALSE),"")</f>
        <v/>
      </c>
      <c r="O1201" s="5" t="e">
        <f>VLOOKUP(Tabla2[[#This Row],[TIENDA]],[1]INFO_LOCALES!$B:$J,9,0)</f>
        <v>#N/A</v>
      </c>
      <c r="P1201" s="5" t="str">
        <f>IFERROR(VLOOKUP(I1201,[1]INFO_LOCALES!$B:$F,5,FALSE),"")</f>
        <v/>
      </c>
      <c r="S1201" s="6"/>
      <c r="T1201" s="5" t="str">
        <f>UPPER(IF(Tabla2[[#This Row],[FECHA DE MUESTREO ]]=0,"",TEXT(Tabla2[[#This Row],[FECHA DE MUESTREO ]],("MMMM"))))</f>
        <v/>
      </c>
      <c r="U1201" s="6"/>
      <c r="W12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1" s="7">
        <f t="shared" si="39"/>
        <v>1</v>
      </c>
    </row>
    <row r="1202" spans="10:24" x14ac:dyDescent="0.25">
      <c r="J1202" s="5" t="str">
        <f>IFERROR(VLOOKUP(I1202,[1]INFO_LOCALES!$B:$C,2,FALSE),"")</f>
        <v/>
      </c>
      <c r="K1202" s="5" t="str">
        <f>IFERROR(VLOOKUP(Tabla2[[#This Row],[TIENDA]],[1]INFO_LOCALES!$B:$D,3,FALSE),"")</f>
        <v/>
      </c>
      <c r="L1202" s="5" t="str">
        <f>IFERROR(VLOOKUP(I1202,[1]INFO_LOCALES!$B:$I,8,FALSE),"")</f>
        <v/>
      </c>
      <c r="M1202" s="5" t="str">
        <f>IFERROR(VLOOKUP(I1202,[1]INFO_LOCALES!$B:$H,7,FALSE),"")</f>
        <v/>
      </c>
      <c r="N1202" s="5" t="str">
        <f>IFERROR(VLOOKUP(I1202,[1]INFO_LOCALES!$B:$E,4,FALSE),"")</f>
        <v/>
      </c>
      <c r="O1202" s="5" t="e">
        <f>VLOOKUP(Tabla2[[#This Row],[TIENDA]],[1]INFO_LOCALES!$B:$J,9,0)</f>
        <v>#N/A</v>
      </c>
      <c r="P1202" s="5" t="str">
        <f>IFERROR(VLOOKUP(I1202,[1]INFO_LOCALES!$B:$F,5,FALSE),"")</f>
        <v/>
      </c>
      <c r="S1202" s="6"/>
      <c r="T1202" s="5" t="str">
        <f>UPPER(IF(Tabla2[[#This Row],[FECHA DE MUESTREO ]]=0,"",TEXT(Tabla2[[#This Row],[FECHA DE MUESTREO ]],("MMMM"))))</f>
        <v/>
      </c>
      <c r="U1202" s="6"/>
      <c r="W12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2" s="7">
        <f t="shared" si="39"/>
        <v>1</v>
      </c>
    </row>
    <row r="1203" spans="10:24" x14ac:dyDescent="0.25">
      <c r="J1203" s="5" t="str">
        <f>IFERROR(VLOOKUP(I1203,[1]INFO_LOCALES!$B:$C,2,FALSE),"")</f>
        <v/>
      </c>
      <c r="K1203" s="5" t="str">
        <f>IFERROR(VLOOKUP(Tabla2[[#This Row],[TIENDA]],[1]INFO_LOCALES!$B:$D,3,FALSE),"")</f>
        <v/>
      </c>
      <c r="L1203" s="5" t="str">
        <f>IFERROR(VLOOKUP(I1203,[1]INFO_LOCALES!$B:$I,8,FALSE),"")</f>
        <v/>
      </c>
      <c r="M1203" s="5" t="str">
        <f>IFERROR(VLOOKUP(I1203,[1]INFO_LOCALES!$B:$H,7,FALSE),"")</f>
        <v/>
      </c>
      <c r="N1203" s="5" t="str">
        <f>IFERROR(VLOOKUP(I1203,[1]INFO_LOCALES!$B:$E,4,FALSE),"")</f>
        <v/>
      </c>
      <c r="O1203" s="5" t="e">
        <f>VLOOKUP(Tabla2[[#This Row],[TIENDA]],[1]INFO_LOCALES!$B:$J,9,0)</f>
        <v>#N/A</v>
      </c>
      <c r="P1203" s="5" t="str">
        <f>IFERROR(VLOOKUP(I1203,[1]INFO_LOCALES!$B:$F,5,FALSE),"")</f>
        <v/>
      </c>
      <c r="S1203" s="6"/>
      <c r="T1203" s="5" t="str">
        <f>UPPER(IF(Tabla2[[#This Row],[FECHA DE MUESTREO ]]=0,"",TEXT(Tabla2[[#This Row],[FECHA DE MUESTREO ]],("MMMM"))))</f>
        <v/>
      </c>
      <c r="U1203" s="6"/>
      <c r="W12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3" s="7">
        <f t="shared" si="39"/>
        <v>1</v>
      </c>
    </row>
    <row r="1204" spans="10:24" x14ac:dyDescent="0.25">
      <c r="J1204" s="5" t="str">
        <f>IFERROR(VLOOKUP(I1204,[1]INFO_LOCALES!$B:$C,2,FALSE),"")</f>
        <v/>
      </c>
      <c r="K1204" s="5" t="str">
        <f>IFERROR(VLOOKUP(Tabla2[[#This Row],[TIENDA]],[1]INFO_LOCALES!$B:$D,3,FALSE),"")</f>
        <v/>
      </c>
      <c r="L1204" s="5" t="str">
        <f>IFERROR(VLOOKUP(I1204,[1]INFO_LOCALES!$B:$I,8,FALSE),"")</f>
        <v/>
      </c>
      <c r="M1204" s="5" t="str">
        <f>IFERROR(VLOOKUP(I1204,[1]INFO_LOCALES!$B:$H,7,FALSE),"")</f>
        <v/>
      </c>
      <c r="N1204" s="5" t="str">
        <f>IFERROR(VLOOKUP(I1204,[1]INFO_LOCALES!$B:$E,4,FALSE),"")</f>
        <v/>
      </c>
      <c r="O1204" s="5" t="e">
        <f>VLOOKUP(Tabla2[[#This Row],[TIENDA]],[1]INFO_LOCALES!$B:$J,9,0)</f>
        <v>#N/A</v>
      </c>
      <c r="P1204" s="5" t="str">
        <f>IFERROR(VLOOKUP(I1204,[1]INFO_LOCALES!$B:$F,5,FALSE),"")</f>
        <v/>
      </c>
      <c r="S1204" s="6"/>
      <c r="T1204" s="5" t="str">
        <f>UPPER(IF(Tabla2[[#This Row],[FECHA DE MUESTREO ]]=0,"",TEXT(Tabla2[[#This Row],[FECHA DE MUESTREO ]],("MMMM"))))</f>
        <v/>
      </c>
      <c r="U1204" s="6"/>
      <c r="W12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4" s="7">
        <f t="shared" si="39"/>
        <v>1</v>
      </c>
    </row>
    <row r="1205" spans="10:24" x14ac:dyDescent="0.25">
      <c r="J1205" s="5" t="str">
        <f>IFERROR(VLOOKUP(I1205,[1]INFO_LOCALES!$B:$C,2,FALSE),"")</f>
        <v/>
      </c>
      <c r="K1205" s="5" t="str">
        <f>IFERROR(VLOOKUP(Tabla2[[#This Row],[TIENDA]],[1]INFO_LOCALES!$B:$D,3,FALSE),"")</f>
        <v/>
      </c>
      <c r="L1205" s="5" t="str">
        <f>IFERROR(VLOOKUP(I1205,[1]INFO_LOCALES!$B:$I,8,FALSE),"")</f>
        <v/>
      </c>
      <c r="M1205" s="5" t="str">
        <f>IFERROR(VLOOKUP(I1205,[1]INFO_LOCALES!$B:$H,7,FALSE),"")</f>
        <v/>
      </c>
      <c r="N1205" s="5" t="str">
        <f>IFERROR(VLOOKUP(I1205,[1]INFO_LOCALES!$B:$E,4,FALSE),"")</f>
        <v/>
      </c>
      <c r="O1205" s="5" t="e">
        <f>VLOOKUP(Tabla2[[#This Row],[TIENDA]],[1]INFO_LOCALES!$B:$J,9,0)</f>
        <v>#N/A</v>
      </c>
      <c r="P1205" s="5" t="str">
        <f>IFERROR(VLOOKUP(I1205,[1]INFO_LOCALES!$B:$F,5,FALSE),"")</f>
        <v/>
      </c>
      <c r="S1205" s="6"/>
      <c r="T1205" s="5" t="str">
        <f>UPPER(IF(Tabla2[[#This Row],[FECHA DE MUESTREO ]]=0,"",TEXT(Tabla2[[#This Row],[FECHA DE MUESTREO ]],("MMMM"))))</f>
        <v/>
      </c>
      <c r="U1205" s="6"/>
      <c r="W12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5" s="7">
        <f t="shared" si="39"/>
        <v>1</v>
      </c>
    </row>
    <row r="1206" spans="10:24" x14ac:dyDescent="0.25">
      <c r="J1206" s="5" t="str">
        <f>IFERROR(VLOOKUP(I1206,[1]INFO_LOCALES!$B:$C,2,FALSE),"")</f>
        <v/>
      </c>
      <c r="K1206" s="5" t="str">
        <f>IFERROR(VLOOKUP(Tabla2[[#This Row],[TIENDA]],[1]INFO_LOCALES!$B:$D,3,FALSE),"")</f>
        <v/>
      </c>
      <c r="L1206" s="5" t="str">
        <f>IFERROR(VLOOKUP(I1206,[1]INFO_LOCALES!$B:$I,8,FALSE),"")</f>
        <v/>
      </c>
      <c r="M1206" s="5" t="str">
        <f>IFERROR(VLOOKUP(I1206,[1]INFO_LOCALES!$B:$H,7,FALSE),"")</f>
        <v/>
      </c>
      <c r="N1206" s="5" t="str">
        <f>IFERROR(VLOOKUP(I1206,[1]INFO_LOCALES!$B:$E,4,FALSE),"")</f>
        <v/>
      </c>
      <c r="O1206" s="5" t="e">
        <f>VLOOKUP(Tabla2[[#This Row],[TIENDA]],[1]INFO_LOCALES!$B:$J,9,0)</f>
        <v>#N/A</v>
      </c>
      <c r="P1206" s="5" t="str">
        <f>IFERROR(VLOOKUP(I1206,[1]INFO_LOCALES!$B:$F,5,FALSE),"")</f>
        <v/>
      </c>
      <c r="S1206" s="6"/>
      <c r="T1206" s="5" t="str">
        <f>UPPER(IF(Tabla2[[#This Row],[FECHA DE MUESTREO ]]=0,"",TEXT(Tabla2[[#This Row],[FECHA DE MUESTREO ]],("MMMM"))))</f>
        <v/>
      </c>
      <c r="U1206" s="6"/>
      <c r="W12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6" s="7">
        <f t="shared" si="39"/>
        <v>1</v>
      </c>
    </row>
    <row r="1207" spans="10:24" x14ac:dyDescent="0.25">
      <c r="J1207" s="5" t="str">
        <f>IFERROR(VLOOKUP(I1207,[1]INFO_LOCALES!$B:$C,2,FALSE),"")</f>
        <v/>
      </c>
      <c r="K1207" s="5" t="str">
        <f>IFERROR(VLOOKUP(Tabla2[[#This Row],[TIENDA]],[1]INFO_LOCALES!$B:$D,3,FALSE),"")</f>
        <v/>
      </c>
      <c r="L1207" s="5" t="str">
        <f>IFERROR(VLOOKUP(I1207,[1]INFO_LOCALES!$B:$I,8,FALSE),"")</f>
        <v/>
      </c>
      <c r="M1207" s="5" t="str">
        <f>IFERROR(VLOOKUP(I1207,[1]INFO_LOCALES!$B:$H,7,FALSE),"")</f>
        <v/>
      </c>
      <c r="N1207" s="5" t="str">
        <f>IFERROR(VLOOKUP(I1207,[1]INFO_LOCALES!$B:$E,4,FALSE),"")</f>
        <v/>
      </c>
      <c r="O1207" s="5" t="e">
        <f>VLOOKUP(Tabla2[[#This Row],[TIENDA]],[1]INFO_LOCALES!$B:$J,9,0)</f>
        <v>#N/A</v>
      </c>
      <c r="P1207" s="5" t="str">
        <f>IFERROR(VLOOKUP(I1207,[1]INFO_LOCALES!$B:$F,5,FALSE),"")</f>
        <v/>
      </c>
      <c r="S1207" s="6"/>
      <c r="T1207" s="5" t="str">
        <f>UPPER(IF(Tabla2[[#This Row],[FECHA DE MUESTREO ]]=0,"",TEXT(Tabla2[[#This Row],[FECHA DE MUESTREO ]],("MMMM"))))</f>
        <v/>
      </c>
      <c r="U1207" s="6"/>
      <c r="W12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7" s="7">
        <f t="shared" si="39"/>
        <v>1</v>
      </c>
    </row>
    <row r="1208" spans="10:24" x14ac:dyDescent="0.25">
      <c r="J1208" s="5" t="str">
        <f>IFERROR(VLOOKUP(I1208,[1]INFO_LOCALES!$B:$C,2,FALSE),"")</f>
        <v/>
      </c>
      <c r="K1208" s="5" t="str">
        <f>IFERROR(VLOOKUP(Tabla2[[#This Row],[TIENDA]],[1]INFO_LOCALES!$B:$D,3,FALSE),"")</f>
        <v/>
      </c>
      <c r="L1208" s="5" t="str">
        <f>IFERROR(VLOOKUP(I1208,[1]INFO_LOCALES!$B:$I,8,FALSE),"")</f>
        <v/>
      </c>
      <c r="M1208" s="5" t="str">
        <f>IFERROR(VLOOKUP(I1208,[1]INFO_LOCALES!$B:$H,7,FALSE),"")</f>
        <v/>
      </c>
      <c r="N1208" s="5" t="str">
        <f>IFERROR(VLOOKUP(I1208,[1]INFO_LOCALES!$B:$E,4,FALSE),"")</f>
        <v/>
      </c>
      <c r="O1208" s="5" t="e">
        <f>VLOOKUP(Tabla2[[#This Row],[TIENDA]],[1]INFO_LOCALES!$B:$J,9,0)</f>
        <v>#N/A</v>
      </c>
      <c r="P1208" s="5" t="str">
        <f>IFERROR(VLOOKUP(I1208,[1]INFO_LOCALES!$B:$F,5,FALSE),"")</f>
        <v/>
      </c>
      <c r="S1208" s="6"/>
      <c r="T1208" s="5" t="str">
        <f>UPPER(IF(Tabla2[[#This Row],[FECHA DE MUESTREO ]]=0,"",TEXT(Tabla2[[#This Row],[FECHA DE MUESTREO ]],("MMMM"))))</f>
        <v/>
      </c>
      <c r="U1208" s="6"/>
      <c r="W12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8" s="7">
        <f t="shared" si="39"/>
        <v>1</v>
      </c>
    </row>
    <row r="1209" spans="10:24" x14ac:dyDescent="0.25">
      <c r="J1209" s="5" t="str">
        <f>IFERROR(VLOOKUP(I1209,[1]INFO_LOCALES!$B:$C,2,FALSE),"")</f>
        <v/>
      </c>
      <c r="K1209" s="5" t="str">
        <f>IFERROR(VLOOKUP(Tabla2[[#This Row],[TIENDA]],[1]INFO_LOCALES!$B:$D,3,FALSE),"")</f>
        <v/>
      </c>
      <c r="L1209" s="5" t="str">
        <f>IFERROR(VLOOKUP(I1209,[1]INFO_LOCALES!$B:$I,8,FALSE),"")</f>
        <v/>
      </c>
      <c r="M1209" s="5" t="str">
        <f>IFERROR(VLOOKUP(I1209,[1]INFO_LOCALES!$B:$H,7,FALSE),"")</f>
        <v/>
      </c>
      <c r="N1209" s="5" t="str">
        <f>IFERROR(VLOOKUP(I1209,[1]INFO_LOCALES!$B:$E,4,FALSE),"")</f>
        <v/>
      </c>
      <c r="O1209" s="5" t="e">
        <f>VLOOKUP(Tabla2[[#This Row],[TIENDA]],[1]INFO_LOCALES!$B:$J,9,0)</f>
        <v>#N/A</v>
      </c>
      <c r="P1209" s="5" t="str">
        <f>IFERROR(VLOOKUP(I1209,[1]INFO_LOCALES!$B:$F,5,FALSE),"")</f>
        <v/>
      </c>
      <c r="S1209" s="6"/>
      <c r="T1209" s="5" t="str">
        <f>UPPER(IF(Tabla2[[#This Row],[FECHA DE MUESTREO ]]=0,"",TEXT(Tabla2[[#This Row],[FECHA DE MUESTREO ]],("MMMM"))))</f>
        <v/>
      </c>
      <c r="U1209" s="6"/>
      <c r="W12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09" s="7">
        <f t="shared" si="39"/>
        <v>1</v>
      </c>
    </row>
    <row r="1210" spans="10:24" x14ac:dyDescent="0.25">
      <c r="J1210" s="5" t="str">
        <f>IFERROR(VLOOKUP(I1210,[1]INFO_LOCALES!$B:$C,2,FALSE),"")</f>
        <v/>
      </c>
      <c r="K1210" s="5" t="str">
        <f>IFERROR(VLOOKUP(Tabla2[[#This Row],[TIENDA]],[1]INFO_LOCALES!$B:$D,3,FALSE),"")</f>
        <v/>
      </c>
      <c r="L1210" s="5" t="str">
        <f>IFERROR(VLOOKUP(I1210,[1]INFO_LOCALES!$B:$I,8,FALSE),"")</f>
        <v/>
      </c>
      <c r="M1210" s="5" t="str">
        <f>IFERROR(VLOOKUP(I1210,[1]INFO_LOCALES!$B:$H,7,FALSE),"")</f>
        <v/>
      </c>
      <c r="N1210" s="5" t="str">
        <f>IFERROR(VLOOKUP(I1210,[1]INFO_LOCALES!$B:$E,4,FALSE),"")</f>
        <v/>
      </c>
      <c r="O1210" s="5" t="e">
        <f>VLOOKUP(Tabla2[[#This Row],[TIENDA]],[1]INFO_LOCALES!$B:$J,9,0)</f>
        <v>#N/A</v>
      </c>
      <c r="P1210" s="5" t="str">
        <f>IFERROR(VLOOKUP(I1210,[1]INFO_LOCALES!$B:$F,5,FALSE),"")</f>
        <v/>
      </c>
      <c r="S1210" s="6"/>
      <c r="T1210" s="5" t="str">
        <f>UPPER(IF(Tabla2[[#This Row],[FECHA DE MUESTREO ]]=0,"",TEXT(Tabla2[[#This Row],[FECHA DE MUESTREO ]],("MMMM"))))</f>
        <v/>
      </c>
      <c r="U1210" s="6"/>
      <c r="W12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0" s="7">
        <f t="shared" si="39"/>
        <v>1</v>
      </c>
    </row>
    <row r="1211" spans="10:24" x14ac:dyDescent="0.25">
      <c r="J1211" s="5" t="str">
        <f>IFERROR(VLOOKUP(I1211,[1]INFO_LOCALES!$B:$C,2,FALSE),"")</f>
        <v/>
      </c>
      <c r="K1211" s="5" t="str">
        <f>IFERROR(VLOOKUP(Tabla2[[#This Row],[TIENDA]],[1]INFO_LOCALES!$B:$D,3,FALSE),"")</f>
        <v/>
      </c>
      <c r="L1211" s="5" t="str">
        <f>IFERROR(VLOOKUP(I1211,[1]INFO_LOCALES!$B:$I,8,FALSE),"")</f>
        <v/>
      </c>
      <c r="M1211" s="5" t="str">
        <f>IFERROR(VLOOKUP(I1211,[1]INFO_LOCALES!$B:$H,7,FALSE),"")</f>
        <v/>
      </c>
      <c r="N1211" s="5" t="str">
        <f>IFERROR(VLOOKUP(I1211,[1]INFO_LOCALES!$B:$E,4,FALSE),"")</f>
        <v/>
      </c>
      <c r="O1211" s="5" t="e">
        <f>VLOOKUP(Tabla2[[#This Row],[TIENDA]],[1]INFO_LOCALES!$B:$J,9,0)</f>
        <v>#N/A</v>
      </c>
      <c r="P1211" s="5" t="str">
        <f>IFERROR(VLOOKUP(I1211,[1]INFO_LOCALES!$B:$F,5,FALSE),"")</f>
        <v/>
      </c>
      <c r="S1211" s="6"/>
      <c r="T1211" s="5" t="str">
        <f>UPPER(IF(Tabla2[[#This Row],[FECHA DE MUESTREO ]]=0,"",TEXT(Tabla2[[#This Row],[FECHA DE MUESTREO ]],("MMMM"))))</f>
        <v/>
      </c>
      <c r="U1211" s="6"/>
      <c r="W12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1" s="7">
        <f t="shared" si="39"/>
        <v>1</v>
      </c>
    </row>
    <row r="1212" spans="10:24" x14ac:dyDescent="0.25">
      <c r="J1212" s="5" t="str">
        <f>IFERROR(VLOOKUP(I1212,[1]INFO_LOCALES!$B:$C,2,FALSE),"")</f>
        <v/>
      </c>
      <c r="K1212" s="5" t="str">
        <f>IFERROR(VLOOKUP(Tabla2[[#This Row],[TIENDA]],[1]INFO_LOCALES!$B:$D,3,FALSE),"")</f>
        <v/>
      </c>
      <c r="L1212" s="5" t="str">
        <f>IFERROR(VLOOKUP(I1212,[1]INFO_LOCALES!$B:$I,8,FALSE),"")</f>
        <v/>
      </c>
      <c r="M1212" s="5" t="str">
        <f>IFERROR(VLOOKUP(I1212,[1]INFO_LOCALES!$B:$H,7,FALSE),"")</f>
        <v/>
      </c>
      <c r="N1212" s="5" t="str">
        <f>IFERROR(VLOOKUP(I1212,[1]INFO_LOCALES!$B:$E,4,FALSE),"")</f>
        <v/>
      </c>
      <c r="O1212" s="5" t="e">
        <f>VLOOKUP(Tabla2[[#This Row],[TIENDA]],[1]INFO_LOCALES!$B:$J,9,0)</f>
        <v>#N/A</v>
      </c>
      <c r="P1212" s="5" t="str">
        <f>IFERROR(VLOOKUP(I1212,[1]INFO_LOCALES!$B:$F,5,FALSE),"")</f>
        <v/>
      </c>
      <c r="S1212" s="6"/>
      <c r="T1212" s="5" t="str">
        <f>UPPER(IF(Tabla2[[#This Row],[FECHA DE MUESTREO ]]=0,"",TEXT(Tabla2[[#This Row],[FECHA DE MUESTREO ]],("MMMM"))))</f>
        <v/>
      </c>
      <c r="U1212" s="6"/>
      <c r="W12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2" s="7">
        <f t="shared" si="39"/>
        <v>1</v>
      </c>
    </row>
    <row r="1213" spans="10:24" x14ac:dyDescent="0.25">
      <c r="J1213" s="5" t="str">
        <f>IFERROR(VLOOKUP(I1213,[1]INFO_LOCALES!$B:$C,2,FALSE),"")</f>
        <v/>
      </c>
      <c r="K1213" s="5" t="str">
        <f>IFERROR(VLOOKUP(Tabla2[[#This Row],[TIENDA]],[1]INFO_LOCALES!$B:$D,3,FALSE),"")</f>
        <v/>
      </c>
      <c r="L1213" s="5" t="str">
        <f>IFERROR(VLOOKUP(I1213,[1]INFO_LOCALES!$B:$I,8,FALSE),"")</f>
        <v/>
      </c>
      <c r="M1213" s="5" t="str">
        <f>IFERROR(VLOOKUP(I1213,[1]INFO_LOCALES!$B:$H,7,FALSE),"")</f>
        <v/>
      </c>
      <c r="N1213" s="5" t="str">
        <f>IFERROR(VLOOKUP(I1213,[1]INFO_LOCALES!$B:$E,4,FALSE),"")</f>
        <v/>
      </c>
      <c r="O1213" s="5" t="e">
        <f>VLOOKUP(Tabla2[[#This Row],[TIENDA]],[1]INFO_LOCALES!$B:$J,9,0)</f>
        <v>#N/A</v>
      </c>
      <c r="P1213" s="5" t="str">
        <f>IFERROR(VLOOKUP(I1213,[1]INFO_LOCALES!$B:$F,5,FALSE),"")</f>
        <v/>
      </c>
      <c r="S1213" s="6"/>
      <c r="T1213" s="5" t="str">
        <f>UPPER(IF(Tabla2[[#This Row],[FECHA DE MUESTREO ]]=0,"",TEXT(Tabla2[[#This Row],[FECHA DE MUESTREO ]],("MMMM"))))</f>
        <v/>
      </c>
      <c r="U1213" s="6"/>
      <c r="W12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3" s="7">
        <f t="shared" si="39"/>
        <v>1</v>
      </c>
    </row>
    <row r="1214" spans="10:24" x14ac:dyDescent="0.25">
      <c r="J1214" s="5" t="str">
        <f>IFERROR(VLOOKUP(I1214,[1]INFO_LOCALES!$B:$C,2,FALSE),"")</f>
        <v/>
      </c>
      <c r="K1214" s="5" t="str">
        <f>IFERROR(VLOOKUP(Tabla2[[#This Row],[TIENDA]],[1]INFO_LOCALES!$B:$D,3,FALSE),"")</f>
        <v/>
      </c>
      <c r="L1214" s="5" t="str">
        <f>IFERROR(VLOOKUP(I1214,[1]INFO_LOCALES!$B:$I,8,FALSE),"")</f>
        <v/>
      </c>
      <c r="M1214" s="5" t="str">
        <f>IFERROR(VLOOKUP(I1214,[1]INFO_LOCALES!$B:$H,7,FALSE),"")</f>
        <v/>
      </c>
      <c r="N1214" s="5" t="str">
        <f>IFERROR(VLOOKUP(I1214,[1]INFO_LOCALES!$B:$E,4,FALSE),"")</f>
        <v/>
      </c>
      <c r="O1214" s="5" t="e">
        <f>VLOOKUP(Tabla2[[#This Row],[TIENDA]],[1]INFO_LOCALES!$B:$J,9,0)</f>
        <v>#N/A</v>
      </c>
      <c r="P1214" s="5" t="str">
        <f>IFERROR(VLOOKUP(I1214,[1]INFO_LOCALES!$B:$F,5,FALSE),"")</f>
        <v/>
      </c>
      <c r="S1214" s="6"/>
      <c r="T1214" s="5" t="str">
        <f>UPPER(IF(Tabla2[[#This Row],[FECHA DE MUESTREO ]]=0,"",TEXT(Tabla2[[#This Row],[FECHA DE MUESTREO ]],("MMMM"))))</f>
        <v/>
      </c>
      <c r="U1214" s="6"/>
      <c r="W12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4" s="7">
        <f t="shared" si="39"/>
        <v>1</v>
      </c>
    </row>
    <row r="1215" spans="10:24" x14ac:dyDescent="0.25">
      <c r="J1215" s="5" t="str">
        <f>IFERROR(VLOOKUP(I1215,[1]INFO_LOCALES!$B:$C,2,FALSE),"")</f>
        <v/>
      </c>
      <c r="K1215" s="5" t="str">
        <f>IFERROR(VLOOKUP(Tabla2[[#This Row],[TIENDA]],[1]INFO_LOCALES!$B:$D,3,FALSE),"")</f>
        <v/>
      </c>
      <c r="L1215" s="5" t="str">
        <f>IFERROR(VLOOKUP(I1215,[1]INFO_LOCALES!$B:$I,8,FALSE),"")</f>
        <v/>
      </c>
      <c r="M1215" s="5" t="str">
        <f>IFERROR(VLOOKUP(I1215,[1]INFO_LOCALES!$B:$H,7,FALSE),"")</f>
        <v/>
      </c>
      <c r="N1215" s="5" t="str">
        <f>IFERROR(VLOOKUP(I1215,[1]INFO_LOCALES!$B:$E,4,FALSE),"")</f>
        <v/>
      </c>
      <c r="O1215" s="5" t="e">
        <f>VLOOKUP(Tabla2[[#This Row],[TIENDA]],[1]INFO_LOCALES!$B:$J,9,0)</f>
        <v>#N/A</v>
      </c>
      <c r="P1215" s="5" t="str">
        <f>IFERROR(VLOOKUP(I1215,[1]INFO_LOCALES!$B:$F,5,FALSE),"")</f>
        <v/>
      </c>
      <c r="S1215" s="6"/>
      <c r="T1215" s="5" t="str">
        <f>UPPER(IF(Tabla2[[#This Row],[FECHA DE MUESTREO ]]=0,"",TEXT(Tabla2[[#This Row],[FECHA DE MUESTREO ]],("MMMM"))))</f>
        <v/>
      </c>
      <c r="U1215" s="6"/>
      <c r="W12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5" s="7">
        <f t="shared" si="39"/>
        <v>1</v>
      </c>
    </row>
    <row r="1216" spans="10:24" x14ac:dyDescent="0.25">
      <c r="J1216" s="5" t="str">
        <f>IFERROR(VLOOKUP(I1216,[1]INFO_LOCALES!$B:$C,2,FALSE),"")</f>
        <v/>
      </c>
      <c r="K1216" s="5" t="str">
        <f>IFERROR(VLOOKUP(Tabla2[[#This Row],[TIENDA]],[1]INFO_LOCALES!$B:$D,3,FALSE),"")</f>
        <v/>
      </c>
      <c r="L1216" s="5" t="str">
        <f>IFERROR(VLOOKUP(I1216,[1]INFO_LOCALES!$B:$I,8,FALSE),"")</f>
        <v/>
      </c>
      <c r="M1216" s="5" t="str">
        <f>IFERROR(VLOOKUP(I1216,[1]INFO_LOCALES!$B:$H,7,FALSE),"")</f>
        <v/>
      </c>
      <c r="N1216" s="5" t="str">
        <f>IFERROR(VLOOKUP(I1216,[1]INFO_LOCALES!$B:$E,4,FALSE),"")</f>
        <v/>
      </c>
      <c r="O1216" s="5" t="e">
        <f>VLOOKUP(Tabla2[[#This Row],[TIENDA]],[1]INFO_LOCALES!$B:$J,9,0)</f>
        <v>#N/A</v>
      </c>
      <c r="P1216" s="5" t="str">
        <f>IFERROR(VLOOKUP(I1216,[1]INFO_LOCALES!$B:$F,5,FALSE),"")</f>
        <v/>
      </c>
      <c r="S1216" s="6"/>
      <c r="T1216" s="5" t="str">
        <f>UPPER(IF(Tabla2[[#This Row],[FECHA DE MUESTREO ]]=0,"",TEXT(Tabla2[[#This Row],[FECHA DE MUESTREO ]],("MMMM"))))</f>
        <v/>
      </c>
      <c r="U1216" s="6"/>
      <c r="W12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6" s="7">
        <f t="shared" si="39"/>
        <v>1</v>
      </c>
    </row>
    <row r="1217" spans="10:24" x14ac:dyDescent="0.25">
      <c r="J1217" s="5" t="str">
        <f>IFERROR(VLOOKUP(I1217,[1]INFO_LOCALES!$B:$C,2,FALSE),"")</f>
        <v/>
      </c>
      <c r="K1217" s="5" t="str">
        <f>IFERROR(VLOOKUP(Tabla2[[#This Row],[TIENDA]],[1]INFO_LOCALES!$B:$D,3,FALSE),"")</f>
        <v/>
      </c>
      <c r="L1217" s="5" t="str">
        <f>IFERROR(VLOOKUP(I1217,[1]INFO_LOCALES!$B:$I,8,FALSE),"")</f>
        <v/>
      </c>
      <c r="M1217" s="5" t="str">
        <f>IFERROR(VLOOKUP(I1217,[1]INFO_LOCALES!$B:$H,7,FALSE),"")</f>
        <v/>
      </c>
      <c r="N1217" s="5" t="str">
        <f>IFERROR(VLOOKUP(I1217,[1]INFO_LOCALES!$B:$E,4,FALSE),"")</f>
        <v/>
      </c>
      <c r="O1217" s="5" t="e">
        <f>VLOOKUP(Tabla2[[#This Row],[TIENDA]],[1]INFO_LOCALES!$B:$J,9,0)</f>
        <v>#N/A</v>
      </c>
      <c r="P1217" s="5" t="str">
        <f>IFERROR(VLOOKUP(I1217,[1]INFO_LOCALES!$B:$F,5,FALSE),"")</f>
        <v/>
      </c>
      <c r="S1217" s="6"/>
      <c r="T1217" s="5" t="str">
        <f>UPPER(IF(Tabla2[[#This Row],[FECHA DE MUESTREO ]]=0,"",TEXT(Tabla2[[#This Row],[FECHA DE MUESTREO ]],("MMMM"))))</f>
        <v/>
      </c>
      <c r="U1217" s="6"/>
      <c r="W12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7" s="7">
        <f t="shared" si="39"/>
        <v>1</v>
      </c>
    </row>
    <row r="1218" spans="10:24" x14ac:dyDescent="0.25">
      <c r="J1218" s="5" t="str">
        <f>IFERROR(VLOOKUP(I1218,[1]INFO_LOCALES!$B:$C,2,FALSE),"")</f>
        <v/>
      </c>
      <c r="K1218" s="5" t="str">
        <f>IFERROR(VLOOKUP(Tabla2[[#This Row],[TIENDA]],[1]INFO_LOCALES!$B:$D,3,FALSE),"")</f>
        <v/>
      </c>
      <c r="L1218" s="5" t="str">
        <f>IFERROR(VLOOKUP(I1218,[1]INFO_LOCALES!$B:$I,8,FALSE),"")</f>
        <v/>
      </c>
      <c r="M1218" s="5" t="str">
        <f>IFERROR(VLOOKUP(I1218,[1]INFO_LOCALES!$B:$H,7,FALSE),"")</f>
        <v/>
      </c>
      <c r="N1218" s="5" t="str">
        <f>IFERROR(VLOOKUP(I1218,[1]INFO_LOCALES!$B:$E,4,FALSE),"")</f>
        <v/>
      </c>
      <c r="O1218" s="5" t="e">
        <f>VLOOKUP(Tabla2[[#This Row],[TIENDA]],[1]INFO_LOCALES!$B:$J,9,0)</f>
        <v>#N/A</v>
      </c>
      <c r="P1218" s="5" t="str">
        <f>IFERROR(VLOOKUP(I1218,[1]INFO_LOCALES!$B:$F,5,FALSE),"")</f>
        <v/>
      </c>
      <c r="S1218" s="6"/>
      <c r="T1218" s="5" t="str">
        <f>UPPER(IF(Tabla2[[#This Row],[FECHA DE MUESTREO ]]=0,"",TEXT(Tabla2[[#This Row],[FECHA DE MUESTREO ]],("MMMM"))))</f>
        <v/>
      </c>
      <c r="U1218" s="6"/>
      <c r="W12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8" s="7">
        <f t="shared" si="39"/>
        <v>1</v>
      </c>
    </row>
    <row r="1219" spans="10:24" x14ac:dyDescent="0.25">
      <c r="J1219" s="5" t="str">
        <f>IFERROR(VLOOKUP(I1219,[1]INFO_LOCALES!$B:$C,2,FALSE),"")</f>
        <v/>
      </c>
      <c r="K1219" s="5" t="str">
        <f>IFERROR(VLOOKUP(Tabla2[[#This Row],[TIENDA]],[1]INFO_LOCALES!$B:$D,3,FALSE),"")</f>
        <v/>
      </c>
      <c r="L1219" s="5" t="str">
        <f>IFERROR(VLOOKUP(I1219,[1]INFO_LOCALES!$B:$I,8,FALSE),"")</f>
        <v/>
      </c>
      <c r="M1219" s="5" t="str">
        <f>IFERROR(VLOOKUP(I1219,[1]INFO_LOCALES!$B:$H,7,FALSE),"")</f>
        <v/>
      </c>
      <c r="N1219" s="5" t="str">
        <f>IFERROR(VLOOKUP(I1219,[1]INFO_LOCALES!$B:$E,4,FALSE),"")</f>
        <v/>
      </c>
      <c r="O1219" s="5" t="e">
        <f>VLOOKUP(Tabla2[[#This Row],[TIENDA]],[1]INFO_LOCALES!$B:$J,9,0)</f>
        <v>#N/A</v>
      </c>
      <c r="P1219" s="5" t="str">
        <f>IFERROR(VLOOKUP(I1219,[1]INFO_LOCALES!$B:$F,5,FALSE),"")</f>
        <v/>
      </c>
      <c r="S1219" s="6"/>
      <c r="T1219" s="5" t="str">
        <f>UPPER(IF(Tabla2[[#This Row],[FECHA DE MUESTREO ]]=0,"",TEXT(Tabla2[[#This Row],[FECHA DE MUESTREO ]],("MMMM"))))</f>
        <v/>
      </c>
      <c r="U1219" s="6"/>
      <c r="W12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19" s="7">
        <f t="shared" si="39"/>
        <v>1</v>
      </c>
    </row>
    <row r="1220" spans="10:24" x14ac:dyDescent="0.25">
      <c r="J1220" s="5" t="str">
        <f>IFERROR(VLOOKUP(I1220,[1]INFO_LOCALES!$B:$C,2,FALSE),"")</f>
        <v/>
      </c>
      <c r="K1220" s="5" t="str">
        <f>IFERROR(VLOOKUP(Tabla2[[#This Row],[TIENDA]],[1]INFO_LOCALES!$B:$D,3,FALSE),"")</f>
        <v/>
      </c>
      <c r="L1220" s="5" t="str">
        <f>IFERROR(VLOOKUP(I1220,[1]INFO_LOCALES!$B:$I,8,FALSE),"")</f>
        <v/>
      </c>
      <c r="M1220" s="5" t="str">
        <f>IFERROR(VLOOKUP(I1220,[1]INFO_LOCALES!$B:$H,7,FALSE),"")</f>
        <v/>
      </c>
      <c r="N1220" s="5" t="str">
        <f>IFERROR(VLOOKUP(I1220,[1]INFO_LOCALES!$B:$E,4,FALSE),"")</f>
        <v/>
      </c>
      <c r="O1220" s="5" t="e">
        <f>VLOOKUP(Tabla2[[#This Row],[TIENDA]],[1]INFO_LOCALES!$B:$J,9,0)</f>
        <v>#N/A</v>
      </c>
      <c r="P1220" s="5" t="str">
        <f>IFERROR(VLOOKUP(I1220,[1]INFO_LOCALES!$B:$F,5,FALSE),"")</f>
        <v/>
      </c>
      <c r="S1220" s="6"/>
      <c r="T1220" s="5" t="str">
        <f>UPPER(IF(Tabla2[[#This Row],[FECHA DE MUESTREO ]]=0,"",TEXT(Tabla2[[#This Row],[FECHA DE MUESTREO ]],("MMMM"))))</f>
        <v/>
      </c>
      <c r="U1220" s="6"/>
      <c r="W12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0" s="7">
        <f t="shared" si="39"/>
        <v>1</v>
      </c>
    </row>
    <row r="1221" spans="10:24" x14ac:dyDescent="0.25">
      <c r="J1221" s="5" t="str">
        <f>IFERROR(VLOOKUP(I1221,[1]INFO_LOCALES!$B:$C,2,FALSE),"")</f>
        <v/>
      </c>
      <c r="K1221" s="5" t="str">
        <f>IFERROR(VLOOKUP(Tabla2[[#This Row],[TIENDA]],[1]INFO_LOCALES!$B:$D,3,FALSE),"")</f>
        <v/>
      </c>
      <c r="L1221" s="5" t="str">
        <f>IFERROR(VLOOKUP(I1221,[1]INFO_LOCALES!$B:$I,8,FALSE),"")</f>
        <v/>
      </c>
      <c r="M1221" s="5" t="str">
        <f>IFERROR(VLOOKUP(I1221,[1]INFO_LOCALES!$B:$H,7,FALSE),"")</f>
        <v/>
      </c>
      <c r="N1221" s="5" t="str">
        <f>IFERROR(VLOOKUP(I1221,[1]INFO_LOCALES!$B:$E,4,FALSE),"")</f>
        <v/>
      </c>
      <c r="O1221" s="5" t="e">
        <f>VLOOKUP(Tabla2[[#This Row],[TIENDA]],[1]INFO_LOCALES!$B:$J,9,0)</f>
        <v>#N/A</v>
      </c>
      <c r="P1221" s="5" t="str">
        <f>IFERROR(VLOOKUP(I1221,[1]INFO_LOCALES!$B:$F,5,FALSE),"")</f>
        <v/>
      </c>
      <c r="S1221" s="6"/>
      <c r="T1221" s="5" t="str">
        <f>UPPER(IF(Tabla2[[#This Row],[FECHA DE MUESTREO ]]=0,"",TEXT(Tabla2[[#This Row],[FECHA DE MUESTREO ]],("MMMM"))))</f>
        <v/>
      </c>
      <c r="U1221" s="6"/>
      <c r="W12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1" s="7">
        <f t="shared" si="39"/>
        <v>1</v>
      </c>
    </row>
    <row r="1222" spans="10:24" x14ac:dyDescent="0.25">
      <c r="J1222" s="5" t="str">
        <f>IFERROR(VLOOKUP(I1222,[1]INFO_LOCALES!$B:$C,2,FALSE),"")</f>
        <v/>
      </c>
      <c r="K1222" s="5" t="str">
        <f>IFERROR(VLOOKUP(Tabla2[[#This Row],[TIENDA]],[1]INFO_LOCALES!$B:$D,3,FALSE),"")</f>
        <v/>
      </c>
      <c r="L1222" s="5" t="str">
        <f>IFERROR(VLOOKUP(I1222,[1]INFO_LOCALES!$B:$I,8,FALSE),"")</f>
        <v/>
      </c>
      <c r="M1222" s="5" t="str">
        <f>IFERROR(VLOOKUP(I1222,[1]INFO_LOCALES!$B:$H,7,FALSE),"")</f>
        <v/>
      </c>
      <c r="N1222" s="5" t="str">
        <f>IFERROR(VLOOKUP(I1222,[1]INFO_LOCALES!$B:$E,4,FALSE),"")</f>
        <v/>
      </c>
      <c r="O1222" s="5" t="e">
        <f>VLOOKUP(Tabla2[[#This Row],[TIENDA]],[1]INFO_LOCALES!$B:$J,9,0)</f>
        <v>#N/A</v>
      </c>
      <c r="P1222" s="5" t="str">
        <f>IFERROR(VLOOKUP(I1222,[1]INFO_LOCALES!$B:$F,5,FALSE),"")</f>
        <v/>
      </c>
      <c r="S1222" s="6"/>
      <c r="T1222" s="5" t="str">
        <f>UPPER(IF(Tabla2[[#This Row],[FECHA DE MUESTREO ]]=0,"",TEXT(Tabla2[[#This Row],[FECHA DE MUESTREO ]],("MMMM"))))</f>
        <v/>
      </c>
      <c r="U1222" s="6"/>
      <c r="W12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2" s="7">
        <f t="shared" si="39"/>
        <v>1</v>
      </c>
    </row>
    <row r="1223" spans="10:24" x14ac:dyDescent="0.25">
      <c r="J1223" s="5" t="str">
        <f>IFERROR(VLOOKUP(I1223,[1]INFO_LOCALES!$B:$C,2,FALSE),"")</f>
        <v/>
      </c>
      <c r="K1223" s="5" t="str">
        <f>IFERROR(VLOOKUP(Tabla2[[#This Row],[TIENDA]],[1]INFO_LOCALES!$B:$D,3,FALSE),"")</f>
        <v/>
      </c>
      <c r="L1223" s="5" t="str">
        <f>IFERROR(VLOOKUP(I1223,[1]INFO_LOCALES!$B:$I,8,FALSE),"")</f>
        <v/>
      </c>
      <c r="M1223" s="5" t="str">
        <f>IFERROR(VLOOKUP(I1223,[1]INFO_LOCALES!$B:$H,7,FALSE),"")</f>
        <v/>
      </c>
      <c r="N1223" s="5" t="str">
        <f>IFERROR(VLOOKUP(I1223,[1]INFO_LOCALES!$B:$E,4,FALSE),"")</f>
        <v/>
      </c>
      <c r="O1223" s="5" t="e">
        <f>VLOOKUP(Tabla2[[#This Row],[TIENDA]],[1]INFO_LOCALES!$B:$J,9,0)</f>
        <v>#N/A</v>
      </c>
      <c r="P1223" s="5" t="str">
        <f>IFERROR(VLOOKUP(I1223,[1]INFO_LOCALES!$B:$F,5,FALSE),"")</f>
        <v/>
      </c>
      <c r="S1223" s="6"/>
      <c r="T1223" s="5" t="str">
        <f>UPPER(IF(Tabla2[[#This Row],[FECHA DE MUESTREO ]]=0,"",TEXT(Tabla2[[#This Row],[FECHA DE MUESTREO ]],("MMMM"))))</f>
        <v/>
      </c>
      <c r="U1223" s="6"/>
      <c r="W12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3" s="7">
        <f t="shared" si="39"/>
        <v>1</v>
      </c>
    </row>
    <row r="1224" spans="10:24" x14ac:dyDescent="0.25">
      <c r="J1224" s="5" t="str">
        <f>IFERROR(VLOOKUP(I1224,[1]INFO_LOCALES!$B:$C,2,FALSE),"")</f>
        <v/>
      </c>
      <c r="K1224" s="5" t="str">
        <f>IFERROR(VLOOKUP(Tabla2[[#This Row],[TIENDA]],[1]INFO_LOCALES!$B:$D,3,FALSE),"")</f>
        <v/>
      </c>
      <c r="L1224" s="5" t="str">
        <f>IFERROR(VLOOKUP(I1224,[1]INFO_LOCALES!$B:$I,8,FALSE),"")</f>
        <v/>
      </c>
      <c r="M1224" s="5" t="str">
        <f>IFERROR(VLOOKUP(I1224,[1]INFO_LOCALES!$B:$H,7,FALSE),"")</f>
        <v/>
      </c>
      <c r="N1224" s="5" t="str">
        <f>IFERROR(VLOOKUP(I1224,[1]INFO_LOCALES!$B:$E,4,FALSE),"")</f>
        <v/>
      </c>
      <c r="O1224" s="5" t="e">
        <f>VLOOKUP(Tabla2[[#This Row],[TIENDA]],[1]INFO_LOCALES!$B:$J,9,0)</f>
        <v>#N/A</v>
      </c>
      <c r="P1224" s="5" t="str">
        <f>IFERROR(VLOOKUP(I1224,[1]INFO_LOCALES!$B:$F,5,FALSE),"")</f>
        <v/>
      </c>
      <c r="S1224" s="6"/>
      <c r="T1224" s="5" t="str">
        <f>UPPER(IF(Tabla2[[#This Row],[FECHA DE MUESTREO ]]=0,"",TEXT(Tabla2[[#This Row],[FECHA DE MUESTREO ]],("MMMM"))))</f>
        <v/>
      </c>
      <c r="U1224" s="6"/>
      <c r="W12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4" s="7">
        <f t="shared" si="39"/>
        <v>1</v>
      </c>
    </row>
    <row r="1225" spans="10:24" x14ac:dyDescent="0.25">
      <c r="J1225" s="5" t="str">
        <f>IFERROR(VLOOKUP(I1225,[1]INFO_LOCALES!$B:$C,2,FALSE),"")</f>
        <v/>
      </c>
      <c r="K1225" s="5" t="str">
        <f>IFERROR(VLOOKUP(Tabla2[[#This Row],[TIENDA]],[1]INFO_LOCALES!$B:$D,3,FALSE),"")</f>
        <v/>
      </c>
      <c r="L1225" s="5" t="str">
        <f>IFERROR(VLOOKUP(I1225,[1]INFO_LOCALES!$B:$I,8,FALSE),"")</f>
        <v/>
      </c>
      <c r="M1225" s="5" t="str">
        <f>IFERROR(VLOOKUP(I1225,[1]INFO_LOCALES!$B:$H,7,FALSE),"")</f>
        <v/>
      </c>
      <c r="N1225" s="5" t="str">
        <f>IFERROR(VLOOKUP(I1225,[1]INFO_LOCALES!$B:$E,4,FALSE),"")</f>
        <v/>
      </c>
      <c r="O1225" s="5" t="e">
        <f>VLOOKUP(Tabla2[[#This Row],[TIENDA]],[1]INFO_LOCALES!$B:$J,9,0)</f>
        <v>#N/A</v>
      </c>
      <c r="P1225" s="5" t="str">
        <f>IFERROR(VLOOKUP(I1225,[1]INFO_LOCALES!$B:$F,5,FALSE),"")</f>
        <v/>
      </c>
      <c r="S1225" s="6"/>
      <c r="T1225" s="5" t="str">
        <f>UPPER(IF(Tabla2[[#This Row],[FECHA DE MUESTREO ]]=0,"",TEXT(Tabla2[[#This Row],[FECHA DE MUESTREO ]],("MMMM"))))</f>
        <v/>
      </c>
      <c r="U1225" s="6"/>
      <c r="W12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5" s="7">
        <f t="shared" si="39"/>
        <v>1</v>
      </c>
    </row>
    <row r="1226" spans="10:24" x14ac:dyDescent="0.25">
      <c r="J1226" s="5" t="str">
        <f>IFERROR(VLOOKUP(I1226,[1]INFO_LOCALES!$B:$C,2,FALSE),"")</f>
        <v/>
      </c>
      <c r="K1226" s="5" t="str">
        <f>IFERROR(VLOOKUP(Tabla2[[#This Row],[TIENDA]],[1]INFO_LOCALES!$B:$D,3,FALSE),"")</f>
        <v/>
      </c>
      <c r="L1226" s="5" t="str">
        <f>IFERROR(VLOOKUP(I1226,[1]INFO_LOCALES!$B:$I,8,FALSE),"")</f>
        <v/>
      </c>
      <c r="M1226" s="5" t="str">
        <f>IFERROR(VLOOKUP(I1226,[1]INFO_LOCALES!$B:$H,7,FALSE),"")</f>
        <v/>
      </c>
      <c r="N1226" s="5" t="str">
        <f>IFERROR(VLOOKUP(I1226,[1]INFO_LOCALES!$B:$E,4,FALSE),"")</f>
        <v/>
      </c>
      <c r="O1226" s="5" t="e">
        <f>VLOOKUP(Tabla2[[#This Row],[TIENDA]],[1]INFO_LOCALES!$B:$J,9,0)</f>
        <v>#N/A</v>
      </c>
      <c r="P1226" s="5" t="str">
        <f>IFERROR(VLOOKUP(I1226,[1]INFO_LOCALES!$B:$F,5,FALSE),"")</f>
        <v/>
      </c>
      <c r="S1226" s="6"/>
      <c r="T1226" s="5" t="str">
        <f>UPPER(IF(Tabla2[[#This Row],[FECHA DE MUESTREO ]]=0,"",TEXT(Tabla2[[#This Row],[FECHA DE MUESTREO ]],("MMMM"))))</f>
        <v/>
      </c>
      <c r="U1226" s="6"/>
      <c r="W12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6" s="7">
        <f t="shared" si="39"/>
        <v>1</v>
      </c>
    </row>
    <row r="1227" spans="10:24" x14ac:dyDescent="0.25">
      <c r="J1227" s="5" t="str">
        <f>IFERROR(VLOOKUP(I1227,[1]INFO_LOCALES!$B:$C,2,FALSE),"")</f>
        <v/>
      </c>
      <c r="K1227" s="5" t="str">
        <f>IFERROR(VLOOKUP(Tabla2[[#This Row],[TIENDA]],[1]INFO_LOCALES!$B:$D,3,FALSE),"")</f>
        <v/>
      </c>
      <c r="L1227" s="5" t="str">
        <f>IFERROR(VLOOKUP(I1227,[1]INFO_LOCALES!$B:$I,8,FALSE),"")</f>
        <v/>
      </c>
      <c r="M1227" s="5" t="str">
        <f>IFERROR(VLOOKUP(I1227,[1]INFO_LOCALES!$B:$H,7,FALSE),"")</f>
        <v/>
      </c>
      <c r="N1227" s="5" t="str">
        <f>IFERROR(VLOOKUP(I1227,[1]INFO_LOCALES!$B:$E,4,FALSE),"")</f>
        <v/>
      </c>
      <c r="O1227" s="5" t="e">
        <f>VLOOKUP(Tabla2[[#This Row],[TIENDA]],[1]INFO_LOCALES!$B:$J,9,0)</f>
        <v>#N/A</v>
      </c>
      <c r="P1227" s="5" t="str">
        <f>IFERROR(VLOOKUP(I1227,[1]INFO_LOCALES!$B:$F,5,FALSE),"")</f>
        <v/>
      </c>
      <c r="S1227" s="6"/>
      <c r="T1227" s="5" t="str">
        <f>UPPER(IF(Tabla2[[#This Row],[FECHA DE MUESTREO ]]=0,"",TEXT(Tabla2[[#This Row],[FECHA DE MUESTREO ]],("MMMM"))))</f>
        <v/>
      </c>
      <c r="U1227" s="6"/>
      <c r="W12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7" s="7">
        <f t="shared" si="39"/>
        <v>1</v>
      </c>
    </row>
    <row r="1228" spans="10:24" x14ac:dyDescent="0.25">
      <c r="J1228" s="5" t="str">
        <f>IFERROR(VLOOKUP(I1228,[1]INFO_LOCALES!$B:$C,2,FALSE),"")</f>
        <v/>
      </c>
      <c r="K1228" s="5" t="str">
        <f>IFERROR(VLOOKUP(Tabla2[[#This Row],[TIENDA]],[1]INFO_LOCALES!$B:$D,3,FALSE),"")</f>
        <v/>
      </c>
      <c r="L1228" s="5" t="str">
        <f>IFERROR(VLOOKUP(I1228,[1]INFO_LOCALES!$B:$I,8,FALSE),"")</f>
        <v/>
      </c>
      <c r="M1228" s="5" t="str">
        <f>IFERROR(VLOOKUP(I1228,[1]INFO_LOCALES!$B:$H,7,FALSE),"")</f>
        <v/>
      </c>
      <c r="N1228" s="5" t="str">
        <f>IFERROR(VLOOKUP(I1228,[1]INFO_LOCALES!$B:$E,4,FALSE),"")</f>
        <v/>
      </c>
      <c r="O1228" s="5" t="e">
        <f>VLOOKUP(Tabla2[[#This Row],[TIENDA]],[1]INFO_LOCALES!$B:$J,9,0)</f>
        <v>#N/A</v>
      </c>
      <c r="P1228" s="5" t="str">
        <f>IFERROR(VLOOKUP(I1228,[1]INFO_LOCALES!$B:$F,5,FALSE),"")</f>
        <v/>
      </c>
      <c r="S1228" s="6"/>
      <c r="T1228" s="5" t="str">
        <f>UPPER(IF(Tabla2[[#This Row],[FECHA DE MUESTREO ]]=0,"",TEXT(Tabla2[[#This Row],[FECHA DE MUESTREO ]],("MMMM"))))</f>
        <v/>
      </c>
      <c r="U1228" s="6"/>
      <c r="W12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8" s="7">
        <f t="shared" si="39"/>
        <v>1</v>
      </c>
    </row>
    <row r="1229" spans="10:24" x14ac:dyDescent="0.25">
      <c r="J1229" s="5" t="str">
        <f>IFERROR(VLOOKUP(I1229,[1]INFO_LOCALES!$B:$C,2,FALSE),"")</f>
        <v/>
      </c>
      <c r="K1229" s="5" t="str">
        <f>IFERROR(VLOOKUP(Tabla2[[#This Row],[TIENDA]],[1]INFO_LOCALES!$B:$D,3,FALSE),"")</f>
        <v/>
      </c>
      <c r="L1229" s="5" t="str">
        <f>IFERROR(VLOOKUP(I1229,[1]INFO_LOCALES!$B:$I,8,FALSE),"")</f>
        <v/>
      </c>
      <c r="M1229" s="5" t="str">
        <f>IFERROR(VLOOKUP(I1229,[1]INFO_LOCALES!$B:$H,7,FALSE),"")</f>
        <v/>
      </c>
      <c r="N1229" s="5" t="str">
        <f>IFERROR(VLOOKUP(I1229,[1]INFO_LOCALES!$B:$E,4,FALSE),"")</f>
        <v/>
      </c>
      <c r="O1229" s="5" t="e">
        <f>VLOOKUP(Tabla2[[#This Row],[TIENDA]],[1]INFO_LOCALES!$B:$J,9,0)</f>
        <v>#N/A</v>
      </c>
      <c r="P1229" s="5" t="str">
        <f>IFERROR(VLOOKUP(I1229,[1]INFO_LOCALES!$B:$F,5,FALSE),"")</f>
        <v/>
      </c>
      <c r="S1229" s="6"/>
      <c r="T1229" s="5" t="str">
        <f>UPPER(IF(Tabla2[[#This Row],[FECHA DE MUESTREO ]]=0,"",TEXT(Tabla2[[#This Row],[FECHA DE MUESTREO ]],("MMMM"))))</f>
        <v/>
      </c>
      <c r="U1229" s="6"/>
      <c r="W12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29" s="7">
        <f t="shared" si="39"/>
        <v>1</v>
      </c>
    </row>
    <row r="1230" spans="10:24" x14ac:dyDescent="0.25">
      <c r="J1230" s="5" t="str">
        <f>IFERROR(VLOOKUP(I1230,[1]INFO_LOCALES!$B:$C,2,FALSE),"")</f>
        <v/>
      </c>
      <c r="K1230" s="5" t="str">
        <f>IFERROR(VLOOKUP(Tabla2[[#This Row],[TIENDA]],[1]INFO_LOCALES!$B:$D,3,FALSE),"")</f>
        <v/>
      </c>
      <c r="L1230" s="5" t="str">
        <f>IFERROR(VLOOKUP(I1230,[1]INFO_LOCALES!$B:$I,8,FALSE),"")</f>
        <v/>
      </c>
      <c r="M1230" s="5" t="str">
        <f>IFERROR(VLOOKUP(I1230,[1]INFO_LOCALES!$B:$H,7,FALSE),"")</f>
        <v/>
      </c>
      <c r="N1230" s="5" t="str">
        <f>IFERROR(VLOOKUP(I1230,[1]INFO_LOCALES!$B:$E,4,FALSE),"")</f>
        <v/>
      </c>
      <c r="O1230" s="5" t="e">
        <f>VLOOKUP(Tabla2[[#This Row],[TIENDA]],[1]INFO_LOCALES!$B:$J,9,0)</f>
        <v>#N/A</v>
      </c>
      <c r="P1230" s="5" t="str">
        <f>IFERROR(VLOOKUP(I1230,[1]INFO_LOCALES!$B:$F,5,FALSE),"")</f>
        <v/>
      </c>
      <c r="S1230" s="6"/>
      <c r="T1230" s="5" t="str">
        <f>UPPER(IF(Tabla2[[#This Row],[FECHA DE MUESTREO ]]=0,"",TEXT(Tabla2[[#This Row],[FECHA DE MUESTREO ]],("MMMM"))))</f>
        <v/>
      </c>
      <c r="U1230" s="6"/>
      <c r="W12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0" s="7">
        <f t="shared" si="39"/>
        <v>1</v>
      </c>
    </row>
    <row r="1231" spans="10:24" x14ac:dyDescent="0.25">
      <c r="J1231" s="5" t="str">
        <f>IFERROR(VLOOKUP(I1231,[1]INFO_LOCALES!$B:$C,2,FALSE),"")</f>
        <v/>
      </c>
      <c r="K1231" s="5" t="str">
        <f>IFERROR(VLOOKUP(Tabla2[[#This Row],[TIENDA]],[1]INFO_LOCALES!$B:$D,3,FALSE),"")</f>
        <v/>
      </c>
      <c r="L1231" s="5" t="str">
        <f>IFERROR(VLOOKUP(I1231,[1]INFO_LOCALES!$B:$I,8,FALSE),"")</f>
        <v/>
      </c>
      <c r="M1231" s="5" t="str">
        <f>IFERROR(VLOOKUP(I1231,[1]INFO_LOCALES!$B:$H,7,FALSE),"")</f>
        <v/>
      </c>
      <c r="N1231" s="5" t="str">
        <f>IFERROR(VLOOKUP(I1231,[1]INFO_LOCALES!$B:$E,4,FALSE),"")</f>
        <v/>
      </c>
      <c r="O1231" s="5" t="e">
        <f>VLOOKUP(Tabla2[[#This Row],[TIENDA]],[1]INFO_LOCALES!$B:$J,9,0)</f>
        <v>#N/A</v>
      </c>
      <c r="P1231" s="5" t="str">
        <f>IFERROR(VLOOKUP(I1231,[1]INFO_LOCALES!$B:$F,5,FALSE),"")</f>
        <v/>
      </c>
      <c r="S1231" s="6"/>
      <c r="T1231" s="5" t="str">
        <f>UPPER(IF(Tabla2[[#This Row],[FECHA DE MUESTREO ]]=0,"",TEXT(Tabla2[[#This Row],[FECHA DE MUESTREO ]],("MMMM"))))</f>
        <v/>
      </c>
      <c r="U1231" s="6"/>
      <c r="W12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1" s="7">
        <f t="shared" si="39"/>
        <v>1</v>
      </c>
    </row>
    <row r="1232" spans="10:24" x14ac:dyDescent="0.25">
      <c r="J1232" s="5" t="str">
        <f>IFERROR(VLOOKUP(I1232,[1]INFO_LOCALES!$B:$C,2,FALSE),"")</f>
        <v/>
      </c>
      <c r="K1232" s="5" t="str">
        <f>IFERROR(VLOOKUP(Tabla2[[#This Row],[TIENDA]],[1]INFO_LOCALES!$B:$D,3,FALSE),"")</f>
        <v/>
      </c>
      <c r="L1232" s="5" t="str">
        <f>IFERROR(VLOOKUP(I1232,[1]INFO_LOCALES!$B:$I,8,FALSE),"")</f>
        <v/>
      </c>
      <c r="M1232" s="5" t="str">
        <f>IFERROR(VLOOKUP(I1232,[1]INFO_LOCALES!$B:$H,7,FALSE),"")</f>
        <v/>
      </c>
      <c r="N1232" s="5" t="str">
        <f>IFERROR(VLOOKUP(I1232,[1]INFO_LOCALES!$B:$E,4,FALSE),"")</f>
        <v/>
      </c>
      <c r="O1232" s="5" t="e">
        <f>VLOOKUP(Tabla2[[#This Row],[TIENDA]],[1]INFO_LOCALES!$B:$J,9,0)</f>
        <v>#N/A</v>
      </c>
      <c r="P1232" s="5" t="str">
        <f>IFERROR(VLOOKUP(I1232,[1]INFO_LOCALES!$B:$F,5,FALSE),"")</f>
        <v/>
      </c>
      <c r="S1232" s="6"/>
      <c r="T1232" s="5" t="str">
        <f>UPPER(IF(Tabla2[[#This Row],[FECHA DE MUESTREO ]]=0,"",TEXT(Tabla2[[#This Row],[FECHA DE MUESTREO ]],("MMMM"))))</f>
        <v/>
      </c>
      <c r="U1232" s="6"/>
      <c r="W12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2" s="7">
        <f t="shared" si="39"/>
        <v>1</v>
      </c>
    </row>
    <row r="1233" spans="10:24" x14ac:dyDescent="0.25">
      <c r="J1233" s="5" t="str">
        <f>IFERROR(VLOOKUP(I1233,[1]INFO_LOCALES!$B:$C,2,FALSE),"")</f>
        <v/>
      </c>
      <c r="K1233" s="5" t="str">
        <f>IFERROR(VLOOKUP(Tabla2[[#This Row],[TIENDA]],[1]INFO_LOCALES!$B:$D,3,FALSE),"")</f>
        <v/>
      </c>
      <c r="L1233" s="5" t="str">
        <f>IFERROR(VLOOKUP(I1233,[1]INFO_LOCALES!$B:$I,8,FALSE),"")</f>
        <v/>
      </c>
      <c r="M1233" s="5" t="str">
        <f>IFERROR(VLOOKUP(I1233,[1]INFO_LOCALES!$B:$H,7,FALSE),"")</f>
        <v/>
      </c>
      <c r="N1233" s="5" t="str">
        <f>IFERROR(VLOOKUP(I1233,[1]INFO_LOCALES!$B:$E,4,FALSE),"")</f>
        <v/>
      </c>
      <c r="O1233" s="5" t="e">
        <f>VLOOKUP(Tabla2[[#This Row],[TIENDA]],[1]INFO_LOCALES!$B:$J,9,0)</f>
        <v>#N/A</v>
      </c>
      <c r="P1233" s="5" t="str">
        <f>IFERROR(VLOOKUP(I1233,[1]INFO_LOCALES!$B:$F,5,FALSE),"")</f>
        <v/>
      </c>
      <c r="S1233" s="6"/>
      <c r="T1233" s="5" t="str">
        <f>UPPER(IF(Tabla2[[#This Row],[FECHA DE MUESTREO ]]=0,"",TEXT(Tabla2[[#This Row],[FECHA DE MUESTREO ]],("MMMM"))))</f>
        <v/>
      </c>
      <c r="U1233" s="6"/>
      <c r="W12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3" s="7">
        <f t="shared" si="39"/>
        <v>1</v>
      </c>
    </row>
    <row r="1234" spans="10:24" x14ac:dyDescent="0.25">
      <c r="J1234" s="5" t="str">
        <f>IFERROR(VLOOKUP(I1234,[1]INFO_LOCALES!$B:$C,2,FALSE),"")</f>
        <v/>
      </c>
      <c r="K1234" s="5" t="str">
        <f>IFERROR(VLOOKUP(Tabla2[[#This Row],[TIENDA]],[1]INFO_LOCALES!$B:$D,3,FALSE),"")</f>
        <v/>
      </c>
      <c r="L1234" s="5" t="str">
        <f>IFERROR(VLOOKUP(I1234,[1]INFO_LOCALES!$B:$I,8,FALSE),"")</f>
        <v/>
      </c>
      <c r="M1234" s="5" t="str">
        <f>IFERROR(VLOOKUP(I1234,[1]INFO_LOCALES!$B:$H,7,FALSE),"")</f>
        <v/>
      </c>
      <c r="N1234" s="5" t="str">
        <f>IFERROR(VLOOKUP(I1234,[1]INFO_LOCALES!$B:$E,4,FALSE),"")</f>
        <v/>
      </c>
      <c r="O1234" s="5" t="e">
        <f>VLOOKUP(Tabla2[[#This Row],[TIENDA]],[1]INFO_LOCALES!$B:$J,9,0)</f>
        <v>#N/A</v>
      </c>
      <c r="P1234" s="5" t="str">
        <f>IFERROR(VLOOKUP(I1234,[1]INFO_LOCALES!$B:$F,5,FALSE),"")</f>
        <v/>
      </c>
      <c r="S1234" s="6"/>
      <c r="T1234" s="5" t="str">
        <f>UPPER(IF(Tabla2[[#This Row],[FECHA DE MUESTREO ]]=0,"",TEXT(Tabla2[[#This Row],[FECHA DE MUESTREO ]],("MMMM"))))</f>
        <v/>
      </c>
      <c r="U1234" s="6"/>
      <c r="W12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4" s="7">
        <f t="shared" si="39"/>
        <v>1</v>
      </c>
    </row>
    <row r="1235" spans="10:24" x14ac:dyDescent="0.25">
      <c r="J1235" s="5" t="str">
        <f>IFERROR(VLOOKUP(I1235,[1]INFO_LOCALES!$B:$C,2,FALSE),"")</f>
        <v/>
      </c>
      <c r="K1235" s="5" t="str">
        <f>IFERROR(VLOOKUP(Tabla2[[#This Row],[TIENDA]],[1]INFO_LOCALES!$B:$D,3,FALSE),"")</f>
        <v/>
      </c>
      <c r="L1235" s="5" t="str">
        <f>IFERROR(VLOOKUP(I1235,[1]INFO_LOCALES!$B:$I,8,FALSE),"")</f>
        <v/>
      </c>
      <c r="M1235" s="5" t="str">
        <f>IFERROR(VLOOKUP(I1235,[1]INFO_LOCALES!$B:$H,7,FALSE),"")</f>
        <v/>
      </c>
      <c r="N1235" s="5" t="str">
        <f>IFERROR(VLOOKUP(I1235,[1]INFO_LOCALES!$B:$E,4,FALSE),"")</f>
        <v/>
      </c>
      <c r="O1235" s="5" t="e">
        <f>VLOOKUP(Tabla2[[#This Row],[TIENDA]],[1]INFO_LOCALES!$B:$J,9,0)</f>
        <v>#N/A</v>
      </c>
      <c r="P1235" s="5" t="str">
        <f>IFERROR(VLOOKUP(I1235,[1]INFO_LOCALES!$B:$F,5,FALSE),"")</f>
        <v/>
      </c>
      <c r="S1235" s="6"/>
      <c r="T1235" s="5" t="str">
        <f>UPPER(IF(Tabla2[[#This Row],[FECHA DE MUESTREO ]]=0,"",TEXT(Tabla2[[#This Row],[FECHA DE MUESTREO ]],("MMMM"))))</f>
        <v/>
      </c>
      <c r="U1235" s="6"/>
      <c r="W12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5" s="7">
        <f t="shared" si="39"/>
        <v>1</v>
      </c>
    </row>
    <row r="1236" spans="10:24" x14ac:dyDescent="0.25">
      <c r="J1236" s="5" t="str">
        <f>IFERROR(VLOOKUP(I1236,[1]INFO_LOCALES!$B:$C,2,FALSE),"")</f>
        <v/>
      </c>
      <c r="K1236" s="5" t="str">
        <f>IFERROR(VLOOKUP(Tabla2[[#This Row],[TIENDA]],[1]INFO_LOCALES!$B:$D,3,FALSE),"")</f>
        <v/>
      </c>
      <c r="L1236" s="5" t="str">
        <f>IFERROR(VLOOKUP(I1236,[1]INFO_LOCALES!$B:$I,8,FALSE),"")</f>
        <v/>
      </c>
      <c r="M1236" s="5" t="str">
        <f>IFERROR(VLOOKUP(I1236,[1]INFO_LOCALES!$B:$H,7,FALSE),"")</f>
        <v/>
      </c>
      <c r="N1236" s="5" t="str">
        <f>IFERROR(VLOOKUP(I1236,[1]INFO_LOCALES!$B:$E,4,FALSE),"")</f>
        <v/>
      </c>
      <c r="O1236" s="5" t="e">
        <f>VLOOKUP(Tabla2[[#This Row],[TIENDA]],[1]INFO_LOCALES!$B:$J,9,0)</f>
        <v>#N/A</v>
      </c>
      <c r="P1236" s="5" t="str">
        <f>IFERROR(VLOOKUP(I1236,[1]INFO_LOCALES!$B:$F,5,FALSE),"")</f>
        <v/>
      </c>
      <c r="S1236" s="6"/>
      <c r="T1236" s="5" t="str">
        <f>UPPER(IF(Tabla2[[#This Row],[FECHA DE MUESTREO ]]=0,"",TEXT(Tabla2[[#This Row],[FECHA DE MUESTREO ]],("MMMM"))))</f>
        <v/>
      </c>
      <c r="U1236" s="6"/>
      <c r="W12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6" s="7">
        <f t="shared" si="39"/>
        <v>1</v>
      </c>
    </row>
    <row r="1237" spans="10:24" x14ac:dyDescent="0.25">
      <c r="J1237" s="5" t="str">
        <f>IFERROR(VLOOKUP(I1237,[1]INFO_LOCALES!$B:$C,2,FALSE),"")</f>
        <v/>
      </c>
      <c r="K1237" s="5" t="str">
        <f>IFERROR(VLOOKUP(Tabla2[[#This Row],[TIENDA]],[1]INFO_LOCALES!$B:$D,3,FALSE),"")</f>
        <v/>
      </c>
      <c r="L1237" s="5" t="str">
        <f>IFERROR(VLOOKUP(I1237,[1]INFO_LOCALES!$B:$I,8,FALSE),"")</f>
        <v/>
      </c>
      <c r="M1237" s="5" t="str">
        <f>IFERROR(VLOOKUP(I1237,[1]INFO_LOCALES!$B:$H,7,FALSE),"")</f>
        <v/>
      </c>
      <c r="N1237" s="5" t="str">
        <f>IFERROR(VLOOKUP(I1237,[1]INFO_LOCALES!$B:$E,4,FALSE),"")</f>
        <v/>
      </c>
      <c r="O1237" s="5" t="e">
        <f>VLOOKUP(Tabla2[[#This Row],[TIENDA]],[1]INFO_LOCALES!$B:$J,9,0)</f>
        <v>#N/A</v>
      </c>
      <c r="P1237" s="5" t="str">
        <f>IFERROR(VLOOKUP(I1237,[1]INFO_LOCALES!$B:$F,5,FALSE),"")</f>
        <v/>
      </c>
      <c r="S1237" s="6"/>
      <c r="T1237" s="5" t="str">
        <f>UPPER(IF(Tabla2[[#This Row],[FECHA DE MUESTREO ]]=0,"",TEXT(Tabla2[[#This Row],[FECHA DE MUESTREO ]],("MMMM"))))</f>
        <v/>
      </c>
      <c r="U1237" s="6"/>
      <c r="W12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7" s="7">
        <f t="shared" si="39"/>
        <v>1</v>
      </c>
    </row>
    <row r="1238" spans="10:24" x14ac:dyDescent="0.25">
      <c r="J1238" s="5" t="str">
        <f>IFERROR(VLOOKUP(I1238,[1]INFO_LOCALES!$B:$C,2,FALSE),"")</f>
        <v/>
      </c>
      <c r="K1238" s="5" t="str">
        <f>IFERROR(VLOOKUP(Tabla2[[#This Row],[TIENDA]],[1]INFO_LOCALES!$B:$D,3,FALSE),"")</f>
        <v/>
      </c>
      <c r="L1238" s="5" t="str">
        <f>IFERROR(VLOOKUP(I1238,[1]INFO_LOCALES!$B:$I,8,FALSE),"")</f>
        <v/>
      </c>
      <c r="M1238" s="5" t="str">
        <f>IFERROR(VLOOKUP(I1238,[1]INFO_LOCALES!$B:$H,7,FALSE),"")</f>
        <v/>
      </c>
      <c r="N1238" s="5" t="str">
        <f>IFERROR(VLOOKUP(I1238,[1]INFO_LOCALES!$B:$E,4,FALSE),"")</f>
        <v/>
      </c>
      <c r="O1238" s="5" t="e">
        <f>VLOOKUP(Tabla2[[#This Row],[TIENDA]],[1]INFO_LOCALES!$B:$J,9,0)</f>
        <v>#N/A</v>
      </c>
      <c r="P1238" s="5" t="str">
        <f>IFERROR(VLOOKUP(I1238,[1]INFO_LOCALES!$B:$F,5,FALSE),"")</f>
        <v/>
      </c>
      <c r="S1238" s="6"/>
      <c r="T1238" s="5" t="str">
        <f>UPPER(IF(Tabla2[[#This Row],[FECHA DE MUESTREO ]]=0,"",TEXT(Tabla2[[#This Row],[FECHA DE MUESTREO ]],("MMMM"))))</f>
        <v/>
      </c>
      <c r="U1238" s="6"/>
      <c r="W12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8" s="7">
        <f t="shared" si="39"/>
        <v>1</v>
      </c>
    </row>
    <row r="1239" spans="10:24" x14ac:dyDescent="0.25">
      <c r="J1239" s="5" t="str">
        <f>IFERROR(VLOOKUP(I1239,[1]INFO_LOCALES!$B:$C,2,FALSE),"")</f>
        <v/>
      </c>
      <c r="K1239" s="5" t="str">
        <f>IFERROR(VLOOKUP(Tabla2[[#This Row],[TIENDA]],[1]INFO_LOCALES!$B:$D,3,FALSE),"")</f>
        <v/>
      </c>
      <c r="L1239" s="5" t="str">
        <f>IFERROR(VLOOKUP(I1239,[1]INFO_LOCALES!$B:$I,8,FALSE),"")</f>
        <v/>
      </c>
      <c r="M1239" s="5" t="str">
        <f>IFERROR(VLOOKUP(I1239,[1]INFO_LOCALES!$B:$H,7,FALSE),"")</f>
        <v/>
      </c>
      <c r="N1239" s="5" t="str">
        <f>IFERROR(VLOOKUP(I1239,[1]INFO_LOCALES!$B:$E,4,FALSE),"")</f>
        <v/>
      </c>
      <c r="O1239" s="5" t="e">
        <f>VLOOKUP(Tabla2[[#This Row],[TIENDA]],[1]INFO_LOCALES!$B:$J,9,0)</f>
        <v>#N/A</v>
      </c>
      <c r="P1239" s="5" t="str">
        <f>IFERROR(VLOOKUP(I1239,[1]INFO_LOCALES!$B:$F,5,FALSE),"")</f>
        <v/>
      </c>
      <c r="S1239" s="6"/>
      <c r="T1239" s="5" t="str">
        <f>UPPER(IF(Tabla2[[#This Row],[FECHA DE MUESTREO ]]=0,"",TEXT(Tabla2[[#This Row],[FECHA DE MUESTREO ]],("MMMM"))))</f>
        <v/>
      </c>
      <c r="U1239" s="6"/>
      <c r="W12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39" s="7">
        <f t="shared" si="39"/>
        <v>1</v>
      </c>
    </row>
    <row r="1240" spans="10:24" x14ac:dyDescent="0.25">
      <c r="J1240" s="5" t="str">
        <f>IFERROR(VLOOKUP(I1240,[1]INFO_LOCALES!$B:$C,2,FALSE),"")</f>
        <v/>
      </c>
      <c r="K1240" s="5" t="str">
        <f>IFERROR(VLOOKUP(Tabla2[[#This Row],[TIENDA]],[1]INFO_LOCALES!$B:$D,3,FALSE),"")</f>
        <v/>
      </c>
      <c r="L1240" s="5" t="str">
        <f>IFERROR(VLOOKUP(I1240,[1]INFO_LOCALES!$B:$I,8,FALSE),"")</f>
        <v/>
      </c>
      <c r="M1240" s="5" t="str">
        <f>IFERROR(VLOOKUP(I1240,[1]INFO_LOCALES!$B:$H,7,FALSE),"")</f>
        <v/>
      </c>
      <c r="N1240" s="5" t="str">
        <f>IFERROR(VLOOKUP(I1240,[1]INFO_LOCALES!$B:$E,4,FALSE),"")</f>
        <v/>
      </c>
      <c r="O1240" s="5" t="e">
        <f>VLOOKUP(Tabla2[[#This Row],[TIENDA]],[1]INFO_LOCALES!$B:$J,9,0)</f>
        <v>#N/A</v>
      </c>
      <c r="P1240" s="5" t="str">
        <f>IFERROR(VLOOKUP(I1240,[1]INFO_LOCALES!$B:$F,5,FALSE),"")</f>
        <v/>
      </c>
      <c r="S1240" s="6"/>
      <c r="T1240" s="5" t="str">
        <f>UPPER(IF(Tabla2[[#This Row],[FECHA DE MUESTREO ]]=0,"",TEXT(Tabla2[[#This Row],[FECHA DE MUESTREO ]],("MMMM"))))</f>
        <v/>
      </c>
      <c r="U1240" s="6"/>
      <c r="W12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0" s="7">
        <f t="shared" si="39"/>
        <v>1</v>
      </c>
    </row>
    <row r="1241" spans="10:24" x14ac:dyDescent="0.25">
      <c r="J1241" s="5" t="str">
        <f>IFERROR(VLOOKUP(I1241,[1]INFO_LOCALES!$B:$C,2,FALSE),"")</f>
        <v/>
      </c>
      <c r="K1241" s="5" t="str">
        <f>IFERROR(VLOOKUP(Tabla2[[#This Row],[TIENDA]],[1]INFO_LOCALES!$B:$D,3,FALSE),"")</f>
        <v/>
      </c>
      <c r="L1241" s="5" t="str">
        <f>IFERROR(VLOOKUP(I1241,[1]INFO_LOCALES!$B:$I,8,FALSE),"")</f>
        <v/>
      </c>
      <c r="M1241" s="5" t="str">
        <f>IFERROR(VLOOKUP(I1241,[1]INFO_LOCALES!$B:$H,7,FALSE),"")</f>
        <v/>
      </c>
      <c r="N1241" s="5" t="str">
        <f>IFERROR(VLOOKUP(I1241,[1]INFO_LOCALES!$B:$E,4,FALSE),"")</f>
        <v/>
      </c>
      <c r="O1241" s="5" t="e">
        <f>VLOOKUP(Tabla2[[#This Row],[TIENDA]],[1]INFO_LOCALES!$B:$J,9,0)</f>
        <v>#N/A</v>
      </c>
      <c r="P1241" s="5" t="str">
        <f>IFERROR(VLOOKUP(I1241,[1]INFO_LOCALES!$B:$F,5,FALSE),"")</f>
        <v/>
      </c>
      <c r="S1241" s="6"/>
      <c r="T1241" s="5" t="str">
        <f>UPPER(IF(Tabla2[[#This Row],[FECHA DE MUESTREO ]]=0,"",TEXT(Tabla2[[#This Row],[FECHA DE MUESTREO ]],("MMMM"))))</f>
        <v/>
      </c>
      <c r="U1241" s="6"/>
      <c r="W12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1" s="7">
        <f t="shared" si="39"/>
        <v>1</v>
      </c>
    </row>
    <row r="1242" spans="10:24" x14ac:dyDescent="0.25">
      <c r="J1242" s="5" t="str">
        <f>IFERROR(VLOOKUP(I1242,[1]INFO_LOCALES!$B:$C,2,FALSE),"")</f>
        <v/>
      </c>
      <c r="K1242" s="5" t="str">
        <f>IFERROR(VLOOKUP(Tabla2[[#This Row],[TIENDA]],[1]INFO_LOCALES!$B:$D,3,FALSE),"")</f>
        <v/>
      </c>
      <c r="L1242" s="5" t="str">
        <f>IFERROR(VLOOKUP(I1242,[1]INFO_LOCALES!$B:$I,8,FALSE),"")</f>
        <v/>
      </c>
      <c r="M1242" s="5" t="str">
        <f>IFERROR(VLOOKUP(I1242,[1]INFO_LOCALES!$B:$H,7,FALSE),"")</f>
        <v/>
      </c>
      <c r="N1242" s="5" t="str">
        <f>IFERROR(VLOOKUP(I1242,[1]INFO_LOCALES!$B:$E,4,FALSE),"")</f>
        <v/>
      </c>
      <c r="O1242" s="5" t="e">
        <f>VLOOKUP(Tabla2[[#This Row],[TIENDA]],[1]INFO_LOCALES!$B:$J,9,0)</f>
        <v>#N/A</v>
      </c>
      <c r="P1242" s="5" t="str">
        <f>IFERROR(VLOOKUP(I1242,[1]INFO_LOCALES!$B:$F,5,FALSE),"")</f>
        <v/>
      </c>
      <c r="S1242" s="6"/>
      <c r="T1242" s="5" t="str">
        <f>UPPER(IF(Tabla2[[#This Row],[FECHA DE MUESTREO ]]=0,"",TEXT(Tabla2[[#This Row],[FECHA DE MUESTREO ]],("MMMM"))))</f>
        <v/>
      </c>
      <c r="U1242" s="6"/>
      <c r="W12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2" s="7">
        <f t="shared" si="39"/>
        <v>1</v>
      </c>
    </row>
    <row r="1243" spans="10:24" x14ac:dyDescent="0.25">
      <c r="J1243" s="5" t="str">
        <f>IFERROR(VLOOKUP(I1243,[1]INFO_LOCALES!$B:$C,2,FALSE),"")</f>
        <v/>
      </c>
      <c r="K1243" s="5" t="str">
        <f>IFERROR(VLOOKUP(Tabla2[[#This Row],[TIENDA]],[1]INFO_LOCALES!$B:$D,3,FALSE),"")</f>
        <v/>
      </c>
      <c r="L1243" s="5" t="str">
        <f>IFERROR(VLOOKUP(I1243,[1]INFO_LOCALES!$B:$I,8,FALSE),"")</f>
        <v/>
      </c>
      <c r="M1243" s="5" t="str">
        <f>IFERROR(VLOOKUP(I1243,[1]INFO_LOCALES!$B:$H,7,FALSE),"")</f>
        <v/>
      </c>
      <c r="N1243" s="5" t="str">
        <f>IFERROR(VLOOKUP(I1243,[1]INFO_LOCALES!$B:$E,4,FALSE),"")</f>
        <v/>
      </c>
      <c r="O1243" s="5" t="e">
        <f>VLOOKUP(Tabla2[[#This Row],[TIENDA]],[1]INFO_LOCALES!$B:$J,9,0)</f>
        <v>#N/A</v>
      </c>
      <c r="P1243" s="5" t="str">
        <f>IFERROR(VLOOKUP(I1243,[1]INFO_LOCALES!$B:$F,5,FALSE),"")</f>
        <v/>
      </c>
      <c r="S1243" s="6"/>
      <c r="T1243" s="5" t="str">
        <f>UPPER(IF(Tabla2[[#This Row],[FECHA DE MUESTREO ]]=0,"",TEXT(Tabla2[[#This Row],[FECHA DE MUESTREO ]],("MMMM"))))</f>
        <v/>
      </c>
      <c r="U1243" s="6"/>
      <c r="W12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3" s="7">
        <f t="shared" si="39"/>
        <v>1</v>
      </c>
    </row>
    <row r="1244" spans="10:24" x14ac:dyDescent="0.25">
      <c r="J1244" s="5" t="str">
        <f>IFERROR(VLOOKUP(I1244,[1]INFO_LOCALES!$B:$C,2,FALSE),"")</f>
        <v/>
      </c>
      <c r="K1244" s="5" t="str">
        <f>IFERROR(VLOOKUP(Tabla2[[#This Row],[TIENDA]],[1]INFO_LOCALES!$B:$D,3,FALSE),"")</f>
        <v/>
      </c>
      <c r="L1244" s="5" t="str">
        <f>IFERROR(VLOOKUP(I1244,[1]INFO_LOCALES!$B:$I,8,FALSE),"")</f>
        <v/>
      </c>
      <c r="M1244" s="5" t="str">
        <f>IFERROR(VLOOKUP(I1244,[1]INFO_LOCALES!$B:$H,7,FALSE),"")</f>
        <v/>
      </c>
      <c r="N1244" s="5" t="str">
        <f>IFERROR(VLOOKUP(I1244,[1]INFO_LOCALES!$B:$E,4,FALSE),"")</f>
        <v/>
      </c>
      <c r="O1244" s="5" t="e">
        <f>VLOOKUP(Tabla2[[#This Row],[TIENDA]],[1]INFO_LOCALES!$B:$J,9,0)</f>
        <v>#N/A</v>
      </c>
      <c r="P1244" s="5" t="str">
        <f>IFERROR(VLOOKUP(I1244,[1]INFO_LOCALES!$B:$F,5,FALSE),"")</f>
        <v/>
      </c>
      <c r="S1244" s="6"/>
      <c r="T1244" s="5" t="str">
        <f>UPPER(IF(Tabla2[[#This Row],[FECHA DE MUESTREO ]]=0,"",TEXT(Tabla2[[#This Row],[FECHA DE MUESTREO ]],("MMMM"))))</f>
        <v/>
      </c>
      <c r="U1244" s="6"/>
      <c r="W12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4" s="7">
        <f t="shared" si="39"/>
        <v>1</v>
      </c>
    </row>
    <row r="1245" spans="10:24" x14ac:dyDescent="0.25">
      <c r="J1245" s="5" t="str">
        <f>IFERROR(VLOOKUP(I1245,[1]INFO_LOCALES!$B:$C,2,FALSE),"")</f>
        <v/>
      </c>
      <c r="K1245" s="5" t="str">
        <f>IFERROR(VLOOKUP(Tabla2[[#This Row],[TIENDA]],[1]INFO_LOCALES!$B:$D,3,FALSE),"")</f>
        <v/>
      </c>
      <c r="L1245" s="5" t="str">
        <f>IFERROR(VLOOKUP(I1245,[1]INFO_LOCALES!$B:$I,8,FALSE),"")</f>
        <v/>
      </c>
      <c r="M1245" s="5" t="str">
        <f>IFERROR(VLOOKUP(I1245,[1]INFO_LOCALES!$B:$H,7,FALSE),"")</f>
        <v/>
      </c>
      <c r="N1245" s="5" t="str">
        <f>IFERROR(VLOOKUP(I1245,[1]INFO_LOCALES!$B:$E,4,FALSE),"")</f>
        <v/>
      </c>
      <c r="O1245" s="5" t="e">
        <f>VLOOKUP(Tabla2[[#This Row],[TIENDA]],[1]INFO_LOCALES!$B:$J,9,0)</f>
        <v>#N/A</v>
      </c>
      <c r="P1245" s="5" t="str">
        <f>IFERROR(VLOOKUP(I1245,[1]INFO_LOCALES!$B:$F,5,FALSE),"")</f>
        <v/>
      </c>
      <c r="S1245" s="6"/>
      <c r="T1245" s="5" t="str">
        <f>UPPER(IF(Tabla2[[#This Row],[FECHA DE MUESTREO ]]=0,"",TEXT(Tabla2[[#This Row],[FECHA DE MUESTREO ]],("MMMM"))))</f>
        <v/>
      </c>
      <c r="U1245" s="6"/>
      <c r="W12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5" s="7">
        <f t="shared" si="39"/>
        <v>1</v>
      </c>
    </row>
    <row r="1246" spans="10:24" x14ac:dyDescent="0.25">
      <c r="J1246" s="5" t="str">
        <f>IFERROR(VLOOKUP(I1246,[1]INFO_LOCALES!$B:$C,2,FALSE),"")</f>
        <v/>
      </c>
      <c r="K1246" s="5" t="str">
        <f>IFERROR(VLOOKUP(Tabla2[[#This Row],[TIENDA]],[1]INFO_LOCALES!$B:$D,3,FALSE),"")</f>
        <v/>
      </c>
      <c r="L1246" s="5" t="str">
        <f>IFERROR(VLOOKUP(I1246,[1]INFO_LOCALES!$B:$I,8,FALSE),"")</f>
        <v/>
      </c>
      <c r="M1246" s="5" t="str">
        <f>IFERROR(VLOOKUP(I1246,[1]INFO_LOCALES!$B:$H,7,FALSE),"")</f>
        <v/>
      </c>
      <c r="N1246" s="5" t="str">
        <f>IFERROR(VLOOKUP(I1246,[1]INFO_LOCALES!$B:$E,4,FALSE),"")</f>
        <v/>
      </c>
      <c r="O1246" s="5" t="e">
        <f>VLOOKUP(Tabla2[[#This Row],[TIENDA]],[1]INFO_LOCALES!$B:$J,9,0)</f>
        <v>#N/A</v>
      </c>
      <c r="P1246" s="5" t="str">
        <f>IFERROR(VLOOKUP(I1246,[1]INFO_LOCALES!$B:$F,5,FALSE),"")</f>
        <v/>
      </c>
      <c r="S1246" s="6"/>
      <c r="T1246" s="5" t="str">
        <f>UPPER(IF(Tabla2[[#This Row],[FECHA DE MUESTREO ]]=0,"",TEXT(Tabla2[[#This Row],[FECHA DE MUESTREO ]],("MMMM"))))</f>
        <v/>
      </c>
      <c r="U1246" s="6"/>
      <c r="W12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6" s="7">
        <f t="shared" si="39"/>
        <v>1</v>
      </c>
    </row>
    <row r="1247" spans="10:24" x14ac:dyDescent="0.25">
      <c r="J1247" s="5" t="str">
        <f>IFERROR(VLOOKUP(I1247,[1]INFO_LOCALES!$B:$C,2,FALSE),"")</f>
        <v/>
      </c>
      <c r="K1247" s="5" t="str">
        <f>IFERROR(VLOOKUP(Tabla2[[#This Row],[TIENDA]],[1]INFO_LOCALES!$B:$D,3,FALSE),"")</f>
        <v/>
      </c>
      <c r="L1247" s="5" t="str">
        <f>IFERROR(VLOOKUP(I1247,[1]INFO_LOCALES!$B:$I,8,FALSE),"")</f>
        <v/>
      </c>
      <c r="M1247" s="5" t="str">
        <f>IFERROR(VLOOKUP(I1247,[1]INFO_LOCALES!$B:$H,7,FALSE),"")</f>
        <v/>
      </c>
      <c r="N1247" s="5" t="str">
        <f>IFERROR(VLOOKUP(I1247,[1]INFO_LOCALES!$B:$E,4,FALSE),"")</f>
        <v/>
      </c>
      <c r="O1247" s="5" t="e">
        <f>VLOOKUP(Tabla2[[#This Row],[TIENDA]],[1]INFO_LOCALES!$B:$J,9,0)</f>
        <v>#N/A</v>
      </c>
      <c r="P1247" s="5" t="str">
        <f>IFERROR(VLOOKUP(I1247,[1]INFO_LOCALES!$B:$F,5,FALSE),"")</f>
        <v/>
      </c>
      <c r="S1247" s="6"/>
      <c r="T1247" s="5" t="str">
        <f>UPPER(IF(Tabla2[[#This Row],[FECHA DE MUESTREO ]]=0,"",TEXT(Tabla2[[#This Row],[FECHA DE MUESTREO ]],("MMMM"))))</f>
        <v/>
      </c>
      <c r="U1247" s="6"/>
      <c r="W12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7" s="7">
        <f t="shared" si="39"/>
        <v>1</v>
      </c>
    </row>
    <row r="1248" spans="10:24" x14ac:dyDescent="0.25">
      <c r="J1248" s="5" t="str">
        <f>IFERROR(VLOOKUP(I1248,[1]INFO_LOCALES!$B:$C,2,FALSE),"")</f>
        <v/>
      </c>
      <c r="K1248" s="5" t="str">
        <f>IFERROR(VLOOKUP(Tabla2[[#This Row],[TIENDA]],[1]INFO_LOCALES!$B:$D,3,FALSE),"")</f>
        <v/>
      </c>
      <c r="L1248" s="5" t="str">
        <f>IFERROR(VLOOKUP(I1248,[1]INFO_LOCALES!$B:$I,8,FALSE),"")</f>
        <v/>
      </c>
      <c r="M1248" s="5" t="str">
        <f>IFERROR(VLOOKUP(I1248,[1]INFO_LOCALES!$B:$H,7,FALSE),"")</f>
        <v/>
      </c>
      <c r="N1248" s="5" t="str">
        <f>IFERROR(VLOOKUP(I1248,[1]INFO_LOCALES!$B:$E,4,FALSE),"")</f>
        <v/>
      </c>
      <c r="O1248" s="5" t="e">
        <f>VLOOKUP(Tabla2[[#This Row],[TIENDA]],[1]INFO_LOCALES!$B:$J,9,0)</f>
        <v>#N/A</v>
      </c>
      <c r="P1248" s="5" t="str">
        <f>IFERROR(VLOOKUP(I1248,[1]INFO_LOCALES!$B:$F,5,FALSE),"")</f>
        <v/>
      </c>
      <c r="S1248" s="6"/>
      <c r="T1248" s="5" t="str">
        <f>UPPER(IF(Tabla2[[#This Row],[FECHA DE MUESTREO ]]=0,"",TEXT(Tabla2[[#This Row],[FECHA DE MUESTREO ]],("MMMM"))))</f>
        <v/>
      </c>
      <c r="U1248" s="6"/>
      <c r="W12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8" s="7">
        <f t="shared" si="39"/>
        <v>1</v>
      </c>
    </row>
    <row r="1249" spans="10:24" x14ac:dyDescent="0.25">
      <c r="J1249" s="5" t="str">
        <f>IFERROR(VLOOKUP(I1249,[1]INFO_LOCALES!$B:$C,2,FALSE),"")</f>
        <v/>
      </c>
      <c r="K1249" s="5" t="str">
        <f>IFERROR(VLOOKUP(Tabla2[[#This Row],[TIENDA]],[1]INFO_LOCALES!$B:$D,3,FALSE),"")</f>
        <v/>
      </c>
      <c r="L1249" s="5" t="str">
        <f>IFERROR(VLOOKUP(I1249,[1]INFO_LOCALES!$B:$I,8,FALSE),"")</f>
        <v/>
      </c>
      <c r="M1249" s="5" t="str">
        <f>IFERROR(VLOOKUP(I1249,[1]INFO_LOCALES!$B:$H,7,FALSE),"")</f>
        <v/>
      </c>
      <c r="N1249" s="5" t="str">
        <f>IFERROR(VLOOKUP(I1249,[1]INFO_LOCALES!$B:$E,4,FALSE),"")</f>
        <v/>
      </c>
      <c r="O1249" s="5" t="e">
        <f>VLOOKUP(Tabla2[[#This Row],[TIENDA]],[1]INFO_LOCALES!$B:$J,9,0)</f>
        <v>#N/A</v>
      </c>
      <c r="P1249" s="5" t="str">
        <f>IFERROR(VLOOKUP(I1249,[1]INFO_LOCALES!$B:$F,5,FALSE),"")</f>
        <v/>
      </c>
      <c r="S1249" s="6"/>
      <c r="T1249" s="5" t="str">
        <f>UPPER(IF(Tabla2[[#This Row],[FECHA DE MUESTREO ]]=0,"",TEXT(Tabla2[[#This Row],[FECHA DE MUESTREO ]],("MMMM"))))</f>
        <v/>
      </c>
      <c r="U1249" s="6"/>
      <c r="W12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49" s="7">
        <f t="shared" si="39"/>
        <v>1</v>
      </c>
    </row>
    <row r="1250" spans="10:24" x14ac:dyDescent="0.25">
      <c r="J1250" s="5" t="str">
        <f>IFERROR(VLOOKUP(I1250,[1]INFO_LOCALES!$B:$C,2,FALSE),"")</f>
        <v/>
      </c>
      <c r="K1250" s="5" t="str">
        <f>IFERROR(VLOOKUP(Tabla2[[#This Row],[TIENDA]],[1]INFO_LOCALES!$B:$D,3,FALSE),"")</f>
        <v/>
      </c>
      <c r="L1250" s="5" t="str">
        <f>IFERROR(VLOOKUP(I1250,[1]INFO_LOCALES!$B:$I,8,FALSE),"")</f>
        <v/>
      </c>
      <c r="M1250" s="5" t="str">
        <f>IFERROR(VLOOKUP(I1250,[1]INFO_LOCALES!$B:$H,7,FALSE),"")</f>
        <v/>
      </c>
      <c r="N1250" s="5" t="str">
        <f>IFERROR(VLOOKUP(I1250,[1]INFO_LOCALES!$B:$E,4,FALSE),"")</f>
        <v/>
      </c>
      <c r="O1250" s="5" t="e">
        <f>VLOOKUP(Tabla2[[#This Row],[TIENDA]],[1]INFO_LOCALES!$B:$J,9,0)</f>
        <v>#N/A</v>
      </c>
      <c r="P1250" s="5" t="str">
        <f>IFERROR(VLOOKUP(I1250,[1]INFO_LOCALES!$B:$F,5,FALSE),"")</f>
        <v/>
      </c>
      <c r="S1250" s="6"/>
      <c r="T1250" s="5" t="str">
        <f>UPPER(IF(Tabla2[[#This Row],[FECHA DE MUESTREO ]]=0,"",TEXT(Tabla2[[#This Row],[FECHA DE MUESTREO ]],("MMMM"))))</f>
        <v/>
      </c>
      <c r="U1250" s="6"/>
      <c r="W12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0" s="7">
        <f t="shared" si="39"/>
        <v>1</v>
      </c>
    </row>
    <row r="1251" spans="10:24" x14ac:dyDescent="0.25">
      <c r="J1251" s="5" t="str">
        <f>IFERROR(VLOOKUP(I1251,[1]INFO_LOCALES!$B:$C,2,FALSE),"")</f>
        <v/>
      </c>
      <c r="K1251" s="5" t="str">
        <f>IFERROR(VLOOKUP(Tabla2[[#This Row],[TIENDA]],[1]INFO_LOCALES!$B:$D,3,FALSE),"")</f>
        <v/>
      </c>
      <c r="L1251" s="5" t="str">
        <f>IFERROR(VLOOKUP(I1251,[1]INFO_LOCALES!$B:$I,8,FALSE),"")</f>
        <v/>
      </c>
      <c r="M1251" s="5" t="str">
        <f>IFERROR(VLOOKUP(I1251,[1]INFO_LOCALES!$B:$H,7,FALSE),"")</f>
        <v/>
      </c>
      <c r="N1251" s="5" t="str">
        <f>IFERROR(VLOOKUP(I1251,[1]INFO_LOCALES!$B:$E,4,FALSE),"")</f>
        <v/>
      </c>
      <c r="O1251" s="5" t="e">
        <f>VLOOKUP(Tabla2[[#This Row],[TIENDA]],[1]INFO_LOCALES!$B:$J,9,0)</f>
        <v>#N/A</v>
      </c>
      <c r="P1251" s="5" t="str">
        <f>IFERROR(VLOOKUP(I1251,[1]INFO_LOCALES!$B:$F,5,FALSE),"")</f>
        <v/>
      </c>
      <c r="S1251" s="6"/>
      <c r="T1251" s="5" t="str">
        <f>UPPER(IF(Tabla2[[#This Row],[FECHA DE MUESTREO ]]=0,"",TEXT(Tabla2[[#This Row],[FECHA DE MUESTREO ]],("MMMM"))))</f>
        <v/>
      </c>
      <c r="U1251" s="6"/>
      <c r="W12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1" s="7">
        <f t="shared" si="39"/>
        <v>1</v>
      </c>
    </row>
    <row r="1252" spans="10:24" x14ac:dyDescent="0.25">
      <c r="J1252" s="5" t="str">
        <f>IFERROR(VLOOKUP(I1252,[1]INFO_LOCALES!$B:$C,2,FALSE),"")</f>
        <v/>
      </c>
      <c r="K1252" s="5" t="str">
        <f>IFERROR(VLOOKUP(Tabla2[[#This Row],[TIENDA]],[1]INFO_LOCALES!$B:$D,3,FALSE),"")</f>
        <v/>
      </c>
      <c r="L1252" s="5" t="str">
        <f>IFERROR(VLOOKUP(I1252,[1]INFO_LOCALES!$B:$I,8,FALSE),"")</f>
        <v/>
      </c>
      <c r="M1252" s="5" t="str">
        <f>IFERROR(VLOOKUP(I1252,[1]INFO_LOCALES!$B:$H,7,FALSE),"")</f>
        <v/>
      </c>
      <c r="N1252" s="5" t="str">
        <f>IFERROR(VLOOKUP(I1252,[1]INFO_LOCALES!$B:$E,4,FALSE),"")</f>
        <v/>
      </c>
      <c r="O1252" s="5" t="e">
        <f>VLOOKUP(Tabla2[[#This Row],[TIENDA]],[1]INFO_LOCALES!$B:$J,9,0)</f>
        <v>#N/A</v>
      </c>
      <c r="P1252" s="5" t="str">
        <f>IFERROR(VLOOKUP(I1252,[1]INFO_LOCALES!$B:$F,5,FALSE),"")</f>
        <v/>
      </c>
      <c r="S1252" s="6"/>
      <c r="T1252" s="5" t="str">
        <f>UPPER(IF(Tabla2[[#This Row],[FECHA DE MUESTREO ]]=0,"",TEXT(Tabla2[[#This Row],[FECHA DE MUESTREO ]],("MMMM"))))</f>
        <v/>
      </c>
      <c r="U1252" s="6"/>
      <c r="W12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2" s="7">
        <f t="shared" si="39"/>
        <v>1</v>
      </c>
    </row>
    <row r="1253" spans="10:24" x14ac:dyDescent="0.25">
      <c r="J1253" s="5" t="str">
        <f>IFERROR(VLOOKUP(I1253,[1]INFO_LOCALES!$B:$C,2,FALSE),"")</f>
        <v/>
      </c>
      <c r="K1253" s="5" t="str">
        <f>IFERROR(VLOOKUP(Tabla2[[#This Row],[TIENDA]],[1]INFO_LOCALES!$B:$D,3,FALSE),"")</f>
        <v/>
      </c>
      <c r="L1253" s="5" t="str">
        <f>IFERROR(VLOOKUP(I1253,[1]INFO_LOCALES!$B:$I,8,FALSE),"")</f>
        <v/>
      </c>
      <c r="M1253" s="5" t="str">
        <f>IFERROR(VLOOKUP(I1253,[1]INFO_LOCALES!$B:$H,7,FALSE),"")</f>
        <v/>
      </c>
      <c r="N1253" s="5" t="str">
        <f>IFERROR(VLOOKUP(I1253,[1]INFO_LOCALES!$B:$E,4,FALSE),"")</f>
        <v/>
      </c>
      <c r="O1253" s="5" t="e">
        <f>VLOOKUP(Tabla2[[#This Row],[TIENDA]],[1]INFO_LOCALES!$B:$J,9,0)</f>
        <v>#N/A</v>
      </c>
      <c r="P1253" s="5" t="str">
        <f>IFERROR(VLOOKUP(I1253,[1]INFO_LOCALES!$B:$F,5,FALSE),"")</f>
        <v/>
      </c>
      <c r="S1253" s="6"/>
      <c r="T1253" s="5" t="str">
        <f>UPPER(IF(Tabla2[[#This Row],[FECHA DE MUESTREO ]]=0,"",TEXT(Tabla2[[#This Row],[FECHA DE MUESTREO ]],("MMMM"))))</f>
        <v/>
      </c>
      <c r="U1253" s="6"/>
      <c r="W12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3" s="7">
        <f t="shared" si="39"/>
        <v>1</v>
      </c>
    </row>
    <row r="1254" spans="10:24" x14ac:dyDescent="0.25">
      <c r="J1254" s="5" t="str">
        <f>IFERROR(VLOOKUP(I1254,[1]INFO_LOCALES!$B:$C,2,FALSE),"")</f>
        <v/>
      </c>
      <c r="K1254" s="5" t="str">
        <f>IFERROR(VLOOKUP(Tabla2[[#This Row],[TIENDA]],[1]INFO_LOCALES!$B:$D,3,FALSE),"")</f>
        <v/>
      </c>
      <c r="L1254" s="5" t="str">
        <f>IFERROR(VLOOKUP(I1254,[1]INFO_LOCALES!$B:$I,8,FALSE),"")</f>
        <v/>
      </c>
      <c r="M1254" s="5" t="str">
        <f>IFERROR(VLOOKUP(I1254,[1]INFO_LOCALES!$B:$H,7,FALSE),"")</f>
        <v/>
      </c>
      <c r="N1254" s="5" t="str">
        <f>IFERROR(VLOOKUP(I1254,[1]INFO_LOCALES!$B:$E,4,FALSE),"")</f>
        <v/>
      </c>
      <c r="O1254" s="5" t="e">
        <f>VLOOKUP(Tabla2[[#This Row],[TIENDA]],[1]INFO_LOCALES!$B:$J,9,0)</f>
        <v>#N/A</v>
      </c>
      <c r="P1254" s="5" t="str">
        <f>IFERROR(VLOOKUP(I1254,[1]INFO_LOCALES!$B:$F,5,FALSE),"")</f>
        <v/>
      </c>
      <c r="S1254" s="6"/>
      <c r="T1254" s="5" t="str">
        <f>UPPER(IF(Tabla2[[#This Row],[FECHA DE MUESTREO ]]=0,"",TEXT(Tabla2[[#This Row],[FECHA DE MUESTREO ]],("MMMM"))))</f>
        <v/>
      </c>
      <c r="U1254" s="6"/>
      <c r="W12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4" s="7">
        <f t="shared" ref="X1254:X1317" si="40">IF(W1254="CUMPLE",1,IF(W1254="CUMPLE CON TOLERANCIA",2,IF(W1254="NO CUMPLE",3)))</f>
        <v>1</v>
      </c>
    </row>
    <row r="1255" spans="10:24" x14ac:dyDescent="0.25">
      <c r="J1255" s="5" t="str">
        <f>IFERROR(VLOOKUP(I1255,[1]INFO_LOCALES!$B:$C,2,FALSE),"")</f>
        <v/>
      </c>
      <c r="K1255" s="5" t="str">
        <f>IFERROR(VLOOKUP(Tabla2[[#This Row],[TIENDA]],[1]INFO_LOCALES!$B:$D,3,FALSE),"")</f>
        <v/>
      </c>
      <c r="L1255" s="5" t="str">
        <f>IFERROR(VLOOKUP(I1255,[1]INFO_LOCALES!$B:$I,8,FALSE),"")</f>
        <v/>
      </c>
      <c r="M1255" s="5" t="str">
        <f>IFERROR(VLOOKUP(I1255,[1]INFO_LOCALES!$B:$H,7,FALSE),"")</f>
        <v/>
      </c>
      <c r="N1255" s="5" t="str">
        <f>IFERROR(VLOOKUP(I1255,[1]INFO_LOCALES!$B:$E,4,FALSE),"")</f>
        <v/>
      </c>
      <c r="O1255" s="5" t="e">
        <f>VLOOKUP(Tabla2[[#This Row],[TIENDA]],[1]INFO_LOCALES!$B:$J,9,0)</f>
        <v>#N/A</v>
      </c>
      <c r="P1255" s="5" t="str">
        <f>IFERROR(VLOOKUP(I1255,[1]INFO_LOCALES!$B:$F,5,FALSE),"")</f>
        <v/>
      </c>
      <c r="S1255" s="6"/>
      <c r="T1255" s="5" t="str">
        <f>UPPER(IF(Tabla2[[#This Row],[FECHA DE MUESTREO ]]=0,"",TEXT(Tabla2[[#This Row],[FECHA DE MUESTREO ]],("MMMM"))))</f>
        <v/>
      </c>
      <c r="U1255" s="6"/>
      <c r="W12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5" s="7">
        <f t="shared" si="40"/>
        <v>1</v>
      </c>
    </row>
    <row r="1256" spans="10:24" x14ac:dyDescent="0.25">
      <c r="J1256" s="5" t="str">
        <f>IFERROR(VLOOKUP(I1256,[1]INFO_LOCALES!$B:$C,2,FALSE),"")</f>
        <v/>
      </c>
      <c r="K1256" s="5" t="str">
        <f>IFERROR(VLOOKUP(Tabla2[[#This Row],[TIENDA]],[1]INFO_LOCALES!$B:$D,3,FALSE),"")</f>
        <v/>
      </c>
      <c r="L1256" s="5" t="str">
        <f>IFERROR(VLOOKUP(I1256,[1]INFO_LOCALES!$B:$I,8,FALSE),"")</f>
        <v/>
      </c>
      <c r="M1256" s="5" t="str">
        <f>IFERROR(VLOOKUP(I1256,[1]INFO_LOCALES!$B:$H,7,FALSE),"")</f>
        <v/>
      </c>
      <c r="N1256" s="5" t="str">
        <f>IFERROR(VLOOKUP(I1256,[1]INFO_LOCALES!$B:$E,4,FALSE),"")</f>
        <v/>
      </c>
      <c r="O1256" s="5" t="e">
        <f>VLOOKUP(Tabla2[[#This Row],[TIENDA]],[1]INFO_LOCALES!$B:$J,9,0)</f>
        <v>#N/A</v>
      </c>
      <c r="P1256" s="5" t="str">
        <f>IFERROR(VLOOKUP(I1256,[1]INFO_LOCALES!$B:$F,5,FALSE),"")</f>
        <v/>
      </c>
      <c r="S1256" s="6"/>
      <c r="T1256" s="5" t="str">
        <f>UPPER(IF(Tabla2[[#This Row],[FECHA DE MUESTREO ]]=0,"",TEXT(Tabla2[[#This Row],[FECHA DE MUESTREO ]],("MMMM"))))</f>
        <v/>
      </c>
      <c r="U1256" s="6"/>
      <c r="W12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6" s="7">
        <f t="shared" si="40"/>
        <v>1</v>
      </c>
    </row>
    <row r="1257" spans="10:24" x14ac:dyDescent="0.25">
      <c r="J1257" s="5" t="str">
        <f>IFERROR(VLOOKUP(I1257,[1]INFO_LOCALES!$B:$C,2,FALSE),"")</f>
        <v/>
      </c>
      <c r="K1257" s="5" t="str">
        <f>IFERROR(VLOOKUP(Tabla2[[#This Row],[TIENDA]],[1]INFO_LOCALES!$B:$D,3,FALSE),"")</f>
        <v/>
      </c>
      <c r="L1257" s="5" t="str">
        <f>IFERROR(VLOOKUP(I1257,[1]INFO_LOCALES!$B:$I,8,FALSE),"")</f>
        <v/>
      </c>
      <c r="M1257" s="5" t="str">
        <f>IFERROR(VLOOKUP(I1257,[1]INFO_LOCALES!$B:$H,7,FALSE),"")</f>
        <v/>
      </c>
      <c r="N1257" s="5" t="str">
        <f>IFERROR(VLOOKUP(I1257,[1]INFO_LOCALES!$B:$E,4,FALSE),"")</f>
        <v/>
      </c>
      <c r="O1257" s="5" t="e">
        <f>VLOOKUP(Tabla2[[#This Row],[TIENDA]],[1]INFO_LOCALES!$B:$J,9,0)</f>
        <v>#N/A</v>
      </c>
      <c r="P1257" s="5" t="str">
        <f>IFERROR(VLOOKUP(I1257,[1]INFO_LOCALES!$B:$F,5,FALSE),"")</f>
        <v/>
      </c>
      <c r="S1257" s="6"/>
      <c r="T1257" s="5" t="str">
        <f>UPPER(IF(Tabla2[[#This Row],[FECHA DE MUESTREO ]]=0,"",TEXT(Tabla2[[#This Row],[FECHA DE MUESTREO ]],("MMMM"))))</f>
        <v/>
      </c>
      <c r="U1257" s="6"/>
      <c r="W12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7" s="7">
        <f t="shared" si="40"/>
        <v>1</v>
      </c>
    </row>
    <row r="1258" spans="10:24" x14ac:dyDescent="0.25">
      <c r="J1258" s="5" t="str">
        <f>IFERROR(VLOOKUP(I1258,[1]INFO_LOCALES!$B:$C,2,FALSE),"")</f>
        <v/>
      </c>
      <c r="K1258" s="5" t="str">
        <f>IFERROR(VLOOKUP(Tabla2[[#This Row],[TIENDA]],[1]INFO_LOCALES!$B:$D,3,FALSE),"")</f>
        <v/>
      </c>
      <c r="L1258" s="5" t="str">
        <f>IFERROR(VLOOKUP(I1258,[1]INFO_LOCALES!$B:$I,8,FALSE),"")</f>
        <v/>
      </c>
      <c r="M1258" s="5" t="str">
        <f>IFERROR(VLOOKUP(I1258,[1]INFO_LOCALES!$B:$H,7,FALSE),"")</f>
        <v/>
      </c>
      <c r="N1258" s="5" t="str">
        <f>IFERROR(VLOOKUP(I1258,[1]INFO_LOCALES!$B:$E,4,FALSE),"")</f>
        <v/>
      </c>
      <c r="O1258" s="5" t="e">
        <f>VLOOKUP(Tabla2[[#This Row],[TIENDA]],[1]INFO_LOCALES!$B:$J,9,0)</f>
        <v>#N/A</v>
      </c>
      <c r="P1258" s="5" t="str">
        <f>IFERROR(VLOOKUP(I1258,[1]INFO_LOCALES!$B:$F,5,FALSE),"")</f>
        <v/>
      </c>
      <c r="S1258" s="6"/>
      <c r="T1258" s="5" t="str">
        <f>UPPER(IF(Tabla2[[#This Row],[FECHA DE MUESTREO ]]=0,"",TEXT(Tabla2[[#This Row],[FECHA DE MUESTREO ]],("MMMM"))))</f>
        <v/>
      </c>
      <c r="U1258" s="6"/>
      <c r="W12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8" s="7">
        <f t="shared" si="40"/>
        <v>1</v>
      </c>
    </row>
    <row r="1259" spans="10:24" x14ac:dyDescent="0.25">
      <c r="J1259" s="5" t="str">
        <f>IFERROR(VLOOKUP(I1259,[1]INFO_LOCALES!$B:$C,2,FALSE),"")</f>
        <v/>
      </c>
      <c r="K1259" s="5" t="str">
        <f>IFERROR(VLOOKUP(Tabla2[[#This Row],[TIENDA]],[1]INFO_LOCALES!$B:$D,3,FALSE),"")</f>
        <v/>
      </c>
      <c r="L1259" s="5" t="str">
        <f>IFERROR(VLOOKUP(I1259,[1]INFO_LOCALES!$B:$I,8,FALSE),"")</f>
        <v/>
      </c>
      <c r="M1259" s="5" t="str">
        <f>IFERROR(VLOOKUP(I1259,[1]INFO_LOCALES!$B:$H,7,FALSE),"")</f>
        <v/>
      </c>
      <c r="N1259" s="5" t="str">
        <f>IFERROR(VLOOKUP(I1259,[1]INFO_LOCALES!$B:$E,4,FALSE),"")</f>
        <v/>
      </c>
      <c r="O1259" s="5" t="e">
        <f>VLOOKUP(Tabla2[[#This Row],[TIENDA]],[1]INFO_LOCALES!$B:$J,9,0)</f>
        <v>#N/A</v>
      </c>
      <c r="P1259" s="5" t="str">
        <f>IFERROR(VLOOKUP(I1259,[1]INFO_LOCALES!$B:$F,5,FALSE),"")</f>
        <v/>
      </c>
      <c r="S1259" s="6"/>
      <c r="T1259" s="5" t="str">
        <f>UPPER(IF(Tabla2[[#This Row],[FECHA DE MUESTREO ]]=0,"",TEXT(Tabla2[[#This Row],[FECHA DE MUESTREO ]],("MMMM"))))</f>
        <v/>
      </c>
      <c r="U1259" s="6"/>
      <c r="W12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59" s="7">
        <f t="shared" si="40"/>
        <v>1</v>
      </c>
    </row>
    <row r="1260" spans="10:24" x14ac:dyDescent="0.25">
      <c r="J1260" s="5" t="str">
        <f>IFERROR(VLOOKUP(I1260,[1]INFO_LOCALES!$B:$C,2,FALSE),"")</f>
        <v/>
      </c>
      <c r="K1260" s="5" t="str">
        <f>IFERROR(VLOOKUP(Tabla2[[#This Row],[TIENDA]],[1]INFO_LOCALES!$B:$D,3,FALSE),"")</f>
        <v/>
      </c>
      <c r="L1260" s="5" t="str">
        <f>IFERROR(VLOOKUP(I1260,[1]INFO_LOCALES!$B:$I,8,FALSE),"")</f>
        <v/>
      </c>
      <c r="M1260" s="5" t="str">
        <f>IFERROR(VLOOKUP(I1260,[1]INFO_LOCALES!$B:$H,7,FALSE),"")</f>
        <v/>
      </c>
      <c r="N1260" s="5" t="str">
        <f>IFERROR(VLOOKUP(I1260,[1]INFO_LOCALES!$B:$E,4,FALSE),"")</f>
        <v/>
      </c>
      <c r="O1260" s="5" t="e">
        <f>VLOOKUP(Tabla2[[#This Row],[TIENDA]],[1]INFO_LOCALES!$B:$J,9,0)</f>
        <v>#N/A</v>
      </c>
      <c r="P1260" s="5" t="str">
        <f>IFERROR(VLOOKUP(I1260,[1]INFO_LOCALES!$B:$F,5,FALSE),"")</f>
        <v/>
      </c>
      <c r="S1260" s="6"/>
      <c r="T1260" s="5" t="str">
        <f>UPPER(IF(Tabla2[[#This Row],[FECHA DE MUESTREO ]]=0,"",TEXT(Tabla2[[#This Row],[FECHA DE MUESTREO ]],("MMMM"))))</f>
        <v/>
      </c>
      <c r="U1260" s="6"/>
      <c r="W12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0" s="7">
        <f t="shared" si="40"/>
        <v>1</v>
      </c>
    </row>
    <row r="1261" spans="10:24" x14ac:dyDescent="0.25">
      <c r="J1261" s="5" t="str">
        <f>IFERROR(VLOOKUP(I1261,[1]INFO_LOCALES!$B:$C,2,FALSE),"")</f>
        <v/>
      </c>
      <c r="K1261" s="5" t="str">
        <f>IFERROR(VLOOKUP(Tabla2[[#This Row],[TIENDA]],[1]INFO_LOCALES!$B:$D,3,FALSE),"")</f>
        <v/>
      </c>
      <c r="L1261" s="5" t="str">
        <f>IFERROR(VLOOKUP(I1261,[1]INFO_LOCALES!$B:$I,8,FALSE),"")</f>
        <v/>
      </c>
      <c r="M1261" s="5" t="str">
        <f>IFERROR(VLOOKUP(I1261,[1]INFO_LOCALES!$B:$H,7,FALSE),"")</f>
        <v/>
      </c>
      <c r="N1261" s="5" t="str">
        <f>IFERROR(VLOOKUP(I1261,[1]INFO_LOCALES!$B:$E,4,FALSE),"")</f>
        <v/>
      </c>
      <c r="O1261" s="5" t="e">
        <f>VLOOKUP(Tabla2[[#This Row],[TIENDA]],[1]INFO_LOCALES!$B:$J,9,0)</f>
        <v>#N/A</v>
      </c>
      <c r="P1261" s="5" t="str">
        <f>IFERROR(VLOOKUP(I1261,[1]INFO_LOCALES!$B:$F,5,FALSE),"")</f>
        <v/>
      </c>
      <c r="S1261" s="6"/>
      <c r="T1261" s="5" t="str">
        <f>UPPER(IF(Tabla2[[#This Row],[FECHA DE MUESTREO ]]=0,"",TEXT(Tabla2[[#This Row],[FECHA DE MUESTREO ]],("MMMM"))))</f>
        <v/>
      </c>
      <c r="U1261" s="6"/>
      <c r="W12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1" s="7">
        <f t="shared" si="40"/>
        <v>1</v>
      </c>
    </row>
    <row r="1262" spans="10:24" x14ac:dyDescent="0.25">
      <c r="J1262" s="5" t="str">
        <f>IFERROR(VLOOKUP(I1262,[1]INFO_LOCALES!$B:$C,2,FALSE),"")</f>
        <v/>
      </c>
      <c r="K1262" s="5" t="str">
        <f>IFERROR(VLOOKUP(Tabla2[[#This Row],[TIENDA]],[1]INFO_LOCALES!$B:$D,3,FALSE),"")</f>
        <v/>
      </c>
      <c r="L1262" s="5" t="str">
        <f>IFERROR(VLOOKUP(I1262,[1]INFO_LOCALES!$B:$I,8,FALSE),"")</f>
        <v/>
      </c>
      <c r="M1262" s="5" t="str">
        <f>IFERROR(VLOOKUP(I1262,[1]INFO_LOCALES!$B:$H,7,FALSE),"")</f>
        <v/>
      </c>
      <c r="N1262" s="5" t="str">
        <f>IFERROR(VLOOKUP(I1262,[1]INFO_LOCALES!$B:$E,4,FALSE),"")</f>
        <v/>
      </c>
      <c r="O1262" s="5" t="e">
        <f>VLOOKUP(Tabla2[[#This Row],[TIENDA]],[1]INFO_LOCALES!$B:$J,9,0)</f>
        <v>#N/A</v>
      </c>
      <c r="P1262" s="5" t="str">
        <f>IFERROR(VLOOKUP(I1262,[1]INFO_LOCALES!$B:$F,5,FALSE),"")</f>
        <v/>
      </c>
      <c r="S1262" s="6"/>
      <c r="T1262" s="5" t="str">
        <f>UPPER(IF(Tabla2[[#This Row],[FECHA DE MUESTREO ]]=0,"",TEXT(Tabla2[[#This Row],[FECHA DE MUESTREO ]],("MMMM"))))</f>
        <v/>
      </c>
      <c r="U1262" s="6"/>
      <c r="W12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2" s="7">
        <f t="shared" si="40"/>
        <v>1</v>
      </c>
    </row>
    <row r="1263" spans="10:24" x14ac:dyDescent="0.25">
      <c r="J1263" s="5" t="str">
        <f>IFERROR(VLOOKUP(I1263,[1]INFO_LOCALES!$B:$C,2,FALSE),"")</f>
        <v/>
      </c>
      <c r="K1263" s="5" t="str">
        <f>IFERROR(VLOOKUP(Tabla2[[#This Row],[TIENDA]],[1]INFO_LOCALES!$B:$D,3,FALSE),"")</f>
        <v/>
      </c>
      <c r="L1263" s="5" t="str">
        <f>IFERROR(VLOOKUP(I1263,[1]INFO_LOCALES!$B:$I,8,FALSE),"")</f>
        <v/>
      </c>
      <c r="M1263" s="5" t="str">
        <f>IFERROR(VLOOKUP(I1263,[1]INFO_LOCALES!$B:$H,7,FALSE),"")</f>
        <v/>
      </c>
      <c r="N1263" s="5" t="str">
        <f>IFERROR(VLOOKUP(I1263,[1]INFO_LOCALES!$B:$E,4,FALSE),"")</f>
        <v/>
      </c>
      <c r="O1263" s="5" t="e">
        <f>VLOOKUP(Tabla2[[#This Row],[TIENDA]],[1]INFO_LOCALES!$B:$J,9,0)</f>
        <v>#N/A</v>
      </c>
      <c r="P1263" s="5" t="str">
        <f>IFERROR(VLOOKUP(I1263,[1]INFO_LOCALES!$B:$F,5,FALSE),"")</f>
        <v/>
      </c>
      <c r="S1263" s="6"/>
      <c r="T1263" s="5" t="str">
        <f>UPPER(IF(Tabla2[[#This Row],[FECHA DE MUESTREO ]]=0,"",TEXT(Tabla2[[#This Row],[FECHA DE MUESTREO ]],("MMMM"))))</f>
        <v/>
      </c>
      <c r="U1263" s="6"/>
      <c r="W12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3" s="7">
        <f t="shared" si="40"/>
        <v>1</v>
      </c>
    </row>
    <row r="1264" spans="10:24" x14ac:dyDescent="0.25">
      <c r="J1264" s="5" t="str">
        <f>IFERROR(VLOOKUP(I1264,[1]INFO_LOCALES!$B:$C,2,FALSE),"")</f>
        <v/>
      </c>
      <c r="K1264" s="5" t="str">
        <f>IFERROR(VLOOKUP(Tabla2[[#This Row],[TIENDA]],[1]INFO_LOCALES!$B:$D,3,FALSE),"")</f>
        <v/>
      </c>
      <c r="L1264" s="5" t="str">
        <f>IFERROR(VLOOKUP(I1264,[1]INFO_LOCALES!$B:$I,8,FALSE),"")</f>
        <v/>
      </c>
      <c r="M1264" s="5" t="str">
        <f>IFERROR(VLOOKUP(I1264,[1]INFO_LOCALES!$B:$H,7,FALSE),"")</f>
        <v/>
      </c>
      <c r="N1264" s="5" t="str">
        <f>IFERROR(VLOOKUP(I1264,[1]INFO_LOCALES!$B:$E,4,FALSE),"")</f>
        <v/>
      </c>
      <c r="O1264" s="5" t="e">
        <f>VLOOKUP(Tabla2[[#This Row],[TIENDA]],[1]INFO_LOCALES!$B:$J,9,0)</f>
        <v>#N/A</v>
      </c>
      <c r="P1264" s="5" t="str">
        <f>IFERROR(VLOOKUP(I1264,[1]INFO_LOCALES!$B:$F,5,FALSE),"")</f>
        <v/>
      </c>
      <c r="S1264" s="6"/>
      <c r="T1264" s="5" t="str">
        <f>UPPER(IF(Tabla2[[#This Row],[FECHA DE MUESTREO ]]=0,"",TEXT(Tabla2[[#This Row],[FECHA DE MUESTREO ]],("MMMM"))))</f>
        <v/>
      </c>
      <c r="U1264" s="6"/>
      <c r="W12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4" s="7">
        <f t="shared" si="40"/>
        <v>1</v>
      </c>
    </row>
    <row r="1265" spans="10:24" x14ac:dyDescent="0.25">
      <c r="J1265" s="5" t="str">
        <f>IFERROR(VLOOKUP(I1265,[1]INFO_LOCALES!$B:$C,2,FALSE),"")</f>
        <v/>
      </c>
      <c r="K1265" s="5" t="str">
        <f>IFERROR(VLOOKUP(Tabla2[[#This Row],[TIENDA]],[1]INFO_LOCALES!$B:$D,3,FALSE),"")</f>
        <v/>
      </c>
      <c r="L1265" s="5" t="str">
        <f>IFERROR(VLOOKUP(I1265,[1]INFO_LOCALES!$B:$I,8,FALSE),"")</f>
        <v/>
      </c>
      <c r="M1265" s="5" t="str">
        <f>IFERROR(VLOOKUP(I1265,[1]INFO_LOCALES!$B:$H,7,FALSE),"")</f>
        <v/>
      </c>
      <c r="N1265" s="5" t="str">
        <f>IFERROR(VLOOKUP(I1265,[1]INFO_LOCALES!$B:$E,4,FALSE),"")</f>
        <v/>
      </c>
      <c r="O1265" s="5" t="e">
        <f>VLOOKUP(Tabla2[[#This Row],[TIENDA]],[1]INFO_LOCALES!$B:$J,9,0)</f>
        <v>#N/A</v>
      </c>
      <c r="P1265" s="5" t="str">
        <f>IFERROR(VLOOKUP(I1265,[1]INFO_LOCALES!$B:$F,5,FALSE),"")</f>
        <v/>
      </c>
      <c r="S1265" s="6"/>
      <c r="T1265" s="5" t="str">
        <f>UPPER(IF(Tabla2[[#This Row],[FECHA DE MUESTREO ]]=0,"",TEXT(Tabla2[[#This Row],[FECHA DE MUESTREO ]],("MMMM"))))</f>
        <v/>
      </c>
      <c r="U1265" s="6"/>
      <c r="W12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5" s="7">
        <f t="shared" si="40"/>
        <v>1</v>
      </c>
    </row>
    <row r="1266" spans="10:24" x14ac:dyDescent="0.25">
      <c r="J1266" s="5" t="str">
        <f>IFERROR(VLOOKUP(I1266,[1]INFO_LOCALES!$B:$C,2,FALSE),"")</f>
        <v/>
      </c>
      <c r="K1266" s="5" t="str">
        <f>IFERROR(VLOOKUP(Tabla2[[#This Row],[TIENDA]],[1]INFO_LOCALES!$B:$D,3,FALSE),"")</f>
        <v/>
      </c>
      <c r="L1266" s="5" t="str">
        <f>IFERROR(VLOOKUP(I1266,[1]INFO_LOCALES!$B:$I,8,FALSE),"")</f>
        <v/>
      </c>
      <c r="M1266" s="5" t="str">
        <f>IFERROR(VLOOKUP(I1266,[1]INFO_LOCALES!$B:$H,7,FALSE),"")</f>
        <v/>
      </c>
      <c r="N1266" s="5" t="str">
        <f>IFERROR(VLOOKUP(I1266,[1]INFO_LOCALES!$B:$E,4,FALSE),"")</f>
        <v/>
      </c>
      <c r="O1266" s="5" t="e">
        <f>VLOOKUP(Tabla2[[#This Row],[TIENDA]],[1]INFO_LOCALES!$B:$J,9,0)</f>
        <v>#N/A</v>
      </c>
      <c r="P1266" s="5" t="str">
        <f>IFERROR(VLOOKUP(I1266,[1]INFO_LOCALES!$B:$F,5,FALSE),"")</f>
        <v/>
      </c>
      <c r="S1266" s="6"/>
      <c r="T1266" s="5" t="str">
        <f>UPPER(IF(Tabla2[[#This Row],[FECHA DE MUESTREO ]]=0,"",TEXT(Tabla2[[#This Row],[FECHA DE MUESTREO ]],("MMMM"))))</f>
        <v/>
      </c>
      <c r="U1266" s="6"/>
      <c r="W12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6" s="7">
        <f t="shared" si="40"/>
        <v>1</v>
      </c>
    </row>
    <row r="1267" spans="10:24" x14ac:dyDescent="0.25">
      <c r="J1267" s="5" t="str">
        <f>IFERROR(VLOOKUP(I1267,[1]INFO_LOCALES!$B:$C,2,FALSE),"")</f>
        <v/>
      </c>
      <c r="K1267" s="5" t="str">
        <f>IFERROR(VLOOKUP(Tabla2[[#This Row],[TIENDA]],[1]INFO_LOCALES!$B:$D,3,FALSE),"")</f>
        <v/>
      </c>
      <c r="L1267" s="5" t="str">
        <f>IFERROR(VLOOKUP(I1267,[1]INFO_LOCALES!$B:$I,8,FALSE),"")</f>
        <v/>
      </c>
      <c r="M1267" s="5" t="str">
        <f>IFERROR(VLOOKUP(I1267,[1]INFO_LOCALES!$B:$H,7,FALSE),"")</f>
        <v/>
      </c>
      <c r="N1267" s="5" t="str">
        <f>IFERROR(VLOOKUP(I1267,[1]INFO_LOCALES!$B:$E,4,FALSE),"")</f>
        <v/>
      </c>
      <c r="O1267" s="5" t="e">
        <f>VLOOKUP(Tabla2[[#This Row],[TIENDA]],[1]INFO_LOCALES!$B:$J,9,0)</f>
        <v>#N/A</v>
      </c>
      <c r="P1267" s="5" t="str">
        <f>IFERROR(VLOOKUP(I1267,[1]INFO_LOCALES!$B:$F,5,FALSE),"")</f>
        <v/>
      </c>
      <c r="S1267" s="6"/>
      <c r="T1267" s="5" t="str">
        <f>UPPER(IF(Tabla2[[#This Row],[FECHA DE MUESTREO ]]=0,"",TEXT(Tabla2[[#This Row],[FECHA DE MUESTREO ]],("MMMM"))))</f>
        <v/>
      </c>
      <c r="U1267" s="6"/>
      <c r="W12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7" s="7">
        <f t="shared" si="40"/>
        <v>1</v>
      </c>
    </row>
    <row r="1268" spans="10:24" x14ac:dyDescent="0.25">
      <c r="J1268" s="5" t="str">
        <f>IFERROR(VLOOKUP(I1268,[1]INFO_LOCALES!$B:$C,2,FALSE),"")</f>
        <v/>
      </c>
      <c r="K1268" s="5" t="str">
        <f>IFERROR(VLOOKUP(Tabla2[[#This Row],[TIENDA]],[1]INFO_LOCALES!$B:$D,3,FALSE),"")</f>
        <v/>
      </c>
      <c r="L1268" s="5" t="str">
        <f>IFERROR(VLOOKUP(I1268,[1]INFO_LOCALES!$B:$I,8,FALSE),"")</f>
        <v/>
      </c>
      <c r="M1268" s="5" t="str">
        <f>IFERROR(VLOOKUP(I1268,[1]INFO_LOCALES!$B:$H,7,FALSE),"")</f>
        <v/>
      </c>
      <c r="N1268" s="5" t="str">
        <f>IFERROR(VLOOKUP(I1268,[1]INFO_LOCALES!$B:$E,4,FALSE),"")</f>
        <v/>
      </c>
      <c r="O1268" s="5" t="e">
        <f>VLOOKUP(Tabla2[[#This Row],[TIENDA]],[1]INFO_LOCALES!$B:$J,9,0)</f>
        <v>#N/A</v>
      </c>
      <c r="P1268" s="5" t="str">
        <f>IFERROR(VLOOKUP(I1268,[1]INFO_LOCALES!$B:$F,5,FALSE),"")</f>
        <v/>
      </c>
      <c r="S1268" s="6"/>
      <c r="T1268" s="5" t="str">
        <f>UPPER(IF(Tabla2[[#This Row],[FECHA DE MUESTREO ]]=0,"",TEXT(Tabla2[[#This Row],[FECHA DE MUESTREO ]],("MMMM"))))</f>
        <v/>
      </c>
      <c r="U1268" s="6"/>
      <c r="W12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8" s="7">
        <f t="shared" si="40"/>
        <v>1</v>
      </c>
    </row>
    <row r="1269" spans="10:24" x14ac:dyDescent="0.25">
      <c r="J1269" s="5" t="str">
        <f>IFERROR(VLOOKUP(I1269,[1]INFO_LOCALES!$B:$C,2,FALSE),"")</f>
        <v/>
      </c>
      <c r="K1269" s="5" t="str">
        <f>IFERROR(VLOOKUP(Tabla2[[#This Row],[TIENDA]],[1]INFO_LOCALES!$B:$D,3,FALSE),"")</f>
        <v/>
      </c>
      <c r="L1269" s="5" t="str">
        <f>IFERROR(VLOOKUP(I1269,[1]INFO_LOCALES!$B:$I,8,FALSE),"")</f>
        <v/>
      </c>
      <c r="M1269" s="5" t="str">
        <f>IFERROR(VLOOKUP(I1269,[1]INFO_LOCALES!$B:$H,7,FALSE),"")</f>
        <v/>
      </c>
      <c r="N1269" s="5" t="str">
        <f>IFERROR(VLOOKUP(I1269,[1]INFO_LOCALES!$B:$E,4,FALSE),"")</f>
        <v/>
      </c>
      <c r="O1269" s="5" t="e">
        <f>VLOOKUP(Tabla2[[#This Row],[TIENDA]],[1]INFO_LOCALES!$B:$J,9,0)</f>
        <v>#N/A</v>
      </c>
      <c r="P1269" s="5" t="str">
        <f>IFERROR(VLOOKUP(I1269,[1]INFO_LOCALES!$B:$F,5,FALSE),"")</f>
        <v/>
      </c>
      <c r="S1269" s="6"/>
      <c r="T1269" s="5" t="str">
        <f>UPPER(IF(Tabla2[[#This Row],[FECHA DE MUESTREO ]]=0,"",TEXT(Tabla2[[#This Row],[FECHA DE MUESTREO ]],("MMMM"))))</f>
        <v/>
      </c>
      <c r="U1269" s="6"/>
      <c r="W12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69" s="7">
        <f t="shared" si="40"/>
        <v>1</v>
      </c>
    </row>
    <row r="1270" spans="10:24" x14ac:dyDescent="0.25">
      <c r="J1270" s="5" t="str">
        <f>IFERROR(VLOOKUP(I1270,[1]INFO_LOCALES!$B:$C,2,FALSE),"")</f>
        <v/>
      </c>
      <c r="K1270" s="5" t="str">
        <f>IFERROR(VLOOKUP(Tabla2[[#This Row],[TIENDA]],[1]INFO_LOCALES!$B:$D,3,FALSE),"")</f>
        <v/>
      </c>
      <c r="L1270" s="5" t="str">
        <f>IFERROR(VLOOKUP(I1270,[1]INFO_LOCALES!$B:$I,8,FALSE),"")</f>
        <v/>
      </c>
      <c r="M1270" s="5" t="str">
        <f>IFERROR(VLOOKUP(I1270,[1]INFO_LOCALES!$B:$H,7,FALSE),"")</f>
        <v/>
      </c>
      <c r="N1270" s="5" t="str">
        <f>IFERROR(VLOOKUP(I1270,[1]INFO_LOCALES!$B:$E,4,FALSE),"")</f>
        <v/>
      </c>
      <c r="O1270" s="5" t="e">
        <f>VLOOKUP(Tabla2[[#This Row],[TIENDA]],[1]INFO_LOCALES!$B:$J,9,0)</f>
        <v>#N/A</v>
      </c>
      <c r="P1270" s="5" t="str">
        <f>IFERROR(VLOOKUP(I1270,[1]INFO_LOCALES!$B:$F,5,FALSE),"")</f>
        <v/>
      </c>
      <c r="S1270" s="6"/>
      <c r="T1270" s="5" t="str">
        <f>UPPER(IF(Tabla2[[#This Row],[FECHA DE MUESTREO ]]=0,"",TEXT(Tabla2[[#This Row],[FECHA DE MUESTREO ]],("MMMM"))))</f>
        <v/>
      </c>
      <c r="U1270" s="6"/>
      <c r="W12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0" s="7">
        <f t="shared" si="40"/>
        <v>1</v>
      </c>
    </row>
    <row r="1271" spans="10:24" x14ac:dyDescent="0.25">
      <c r="J1271" s="5" t="str">
        <f>IFERROR(VLOOKUP(I1271,[1]INFO_LOCALES!$B:$C,2,FALSE),"")</f>
        <v/>
      </c>
      <c r="K1271" s="5" t="str">
        <f>IFERROR(VLOOKUP(Tabla2[[#This Row],[TIENDA]],[1]INFO_LOCALES!$B:$D,3,FALSE),"")</f>
        <v/>
      </c>
      <c r="L1271" s="5" t="str">
        <f>IFERROR(VLOOKUP(I1271,[1]INFO_LOCALES!$B:$I,8,FALSE),"")</f>
        <v/>
      </c>
      <c r="M1271" s="5" t="str">
        <f>IFERROR(VLOOKUP(I1271,[1]INFO_LOCALES!$B:$H,7,FALSE),"")</f>
        <v/>
      </c>
      <c r="N1271" s="5" t="str">
        <f>IFERROR(VLOOKUP(I1271,[1]INFO_LOCALES!$B:$E,4,FALSE),"")</f>
        <v/>
      </c>
      <c r="O1271" s="5" t="e">
        <f>VLOOKUP(Tabla2[[#This Row],[TIENDA]],[1]INFO_LOCALES!$B:$J,9,0)</f>
        <v>#N/A</v>
      </c>
      <c r="P1271" s="5" t="str">
        <f>IFERROR(VLOOKUP(I1271,[1]INFO_LOCALES!$B:$F,5,FALSE),"")</f>
        <v/>
      </c>
      <c r="S1271" s="6"/>
      <c r="T1271" s="5" t="str">
        <f>UPPER(IF(Tabla2[[#This Row],[FECHA DE MUESTREO ]]=0,"",TEXT(Tabla2[[#This Row],[FECHA DE MUESTREO ]],("MMMM"))))</f>
        <v/>
      </c>
      <c r="U1271" s="6"/>
      <c r="W12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1" s="7">
        <f t="shared" si="40"/>
        <v>1</v>
      </c>
    </row>
    <row r="1272" spans="10:24" x14ac:dyDescent="0.25">
      <c r="J1272" s="5" t="str">
        <f>IFERROR(VLOOKUP(I1272,[1]INFO_LOCALES!$B:$C,2,FALSE),"")</f>
        <v/>
      </c>
      <c r="K1272" s="5" t="str">
        <f>IFERROR(VLOOKUP(Tabla2[[#This Row],[TIENDA]],[1]INFO_LOCALES!$B:$D,3,FALSE),"")</f>
        <v/>
      </c>
      <c r="L1272" s="5" t="str">
        <f>IFERROR(VLOOKUP(I1272,[1]INFO_LOCALES!$B:$I,8,FALSE),"")</f>
        <v/>
      </c>
      <c r="M1272" s="5" t="str">
        <f>IFERROR(VLOOKUP(I1272,[1]INFO_LOCALES!$B:$H,7,FALSE),"")</f>
        <v/>
      </c>
      <c r="N1272" s="5" t="str">
        <f>IFERROR(VLOOKUP(I1272,[1]INFO_LOCALES!$B:$E,4,FALSE),"")</f>
        <v/>
      </c>
      <c r="O1272" s="5" t="e">
        <f>VLOOKUP(Tabla2[[#This Row],[TIENDA]],[1]INFO_LOCALES!$B:$J,9,0)</f>
        <v>#N/A</v>
      </c>
      <c r="P1272" s="5" t="str">
        <f>IFERROR(VLOOKUP(I1272,[1]INFO_LOCALES!$B:$F,5,FALSE),"")</f>
        <v/>
      </c>
      <c r="S1272" s="6"/>
      <c r="T1272" s="5" t="str">
        <f>UPPER(IF(Tabla2[[#This Row],[FECHA DE MUESTREO ]]=0,"",TEXT(Tabla2[[#This Row],[FECHA DE MUESTREO ]],("MMMM"))))</f>
        <v/>
      </c>
      <c r="U1272" s="6"/>
      <c r="W12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2" s="7">
        <f t="shared" si="40"/>
        <v>1</v>
      </c>
    </row>
    <row r="1273" spans="10:24" x14ac:dyDescent="0.25">
      <c r="J1273" s="5" t="str">
        <f>IFERROR(VLOOKUP(I1273,[1]INFO_LOCALES!$B:$C,2,FALSE),"")</f>
        <v/>
      </c>
      <c r="K1273" s="5" t="str">
        <f>IFERROR(VLOOKUP(Tabla2[[#This Row],[TIENDA]],[1]INFO_LOCALES!$B:$D,3,FALSE),"")</f>
        <v/>
      </c>
      <c r="L1273" s="5" t="str">
        <f>IFERROR(VLOOKUP(I1273,[1]INFO_LOCALES!$B:$I,8,FALSE),"")</f>
        <v/>
      </c>
      <c r="M1273" s="5" t="str">
        <f>IFERROR(VLOOKUP(I1273,[1]INFO_LOCALES!$B:$H,7,FALSE),"")</f>
        <v/>
      </c>
      <c r="N1273" s="5" t="str">
        <f>IFERROR(VLOOKUP(I1273,[1]INFO_LOCALES!$B:$E,4,FALSE),"")</f>
        <v/>
      </c>
      <c r="O1273" s="5" t="e">
        <f>VLOOKUP(Tabla2[[#This Row],[TIENDA]],[1]INFO_LOCALES!$B:$J,9,0)</f>
        <v>#N/A</v>
      </c>
      <c r="P1273" s="5" t="str">
        <f>IFERROR(VLOOKUP(I1273,[1]INFO_LOCALES!$B:$F,5,FALSE),"")</f>
        <v/>
      </c>
      <c r="S1273" s="6"/>
      <c r="T1273" s="5" t="str">
        <f>UPPER(IF(Tabla2[[#This Row],[FECHA DE MUESTREO ]]=0,"",TEXT(Tabla2[[#This Row],[FECHA DE MUESTREO ]],("MMMM"))))</f>
        <v/>
      </c>
      <c r="U1273" s="6"/>
      <c r="W12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3" s="7">
        <f t="shared" si="40"/>
        <v>1</v>
      </c>
    </row>
    <row r="1274" spans="10:24" x14ac:dyDescent="0.25">
      <c r="J1274" s="5" t="str">
        <f>IFERROR(VLOOKUP(I1274,[1]INFO_LOCALES!$B:$C,2,FALSE),"")</f>
        <v/>
      </c>
      <c r="K1274" s="5" t="str">
        <f>IFERROR(VLOOKUP(Tabla2[[#This Row],[TIENDA]],[1]INFO_LOCALES!$B:$D,3,FALSE),"")</f>
        <v/>
      </c>
      <c r="L1274" s="5" t="str">
        <f>IFERROR(VLOOKUP(I1274,[1]INFO_LOCALES!$B:$I,8,FALSE),"")</f>
        <v/>
      </c>
      <c r="M1274" s="5" t="str">
        <f>IFERROR(VLOOKUP(I1274,[1]INFO_LOCALES!$B:$H,7,FALSE),"")</f>
        <v/>
      </c>
      <c r="N1274" s="5" t="str">
        <f>IFERROR(VLOOKUP(I1274,[1]INFO_LOCALES!$B:$E,4,FALSE),"")</f>
        <v/>
      </c>
      <c r="O1274" s="5" t="e">
        <f>VLOOKUP(Tabla2[[#This Row],[TIENDA]],[1]INFO_LOCALES!$B:$J,9,0)</f>
        <v>#N/A</v>
      </c>
      <c r="P1274" s="5" t="str">
        <f>IFERROR(VLOOKUP(I1274,[1]INFO_LOCALES!$B:$F,5,FALSE),"")</f>
        <v/>
      </c>
      <c r="S1274" s="6"/>
      <c r="T1274" s="5" t="str">
        <f>UPPER(IF(Tabla2[[#This Row],[FECHA DE MUESTREO ]]=0,"",TEXT(Tabla2[[#This Row],[FECHA DE MUESTREO ]],("MMMM"))))</f>
        <v/>
      </c>
      <c r="U1274" s="6"/>
      <c r="W12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4" s="7">
        <f t="shared" si="40"/>
        <v>1</v>
      </c>
    </row>
    <row r="1275" spans="10:24" x14ac:dyDescent="0.25">
      <c r="J1275" s="5" t="str">
        <f>IFERROR(VLOOKUP(I1275,[1]INFO_LOCALES!$B:$C,2,FALSE),"")</f>
        <v/>
      </c>
      <c r="K1275" s="5" t="str">
        <f>IFERROR(VLOOKUP(Tabla2[[#This Row],[TIENDA]],[1]INFO_LOCALES!$B:$D,3,FALSE),"")</f>
        <v/>
      </c>
      <c r="L1275" s="5" t="str">
        <f>IFERROR(VLOOKUP(I1275,[1]INFO_LOCALES!$B:$I,8,FALSE),"")</f>
        <v/>
      </c>
      <c r="M1275" s="5" t="str">
        <f>IFERROR(VLOOKUP(I1275,[1]INFO_LOCALES!$B:$H,7,FALSE),"")</f>
        <v/>
      </c>
      <c r="N1275" s="5" t="str">
        <f>IFERROR(VLOOKUP(I1275,[1]INFO_LOCALES!$B:$E,4,FALSE),"")</f>
        <v/>
      </c>
      <c r="O1275" s="5" t="e">
        <f>VLOOKUP(Tabla2[[#This Row],[TIENDA]],[1]INFO_LOCALES!$B:$J,9,0)</f>
        <v>#N/A</v>
      </c>
      <c r="P1275" s="5" t="str">
        <f>IFERROR(VLOOKUP(I1275,[1]INFO_LOCALES!$B:$F,5,FALSE),"")</f>
        <v/>
      </c>
      <c r="S1275" s="6"/>
      <c r="T1275" s="5" t="str">
        <f>UPPER(IF(Tabla2[[#This Row],[FECHA DE MUESTREO ]]=0,"",TEXT(Tabla2[[#This Row],[FECHA DE MUESTREO ]],("MMMM"))))</f>
        <v/>
      </c>
      <c r="U1275" s="6"/>
      <c r="W12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5" s="7">
        <f t="shared" si="40"/>
        <v>1</v>
      </c>
    </row>
    <row r="1276" spans="10:24" x14ac:dyDescent="0.25">
      <c r="J1276" s="5" t="str">
        <f>IFERROR(VLOOKUP(I1276,[1]INFO_LOCALES!$B:$C,2,FALSE),"")</f>
        <v/>
      </c>
      <c r="K1276" s="5" t="str">
        <f>IFERROR(VLOOKUP(Tabla2[[#This Row],[TIENDA]],[1]INFO_LOCALES!$B:$D,3,FALSE),"")</f>
        <v/>
      </c>
      <c r="L1276" s="5" t="str">
        <f>IFERROR(VLOOKUP(I1276,[1]INFO_LOCALES!$B:$I,8,FALSE),"")</f>
        <v/>
      </c>
      <c r="M1276" s="5" t="str">
        <f>IFERROR(VLOOKUP(I1276,[1]INFO_LOCALES!$B:$H,7,FALSE),"")</f>
        <v/>
      </c>
      <c r="N1276" s="5" t="str">
        <f>IFERROR(VLOOKUP(I1276,[1]INFO_LOCALES!$B:$E,4,FALSE),"")</f>
        <v/>
      </c>
      <c r="O1276" s="5" t="e">
        <f>VLOOKUP(Tabla2[[#This Row],[TIENDA]],[1]INFO_LOCALES!$B:$J,9,0)</f>
        <v>#N/A</v>
      </c>
      <c r="P1276" s="5" t="str">
        <f>IFERROR(VLOOKUP(I1276,[1]INFO_LOCALES!$B:$F,5,FALSE),"")</f>
        <v/>
      </c>
      <c r="S1276" s="6"/>
      <c r="T1276" s="5" t="str">
        <f>UPPER(IF(Tabla2[[#This Row],[FECHA DE MUESTREO ]]=0,"",TEXT(Tabla2[[#This Row],[FECHA DE MUESTREO ]],("MMMM"))))</f>
        <v/>
      </c>
      <c r="U1276" s="6"/>
      <c r="W12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6" s="7">
        <f t="shared" si="40"/>
        <v>1</v>
      </c>
    </row>
    <row r="1277" spans="10:24" x14ac:dyDescent="0.25">
      <c r="J1277" s="5" t="str">
        <f>IFERROR(VLOOKUP(I1277,[1]INFO_LOCALES!$B:$C,2,FALSE),"")</f>
        <v/>
      </c>
      <c r="K1277" s="5" t="str">
        <f>IFERROR(VLOOKUP(Tabla2[[#This Row],[TIENDA]],[1]INFO_LOCALES!$B:$D,3,FALSE),"")</f>
        <v/>
      </c>
      <c r="L1277" s="5" t="str">
        <f>IFERROR(VLOOKUP(I1277,[1]INFO_LOCALES!$B:$I,8,FALSE),"")</f>
        <v/>
      </c>
      <c r="M1277" s="5" t="str">
        <f>IFERROR(VLOOKUP(I1277,[1]INFO_LOCALES!$B:$H,7,FALSE),"")</f>
        <v/>
      </c>
      <c r="N1277" s="5" t="str">
        <f>IFERROR(VLOOKUP(I1277,[1]INFO_LOCALES!$B:$E,4,FALSE),"")</f>
        <v/>
      </c>
      <c r="O1277" s="5" t="e">
        <f>VLOOKUP(Tabla2[[#This Row],[TIENDA]],[1]INFO_LOCALES!$B:$J,9,0)</f>
        <v>#N/A</v>
      </c>
      <c r="P1277" s="5" t="str">
        <f>IFERROR(VLOOKUP(I1277,[1]INFO_LOCALES!$B:$F,5,FALSE),"")</f>
        <v/>
      </c>
      <c r="S1277" s="6"/>
      <c r="T1277" s="5" t="str">
        <f>UPPER(IF(Tabla2[[#This Row],[FECHA DE MUESTREO ]]=0,"",TEXT(Tabla2[[#This Row],[FECHA DE MUESTREO ]],("MMMM"))))</f>
        <v/>
      </c>
      <c r="U1277" s="6"/>
      <c r="W12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7" s="7">
        <f t="shared" si="40"/>
        <v>1</v>
      </c>
    </row>
    <row r="1278" spans="10:24" x14ac:dyDescent="0.25">
      <c r="J1278" s="5" t="str">
        <f>IFERROR(VLOOKUP(I1278,[1]INFO_LOCALES!$B:$C,2,FALSE),"")</f>
        <v/>
      </c>
      <c r="K1278" s="5" t="str">
        <f>IFERROR(VLOOKUP(Tabla2[[#This Row],[TIENDA]],[1]INFO_LOCALES!$B:$D,3,FALSE),"")</f>
        <v/>
      </c>
      <c r="L1278" s="5" t="str">
        <f>IFERROR(VLOOKUP(I1278,[1]INFO_LOCALES!$B:$I,8,FALSE),"")</f>
        <v/>
      </c>
      <c r="M1278" s="5" t="str">
        <f>IFERROR(VLOOKUP(I1278,[1]INFO_LOCALES!$B:$H,7,FALSE),"")</f>
        <v/>
      </c>
      <c r="N1278" s="5" t="str">
        <f>IFERROR(VLOOKUP(I1278,[1]INFO_LOCALES!$B:$E,4,FALSE),"")</f>
        <v/>
      </c>
      <c r="O1278" s="5" t="e">
        <f>VLOOKUP(Tabla2[[#This Row],[TIENDA]],[1]INFO_LOCALES!$B:$J,9,0)</f>
        <v>#N/A</v>
      </c>
      <c r="P1278" s="5" t="str">
        <f>IFERROR(VLOOKUP(I1278,[1]INFO_LOCALES!$B:$F,5,FALSE),"")</f>
        <v/>
      </c>
      <c r="S1278" s="6"/>
      <c r="T1278" s="5" t="str">
        <f>UPPER(IF(Tabla2[[#This Row],[FECHA DE MUESTREO ]]=0,"",TEXT(Tabla2[[#This Row],[FECHA DE MUESTREO ]],("MMMM"))))</f>
        <v/>
      </c>
      <c r="U1278" s="6"/>
      <c r="W12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8" s="7">
        <f t="shared" si="40"/>
        <v>1</v>
      </c>
    </row>
    <row r="1279" spans="10:24" x14ac:dyDescent="0.25">
      <c r="J1279" s="5" t="str">
        <f>IFERROR(VLOOKUP(I1279,[1]INFO_LOCALES!$B:$C,2,FALSE),"")</f>
        <v/>
      </c>
      <c r="K1279" s="5" t="str">
        <f>IFERROR(VLOOKUP(Tabla2[[#This Row],[TIENDA]],[1]INFO_LOCALES!$B:$D,3,FALSE),"")</f>
        <v/>
      </c>
      <c r="L1279" s="5" t="str">
        <f>IFERROR(VLOOKUP(I1279,[1]INFO_LOCALES!$B:$I,8,FALSE),"")</f>
        <v/>
      </c>
      <c r="M1279" s="5" t="str">
        <f>IFERROR(VLOOKUP(I1279,[1]INFO_LOCALES!$B:$H,7,FALSE),"")</f>
        <v/>
      </c>
      <c r="N1279" s="5" t="str">
        <f>IFERROR(VLOOKUP(I1279,[1]INFO_LOCALES!$B:$E,4,FALSE),"")</f>
        <v/>
      </c>
      <c r="O1279" s="5" t="e">
        <f>VLOOKUP(Tabla2[[#This Row],[TIENDA]],[1]INFO_LOCALES!$B:$J,9,0)</f>
        <v>#N/A</v>
      </c>
      <c r="P1279" s="5" t="str">
        <f>IFERROR(VLOOKUP(I1279,[1]INFO_LOCALES!$B:$F,5,FALSE),"")</f>
        <v/>
      </c>
      <c r="S1279" s="6"/>
      <c r="T1279" s="5" t="str">
        <f>UPPER(IF(Tabla2[[#This Row],[FECHA DE MUESTREO ]]=0,"",TEXT(Tabla2[[#This Row],[FECHA DE MUESTREO ]],("MMMM"))))</f>
        <v/>
      </c>
      <c r="U1279" s="6"/>
      <c r="W12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79" s="7">
        <f t="shared" si="40"/>
        <v>1</v>
      </c>
    </row>
    <row r="1280" spans="10:24" x14ac:dyDescent="0.25">
      <c r="J1280" s="5" t="str">
        <f>IFERROR(VLOOKUP(I1280,[1]INFO_LOCALES!$B:$C,2,FALSE),"")</f>
        <v/>
      </c>
      <c r="K1280" s="5" t="str">
        <f>IFERROR(VLOOKUP(Tabla2[[#This Row],[TIENDA]],[1]INFO_LOCALES!$B:$D,3,FALSE),"")</f>
        <v/>
      </c>
      <c r="L1280" s="5" t="str">
        <f>IFERROR(VLOOKUP(I1280,[1]INFO_LOCALES!$B:$I,8,FALSE),"")</f>
        <v/>
      </c>
      <c r="M1280" s="5" t="str">
        <f>IFERROR(VLOOKUP(I1280,[1]INFO_LOCALES!$B:$H,7,FALSE),"")</f>
        <v/>
      </c>
      <c r="N1280" s="5" t="str">
        <f>IFERROR(VLOOKUP(I1280,[1]INFO_LOCALES!$B:$E,4,FALSE),"")</f>
        <v/>
      </c>
      <c r="O1280" s="5" t="e">
        <f>VLOOKUP(Tabla2[[#This Row],[TIENDA]],[1]INFO_LOCALES!$B:$J,9,0)</f>
        <v>#N/A</v>
      </c>
      <c r="P1280" s="5" t="str">
        <f>IFERROR(VLOOKUP(I1280,[1]INFO_LOCALES!$B:$F,5,FALSE),"")</f>
        <v/>
      </c>
      <c r="S1280" s="6"/>
      <c r="T1280" s="5" t="str">
        <f>UPPER(IF(Tabla2[[#This Row],[FECHA DE MUESTREO ]]=0,"",TEXT(Tabla2[[#This Row],[FECHA DE MUESTREO ]],("MMMM"))))</f>
        <v/>
      </c>
      <c r="U1280" s="6"/>
      <c r="W12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0" s="7">
        <f t="shared" si="40"/>
        <v>1</v>
      </c>
    </row>
    <row r="1281" spans="10:24" x14ac:dyDescent="0.25">
      <c r="J1281" s="5" t="str">
        <f>IFERROR(VLOOKUP(I1281,[1]INFO_LOCALES!$B:$C,2,FALSE),"")</f>
        <v/>
      </c>
      <c r="K1281" s="5" t="str">
        <f>IFERROR(VLOOKUP(Tabla2[[#This Row],[TIENDA]],[1]INFO_LOCALES!$B:$D,3,FALSE),"")</f>
        <v/>
      </c>
      <c r="L1281" s="5" t="str">
        <f>IFERROR(VLOOKUP(I1281,[1]INFO_LOCALES!$B:$I,8,FALSE),"")</f>
        <v/>
      </c>
      <c r="M1281" s="5" t="str">
        <f>IFERROR(VLOOKUP(I1281,[1]INFO_LOCALES!$B:$H,7,FALSE),"")</f>
        <v/>
      </c>
      <c r="N1281" s="5" t="str">
        <f>IFERROR(VLOOKUP(I1281,[1]INFO_LOCALES!$B:$E,4,FALSE),"")</f>
        <v/>
      </c>
      <c r="O1281" s="5" t="e">
        <f>VLOOKUP(Tabla2[[#This Row],[TIENDA]],[1]INFO_LOCALES!$B:$J,9,0)</f>
        <v>#N/A</v>
      </c>
      <c r="P1281" s="5" t="str">
        <f>IFERROR(VLOOKUP(I1281,[1]INFO_LOCALES!$B:$F,5,FALSE),"")</f>
        <v/>
      </c>
      <c r="S1281" s="6"/>
      <c r="T1281" s="5" t="str">
        <f>UPPER(IF(Tabla2[[#This Row],[FECHA DE MUESTREO ]]=0,"",TEXT(Tabla2[[#This Row],[FECHA DE MUESTREO ]],("MMMM"))))</f>
        <v/>
      </c>
      <c r="U1281" s="6"/>
      <c r="W12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1" s="7">
        <f t="shared" si="40"/>
        <v>1</v>
      </c>
    </row>
    <row r="1282" spans="10:24" x14ac:dyDescent="0.25">
      <c r="J1282" s="5" t="str">
        <f>IFERROR(VLOOKUP(I1282,[1]INFO_LOCALES!$B:$C,2,FALSE),"")</f>
        <v/>
      </c>
      <c r="K1282" s="5" t="str">
        <f>IFERROR(VLOOKUP(Tabla2[[#This Row],[TIENDA]],[1]INFO_LOCALES!$B:$D,3,FALSE),"")</f>
        <v/>
      </c>
      <c r="L1282" s="5" t="str">
        <f>IFERROR(VLOOKUP(I1282,[1]INFO_LOCALES!$B:$I,8,FALSE),"")</f>
        <v/>
      </c>
      <c r="M1282" s="5" t="str">
        <f>IFERROR(VLOOKUP(I1282,[1]INFO_LOCALES!$B:$H,7,FALSE),"")</f>
        <v/>
      </c>
      <c r="N1282" s="5" t="str">
        <f>IFERROR(VLOOKUP(I1282,[1]INFO_LOCALES!$B:$E,4,FALSE),"")</f>
        <v/>
      </c>
      <c r="O1282" s="5" t="e">
        <f>VLOOKUP(Tabla2[[#This Row],[TIENDA]],[1]INFO_LOCALES!$B:$J,9,0)</f>
        <v>#N/A</v>
      </c>
      <c r="P1282" s="5" t="str">
        <f>IFERROR(VLOOKUP(I1282,[1]INFO_LOCALES!$B:$F,5,FALSE),"")</f>
        <v/>
      </c>
      <c r="S1282" s="6"/>
      <c r="T1282" s="5" t="str">
        <f>UPPER(IF(Tabla2[[#This Row],[FECHA DE MUESTREO ]]=0,"",TEXT(Tabla2[[#This Row],[FECHA DE MUESTREO ]],("MMMM"))))</f>
        <v/>
      </c>
      <c r="U1282" s="6"/>
      <c r="W12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2" s="7">
        <f t="shared" si="40"/>
        <v>1</v>
      </c>
    </row>
    <row r="1283" spans="10:24" x14ac:dyDescent="0.25">
      <c r="J1283" s="5" t="str">
        <f>IFERROR(VLOOKUP(I1283,[1]INFO_LOCALES!$B:$C,2,FALSE),"")</f>
        <v/>
      </c>
      <c r="K1283" s="5" t="str">
        <f>IFERROR(VLOOKUP(Tabla2[[#This Row],[TIENDA]],[1]INFO_LOCALES!$B:$D,3,FALSE),"")</f>
        <v/>
      </c>
      <c r="L1283" s="5" t="str">
        <f>IFERROR(VLOOKUP(I1283,[1]INFO_LOCALES!$B:$I,8,FALSE),"")</f>
        <v/>
      </c>
      <c r="M1283" s="5" t="str">
        <f>IFERROR(VLOOKUP(I1283,[1]INFO_LOCALES!$B:$H,7,FALSE),"")</f>
        <v/>
      </c>
      <c r="N1283" s="5" t="str">
        <f>IFERROR(VLOOKUP(I1283,[1]INFO_LOCALES!$B:$E,4,FALSE),"")</f>
        <v/>
      </c>
      <c r="O1283" s="5" t="e">
        <f>VLOOKUP(Tabla2[[#This Row],[TIENDA]],[1]INFO_LOCALES!$B:$J,9,0)</f>
        <v>#N/A</v>
      </c>
      <c r="P1283" s="5" t="str">
        <f>IFERROR(VLOOKUP(I1283,[1]INFO_LOCALES!$B:$F,5,FALSE),"")</f>
        <v/>
      </c>
      <c r="S1283" s="6"/>
      <c r="T1283" s="5" t="str">
        <f>UPPER(IF(Tabla2[[#This Row],[FECHA DE MUESTREO ]]=0,"",TEXT(Tabla2[[#This Row],[FECHA DE MUESTREO ]],("MMMM"))))</f>
        <v/>
      </c>
      <c r="U1283" s="6"/>
      <c r="W12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3" s="7">
        <f t="shared" si="40"/>
        <v>1</v>
      </c>
    </row>
    <row r="1284" spans="10:24" x14ac:dyDescent="0.25">
      <c r="J1284" s="5" t="str">
        <f>IFERROR(VLOOKUP(I1284,[1]INFO_LOCALES!$B:$C,2,FALSE),"")</f>
        <v/>
      </c>
      <c r="K1284" s="5" t="str">
        <f>IFERROR(VLOOKUP(Tabla2[[#This Row],[TIENDA]],[1]INFO_LOCALES!$B:$D,3,FALSE),"")</f>
        <v/>
      </c>
      <c r="L1284" s="5" t="str">
        <f>IFERROR(VLOOKUP(I1284,[1]INFO_LOCALES!$B:$I,8,FALSE),"")</f>
        <v/>
      </c>
      <c r="M1284" s="5" t="str">
        <f>IFERROR(VLOOKUP(I1284,[1]INFO_LOCALES!$B:$H,7,FALSE),"")</f>
        <v/>
      </c>
      <c r="N1284" s="5" t="str">
        <f>IFERROR(VLOOKUP(I1284,[1]INFO_LOCALES!$B:$E,4,FALSE),"")</f>
        <v/>
      </c>
      <c r="O1284" s="5" t="e">
        <f>VLOOKUP(Tabla2[[#This Row],[TIENDA]],[1]INFO_LOCALES!$B:$J,9,0)</f>
        <v>#N/A</v>
      </c>
      <c r="P1284" s="5" t="str">
        <f>IFERROR(VLOOKUP(I1284,[1]INFO_LOCALES!$B:$F,5,FALSE),"")</f>
        <v/>
      </c>
      <c r="S1284" s="6"/>
      <c r="T1284" s="5" t="str">
        <f>UPPER(IF(Tabla2[[#This Row],[FECHA DE MUESTREO ]]=0,"",TEXT(Tabla2[[#This Row],[FECHA DE MUESTREO ]],("MMMM"))))</f>
        <v/>
      </c>
      <c r="U1284" s="6"/>
      <c r="W12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4" s="7">
        <f t="shared" si="40"/>
        <v>1</v>
      </c>
    </row>
    <row r="1285" spans="10:24" x14ac:dyDescent="0.25">
      <c r="J1285" s="5" t="str">
        <f>IFERROR(VLOOKUP(I1285,[1]INFO_LOCALES!$B:$C,2,FALSE),"")</f>
        <v/>
      </c>
      <c r="K1285" s="5" t="str">
        <f>IFERROR(VLOOKUP(Tabla2[[#This Row],[TIENDA]],[1]INFO_LOCALES!$B:$D,3,FALSE),"")</f>
        <v/>
      </c>
      <c r="L1285" s="5" t="str">
        <f>IFERROR(VLOOKUP(I1285,[1]INFO_LOCALES!$B:$I,8,FALSE),"")</f>
        <v/>
      </c>
      <c r="M1285" s="5" t="str">
        <f>IFERROR(VLOOKUP(I1285,[1]INFO_LOCALES!$B:$H,7,FALSE),"")</f>
        <v/>
      </c>
      <c r="N1285" s="5" t="str">
        <f>IFERROR(VLOOKUP(I1285,[1]INFO_LOCALES!$B:$E,4,FALSE),"")</f>
        <v/>
      </c>
      <c r="O1285" s="5" t="e">
        <f>VLOOKUP(Tabla2[[#This Row],[TIENDA]],[1]INFO_LOCALES!$B:$J,9,0)</f>
        <v>#N/A</v>
      </c>
      <c r="P1285" s="5" t="str">
        <f>IFERROR(VLOOKUP(I1285,[1]INFO_LOCALES!$B:$F,5,FALSE),"")</f>
        <v/>
      </c>
      <c r="S1285" s="6"/>
      <c r="T1285" s="5" t="str">
        <f>UPPER(IF(Tabla2[[#This Row],[FECHA DE MUESTREO ]]=0,"",TEXT(Tabla2[[#This Row],[FECHA DE MUESTREO ]],("MMMM"))))</f>
        <v/>
      </c>
      <c r="U1285" s="6"/>
      <c r="W12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5" s="7">
        <f t="shared" si="40"/>
        <v>1</v>
      </c>
    </row>
    <row r="1286" spans="10:24" x14ac:dyDescent="0.25">
      <c r="J1286" s="5" t="str">
        <f>IFERROR(VLOOKUP(I1286,[1]INFO_LOCALES!$B:$C,2,FALSE),"")</f>
        <v/>
      </c>
      <c r="K1286" s="5" t="str">
        <f>IFERROR(VLOOKUP(Tabla2[[#This Row],[TIENDA]],[1]INFO_LOCALES!$B:$D,3,FALSE),"")</f>
        <v/>
      </c>
      <c r="L1286" s="5" t="str">
        <f>IFERROR(VLOOKUP(I1286,[1]INFO_LOCALES!$B:$I,8,FALSE),"")</f>
        <v/>
      </c>
      <c r="M1286" s="5" t="str">
        <f>IFERROR(VLOOKUP(I1286,[1]INFO_LOCALES!$B:$H,7,FALSE),"")</f>
        <v/>
      </c>
      <c r="N1286" s="5" t="str">
        <f>IFERROR(VLOOKUP(I1286,[1]INFO_LOCALES!$B:$E,4,FALSE),"")</f>
        <v/>
      </c>
      <c r="O1286" s="5" t="e">
        <f>VLOOKUP(Tabla2[[#This Row],[TIENDA]],[1]INFO_LOCALES!$B:$J,9,0)</f>
        <v>#N/A</v>
      </c>
      <c r="P1286" s="5" t="str">
        <f>IFERROR(VLOOKUP(I1286,[1]INFO_LOCALES!$B:$F,5,FALSE),"")</f>
        <v/>
      </c>
      <c r="S1286" s="6"/>
      <c r="T1286" s="5" t="str">
        <f>UPPER(IF(Tabla2[[#This Row],[FECHA DE MUESTREO ]]=0,"",TEXT(Tabla2[[#This Row],[FECHA DE MUESTREO ]],("MMMM"))))</f>
        <v/>
      </c>
      <c r="U1286" s="6"/>
      <c r="W12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6" s="7">
        <f t="shared" si="40"/>
        <v>1</v>
      </c>
    </row>
    <row r="1287" spans="10:24" x14ac:dyDescent="0.25">
      <c r="J1287" s="5" t="str">
        <f>IFERROR(VLOOKUP(I1287,[1]INFO_LOCALES!$B:$C,2,FALSE),"")</f>
        <v/>
      </c>
      <c r="K1287" s="5" t="str">
        <f>IFERROR(VLOOKUP(Tabla2[[#This Row],[TIENDA]],[1]INFO_LOCALES!$B:$D,3,FALSE),"")</f>
        <v/>
      </c>
      <c r="L1287" s="5" t="str">
        <f>IFERROR(VLOOKUP(I1287,[1]INFO_LOCALES!$B:$I,8,FALSE),"")</f>
        <v/>
      </c>
      <c r="M1287" s="5" t="str">
        <f>IFERROR(VLOOKUP(I1287,[1]INFO_LOCALES!$B:$H,7,FALSE),"")</f>
        <v/>
      </c>
      <c r="N1287" s="5" t="str">
        <f>IFERROR(VLOOKUP(I1287,[1]INFO_LOCALES!$B:$E,4,FALSE),"")</f>
        <v/>
      </c>
      <c r="O1287" s="5" t="e">
        <f>VLOOKUP(Tabla2[[#This Row],[TIENDA]],[1]INFO_LOCALES!$B:$J,9,0)</f>
        <v>#N/A</v>
      </c>
      <c r="P1287" s="5" t="str">
        <f>IFERROR(VLOOKUP(I1287,[1]INFO_LOCALES!$B:$F,5,FALSE),"")</f>
        <v/>
      </c>
      <c r="S1287" s="6"/>
      <c r="T1287" s="5" t="str">
        <f>UPPER(IF(Tabla2[[#This Row],[FECHA DE MUESTREO ]]=0,"",TEXT(Tabla2[[#This Row],[FECHA DE MUESTREO ]],("MMMM"))))</f>
        <v/>
      </c>
      <c r="U1287" s="6"/>
      <c r="W12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7" s="7">
        <f t="shared" si="40"/>
        <v>1</v>
      </c>
    </row>
    <row r="1288" spans="10:24" x14ac:dyDescent="0.25">
      <c r="J1288" s="5" t="str">
        <f>IFERROR(VLOOKUP(I1288,[1]INFO_LOCALES!$B:$C,2,FALSE),"")</f>
        <v/>
      </c>
      <c r="K1288" s="5" t="str">
        <f>IFERROR(VLOOKUP(Tabla2[[#This Row],[TIENDA]],[1]INFO_LOCALES!$B:$D,3,FALSE),"")</f>
        <v/>
      </c>
      <c r="L1288" s="5" t="str">
        <f>IFERROR(VLOOKUP(I1288,[1]INFO_LOCALES!$B:$I,8,FALSE),"")</f>
        <v/>
      </c>
      <c r="M1288" s="5" t="str">
        <f>IFERROR(VLOOKUP(I1288,[1]INFO_LOCALES!$B:$H,7,FALSE),"")</f>
        <v/>
      </c>
      <c r="N1288" s="5" t="str">
        <f>IFERROR(VLOOKUP(I1288,[1]INFO_LOCALES!$B:$E,4,FALSE),"")</f>
        <v/>
      </c>
      <c r="O1288" s="5" t="e">
        <f>VLOOKUP(Tabla2[[#This Row],[TIENDA]],[1]INFO_LOCALES!$B:$J,9,0)</f>
        <v>#N/A</v>
      </c>
      <c r="P1288" s="5" t="str">
        <f>IFERROR(VLOOKUP(I1288,[1]INFO_LOCALES!$B:$F,5,FALSE),"")</f>
        <v/>
      </c>
      <c r="S1288" s="6"/>
      <c r="T1288" s="5" t="str">
        <f>UPPER(IF(Tabla2[[#This Row],[FECHA DE MUESTREO ]]=0,"",TEXT(Tabla2[[#This Row],[FECHA DE MUESTREO ]],("MMMM"))))</f>
        <v/>
      </c>
      <c r="U1288" s="6"/>
      <c r="W12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8" s="7">
        <f t="shared" si="40"/>
        <v>1</v>
      </c>
    </row>
    <row r="1289" spans="10:24" x14ac:dyDescent="0.25">
      <c r="J1289" s="5" t="str">
        <f>IFERROR(VLOOKUP(I1289,[1]INFO_LOCALES!$B:$C,2,FALSE),"")</f>
        <v/>
      </c>
      <c r="K1289" s="5" t="str">
        <f>IFERROR(VLOOKUP(Tabla2[[#This Row],[TIENDA]],[1]INFO_LOCALES!$B:$D,3,FALSE),"")</f>
        <v/>
      </c>
      <c r="L1289" s="5" t="str">
        <f>IFERROR(VLOOKUP(I1289,[1]INFO_LOCALES!$B:$I,8,FALSE),"")</f>
        <v/>
      </c>
      <c r="M1289" s="5" t="str">
        <f>IFERROR(VLOOKUP(I1289,[1]INFO_LOCALES!$B:$H,7,FALSE),"")</f>
        <v/>
      </c>
      <c r="N1289" s="5" t="str">
        <f>IFERROR(VLOOKUP(I1289,[1]INFO_LOCALES!$B:$E,4,FALSE),"")</f>
        <v/>
      </c>
      <c r="O1289" s="5" t="e">
        <f>VLOOKUP(Tabla2[[#This Row],[TIENDA]],[1]INFO_LOCALES!$B:$J,9,0)</f>
        <v>#N/A</v>
      </c>
      <c r="P1289" s="5" t="str">
        <f>IFERROR(VLOOKUP(I1289,[1]INFO_LOCALES!$B:$F,5,FALSE),"")</f>
        <v/>
      </c>
      <c r="S1289" s="6"/>
      <c r="T1289" s="5" t="str">
        <f>UPPER(IF(Tabla2[[#This Row],[FECHA DE MUESTREO ]]=0,"",TEXT(Tabla2[[#This Row],[FECHA DE MUESTREO ]],("MMMM"))))</f>
        <v/>
      </c>
      <c r="U1289" s="6"/>
      <c r="W12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89" s="7">
        <f t="shared" si="40"/>
        <v>1</v>
      </c>
    </row>
    <row r="1290" spans="10:24" x14ac:dyDescent="0.25">
      <c r="J1290" s="5" t="str">
        <f>IFERROR(VLOOKUP(I1290,[1]INFO_LOCALES!$B:$C,2,FALSE),"")</f>
        <v/>
      </c>
      <c r="K1290" s="5" t="str">
        <f>IFERROR(VLOOKUP(Tabla2[[#This Row],[TIENDA]],[1]INFO_LOCALES!$B:$D,3,FALSE),"")</f>
        <v/>
      </c>
      <c r="L1290" s="5" t="str">
        <f>IFERROR(VLOOKUP(I1290,[1]INFO_LOCALES!$B:$I,8,FALSE),"")</f>
        <v/>
      </c>
      <c r="M1290" s="5" t="str">
        <f>IFERROR(VLOOKUP(I1290,[1]INFO_LOCALES!$B:$H,7,FALSE),"")</f>
        <v/>
      </c>
      <c r="N1290" s="5" t="str">
        <f>IFERROR(VLOOKUP(I1290,[1]INFO_LOCALES!$B:$E,4,FALSE),"")</f>
        <v/>
      </c>
      <c r="O1290" s="5" t="e">
        <f>VLOOKUP(Tabla2[[#This Row],[TIENDA]],[1]INFO_LOCALES!$B:$J,9,0)</f>
        <v>#N/A</v>
      </c>
      <c r="P1290" s="5" t="str">
        <f>IFERROR(VLOOKUP(I1290,[1]INFO_LOCALES!$B:$F,5,FALSE),"")</f>
        <v/>
      </c>
      <c r="S1290" s="6"/>
      <c r="T1290" s="5" t="str">
        <f>UPPER(IF(Tabla2[[#This Row],[FECHA DE MUESTREO ]]=0,"",TEXT(Tabla2[[#This Row],[FECHA DE MUESTREO ]],("MMMM"))))</f>
        <v/>
      </c>
      <c r="U1290" s="6"/>
      <c r="W12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0" s="7">
        <f t="shared" si="40"/>
        <v>1</v>
      </c>
    </row>
    <row r="1291" spans="10:24" x14ac:dyDescent="0.25">
      <c r="J1291" s="5" t="str">
        <f>IFERROR(VLOOKUP(I1291,[1]INFO_LOCALES!$B:$C,2,FALSE),"")</f>
        <v/>
      </c>
      <c r="K1291" s="5" t="str">
        <f>IFERROR(VLOOKUP(Tabla2[[#This Row],[TIENDA]],[1]INFO_LOCALES!$B:$D,3,FALSE),"")</f>
        <v/>
      </c>
      <c r="L1291" s="5" t="str">
        <f>IFERROR(VLOOKUP(I1291,[1]INFO_LOCALES!$B:$I,8,FALSE),"")</f>
        <v/>
      </c>
      <c r="M1291" s="5" t="str">
        <f>IFERROR(VLOOKUP(I1291,[1]INFO_LOCALES!$B:$H,7,FALSE),"")</f>
        <v/>
      </c>
      <c r="N1291" s="5" t="str">
        <f>IFERROR(VLOOKUP(I1291,[1]INFO_LOCALES!$B:$E,4,FALSE),"")</f>
        <v/>
      </c>
      <c r="O1291" s="5" t="e">
        <f>VLOOKUP(Tabla2[[#This Row],[TIENDA]],[1]INFO_LOCALES!$B:$J,9,0)</f>
        <v>#N/A</v>
      </c>
      <c r="P1291" s="5" t="str">
        <f>IFERROR(VLOOKUP(I1291,[1]INFO_LOCALES!$B:$F,5,FALSE),"")</f>
        <v/>
      </c>
      <c r="S1291" s="6"/>
      <c r="T1291" s="5" t="str">
        <f>UPPER(IF(Tabla2[[#This Row],[FECHA DE MUESTREO ]]=0,"",TEXT(Tabla2[[#This Row],[FECHA DE MUESTREO ]],("MMMM"))))</f>
        <v/>
      </c>
      <c r="U1291" s="6"/>
      <c r="W12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1" s="7">
        <f t="shared" si="40"/>
        <v>1</v>
      </c>
    </row>
    <row r="1292" spans="10:24" x14ac:dyDescent="0.25">
      <c r="J1292" s="5" t="str">
        <f>IFERROR(VLOOKUP(I1292,[1]INFO_LOCALES!$B:$C,2,FALSE),"")</f>
        <v/>
      </c>
      <c r="K1292" s="5" t="str">
        <f>IFERROR(VLOOKUP(Tabla2[[#This Row],[TIENDA]],[1]INFO_LOCALES!$B:$D,3,FALSE),"")</f>
        <v/>
      </c>
      <c r="L1292" s="5" t="str">
        <f>IFERROR(VLOOKUP(I1292,[1]INFO_LOCALES!$B:$I,8,FALSE),"")</f>
        <v/>
      </c>
      <c r="M1292" s="5" t="str">
        <f>IFERROR(VLOOKUP(I1292,[1]INFO_LOCALES!$B:$H,7,FALSE),"")</f>
        <v/>
      </c>
      <c r="N1292" s="5" t="str">
        <f>IFERROR(VLOOKUP(I1292,[1]INFO_LOCALES!$B:$E,4,FALSE),"")</f>
        <v/>
      </c>
      <c r="O1292" s="5" t="e">
        <f>VLOOKUP(Tabla2[[#This Row],[TIENDA]],[1]INFO_LOCALES!$B:$J,9,0)</f>
        <v>#N/A</v>
      </c>
      <c r="P1292" s="5" t="str">
        <f>IFERROR(VLOOKUP(I1292,[1]INFO_LOCALES!$B:$F,5,FALSE),"")</f>
        <v/>
      </c>
      <c r="S1292" s="6"/>
      <c r="T1292" s="5" t="str">
        <f>UPPER(IF(Tabla2[[#This Row],[FECHA DE MUESTREO ]]=0,"",TEXT(Tabla2[[#This Row],[FECHA DE MUESTREO ]],("MMMM"))))</f>
        <v/>
      </c>
      <c r="U1292" s="6"/>
      <c r="W12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2" s="7">
        <f t="shared" si="40"/>
        <v>1</v>
      </c>
    </row>
    <row r="1293" spans="10:24" x14ac:dyDescent="0.25">
      <c r="J1293" s="5" t="str">
        <f>IFERROR(VLOOKUP(I1293,[1]INFO_LOCALES!$B:$C,2,FALSE),"")</f>
        <v/>
      </c>
      <c r="K1293" s="5" t="str">
        <f>IFERROR(VLOOKUP(Tabla2[[#This Row],[TIENDA]],[1]INFO_LOCALES!$B:$D,3,FALSE),"")</f>
        <v/>
      </c>
      <c r="L1293" s="5" t="str">
        <f>IFERROR(VLOOKUP(I1293,[1]INFO_LOCALES!$B:$I,8,FALSE),"")</f>
        <v/>
      </c>
      <c r="M1293" s="5" t="str">
        <f>IFERROR(VLOOKUP(I1293,[1]INFO_LOCALES!$B:$H,7,FALSE),"")</f>
        <v/>
      </c>
      <c r="N1293" s="5" t="str">
        <f>IFERROR(VLOOKUP(I1293,[1]INFO_LOCALES!$B:$E,4,FALSE),"")</f>
        <v/>
      </c>
      <c r="O1293" s="5" t="e">
        <f>VLOOKUP(Tabla2[[#This Row],[TIENDA]],[1]INFO_LOCALES!$B:$J,9,0)</f>
        <v>#N/A</v>
      </c>
      <c r="P1293" s="5" t="str">
        <f>IFERROR(VLOOKUP(I1293,[1]INFO_LOCALES!$B:$F,5,FALSE),"")</f>
        <v/>
      </c>
      <c r="S1293" s="6"/>
      <c r="T1293" s="5" t="str">
        <f>UPPER(IF(Tabla2[[#This Row],[FECHA DE MUESTREO ]]=0,"",TEXT(Tabla2[[#This Row],[FECHA DE MUESTREO ]],("MMMM"))))</f>
        <v/>
      </c>
      <c r="U1293" s="6"/>
      <c r="W12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3" s="7">
        <f t="shared" si="40"/>
        <v>1</v>
      </c>
    </row>
    <row r="1294" spans="10:24" x14ac:dyDescent="0.25">
      <c r="J1294" s="5" t="str">
        <f>IFERROR(VLOOKUP(I1294,[1]INFO_LOCALES!$B:$C,2,FALSE),"")</f>
        <v/>
      </c>
      <c r="K1294" s="5" t="str">
        <f>IFERROR(VLOOKUP(Tabla2[[#This Row],[TIENDA]],[1]INFO_LOCALES!$B:$D,3,FALSE),"")</f>
        <v/>
      </c>
      <c r="L1294" s="5" t="str">
        <f>IFERROR(VLOOKUP(I1294,[1]INFO_LOCALES!$B:$I,8,FALSE),"")</f>
        <v/>
      </c>
      <c r="M1294" s="5" t="str">
        <f>IFERROR(VLOOKUP(I1294,[1]INFO_LOCALES!$B:$H,7,FALSE),"")</f>
        <v/>
      </c>
      <c r="N1294" s="5" t="str">
        <f>IFERROR(VLOOKUP(I1294,[1]INFO_LOCALES!$B:$E,4,FALSE),"")</f>
        <v/>
      </c>
      <c r="O1294" s="5" t="e">
        <f>VLOOKUP(Tabla2[[#This Row],[TIENDA]],[1]INFO_LOCALES!$B:$J,9,0)</f>
        <v>#N/A</v>
      </c>
      <c r="P1294" s="5" t="str">
        <f>IFERROR(VLOOKUP(I1294,[1]INFO_LOCALES!$B:$F,5,FALSE),"")</f>
        <v/>
      </c>
      <c r="S1294" s="6"/>
      <c r="T1294" s="5" t="str">
        <f>UPPER(IF(Tabla2[[#This Row],[FECHA DE MUESTREO ]]=0,"",TEXT(Tabla2[[#This Row],[FECHA DE MUESTREO ]],("MMMM"))))</f>
        <v/>
      </c>
      <c r="U1294" s="6"/>
      <c r="W12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4" s="7">
        <f t="shared" si="40"/>
        <v>1</v>
      </c>
    </row>
    <row r="1295" spans="10:24" x14ac:dyDescent="0.25">
      <c r="J1295" s="5" t="str">
        <f>IFERROR(VLOOKUP(I1295,[1]INFO_LOCALES!$B:$C,2,FALSE),"")</f>
        <v/>
      </c>
      <c r="K1295" s="5" t="str">
        <f>IFERROR(VLOOKUP(Tabla2[[#This Row],[TIENDA]],[1]INFO_LOCALES!$B:$D,3,FALSE),"")</f>
        <v/>
      </c>
      <c r="L1295" s="5" t="str">
        <f>IFERROR(VLOOKUP(I1295,[1]INFO_LOCALES!$B:$I,8,FALSE),"")</f>
        <v/>
      </c>
      <c r="M1295" s="5" t="str">
        <f>IFERROR(VLOOKUP(I1295,[1]INFO_LOCALES!$B:$H,7,FALSE),"")</f>
        <v/>
      </c>
      <c r="N1295" s="5" t="str">
        <f>IFERROR(VLOOKUP(I1295,[1]INFO_LOCALES!$B:$E,4,FALSE),"")</f>
        <v/>
      </c>
      <c r="O1295" s="5" t="e">
        <f>VLOOKUP(Tabla2[[#This Row],[TIENDA]],[1]INFO_LOCALES!$B:$J,9,0)</f>
        <v>#N/A</v>
      </c>
      <c r="P1295" s="5" t="str">
        <f>IFERROR(VLOOKUP(I1295,[1]INFO_LOCALES!$B:$F,5,FALSE),"")</f>
        <v/>
      </c>
      <c r="S1295" s="6"/>
      <c r="T1295" s="5" t="str">
        <f>UPPER(IF(Tabla2[[#This Row],[FECHA DE MUESTREO ]]=0,"",TEXT(Tabla2[[#This Row],[FECHA DE MUESTREO ]],("MMMM"))))</f>
        <v/>
      </c>
      <c r="U1295" s="6"/>
      <c r="W12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5" s="7">
        <f t="shared" si="40"/>
        <v>1</v>
      </c>
    </row>
    <row r="1296" spans="10:24" x14ac:dyDescent="0.25">
      <c r="J1296" s="5" t="str">
        <f>IFERROR(VLOOKUP(I1296,[1]INFO_LOCALES!$B:$C,2,FALSE),"")</f>
        <v/>
      </c>
      <c r="K1296" s="5" t="str">
        <f>IFERROR(VLOOKUP(Tabla2[[#This Row],[TIENDA]],[1]INFO_LOCALES!$B:$D,3,FALSE),"")</f>
        <v/>
      </c>
      <c r="L1296" s="5" t="str">
        <f>IFERROR(VLOOKUP(I1296,[1]INFO_LOCALES!$B:$I,8,FALSE),"")</f>
        <v/>
      </c>
      <c r="M1296" s="5" t="str">
        <f>IFERROR(VLOOKUP(I1296,[1]INFO_LOCALES!$B:$H,7,FALSE),"")</f>
        <v/>
      </c>
      <c r="N1296" s="5" t="str">
        <f>IFERROR(VLOOKUP(I1296,[1]INFO_LOCALES!$B:$E,4,FALSE),"")</f>
        <v/>
      </c>
      <c r="O1296" s="5" t="e">
        <f>VLOOKUP(Tabla2[[#This Row],[TIENDA]],[1]INFO_LOCALES!$B:$J,9,0)</f>
        <v>#N/A</v>
      </c>
      <c r="P1296" s="5" t="str">
        <f>IFERROR(VLOOKUP(I1296,[1]INFO_LOCALES!$B:$F,5,FALSE),"")</f>
        <v/>
      </c>
      <c r="S1296" s="6"/>
      <c r="T1296" s="5" t="str">
        <f>UPPER(IF(Tabla2[[#This Row],[FECHA DE MUESTREO ]]=0,"",TEXT(Tabla2[[#This Row],[FECHA DE MUESTREO ]],("MMMM"))))</f>
        <v/>
      </c>
      <c r="U1296" s="6"/>
      <c r="W12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6" s="7">
        <f t="shared" si="40"/>
        <v>1</v>
      </c>
    </row>
    <row r="1297" spans="10:24" x14ac:dyDescent="0.25">
      <c r="J1297" s="5" t="str">
        <f>IFERROR(VLOOKUP(I1297,[1]INFO_LOCALES!$B:$C,2,FALSE),"")</f>
        <v/>
      </c>
      <c r="K1297" s="5" t="str">
        <f>IFERROR(VLOOKUP(Tabla2[[#This Row],[TIENDA]],[1]INFO_LOCALES!$B:$D,3,FALSE),"")</f>
        <v/>
      </c>
      <c r="L1297" s="5" t="str">
        <f>IFERROR(VLOOKUP(I1297,[1]INFO_LOCALES!$B:$I,8,FALSE),"")</f>
        <v/>
      </c>
      <c r="M1297" s="5" t="str">
        <f>IFERROR(VLOOKUP(I1297,[1]INFO_LOCALES!$B:$H,7,FALSE),"")</f>
        <v/>
      </c>
      <c r="N1297" s="5" t="str">
        <f>IFERROR(VLOOKUP(I1297,[1]INFO_LOCALES!$B:$E,4,FALSE),"")</f>
        <v/>
      </c>
      <c r="O1297" s="5" t="e">
        <f>VLOOKUP(Tabla2[[#This Row],[TIENDA]],[1]INFO_LOCALES!$B:$J,9,0)</f>
        <v>#N/A</v>
      </c>
      <c r="P1297" s="5" t="str">
        <f>IFERROR(VLOOKUP(I1297,[1]INFO_LOCALES!$B:$F,5,FALSE),"")</f>
        <v/>
      </c>
      <c r="S1297" s="6"/>
      <c r="T1297" s="5" t="str">
        <f>UPPER(IF(Tabla2[[#This Row],[FECHA DE MUESTREO ]]=0,"",TEXT(Tabla2[[#This Row],[FECHA DE MUESTREO ]],("MMMM"))))</f>
        <v/>
      </c>
      <c r="U1297" s="6"/>
      <c r="W12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7" s="7">
        <f t="shared" si="40"/>
        <v>1</v>
      </c>
    </row>
    <row r="1298" spans="10:24" x14ac:dyDescent="0.25">
      <c r="J1298" s="5" t="str">
        <f>IFERROR(VLOOKUP(I1298,[1]INFO_LOCALES!$B:$C,2,FALSE),"")</f>
        <v/>
      </c>
      <c r="K1298" s="5" t="str">
        <f>IFERROR(VLOOKUP(Tabla2[[#This Row],[TIENDA]],[1]INFO_LOCALES!$B:$D,3,FALSE),"")</f>
        <v/>
      </c>
      <c r="L1298" s="5" t="str">
        <f>IFERROR(VLOOKUP(I1298,[1]INFO_LOCALES!$B:$I,8,FALSE),"")</f>
        <v/>
      </c>
      <c r="M1298" s="5" t="str">
        <f>IFERROR(VLOOKUP(I1298,[1]INFO_LOCALES!$B:$H,7,FALSE),"")</f>
        <v/>
      </c>
      <c r="N1298" s="5" t="str">
        <f>IFERROR(VLOOKUP(I1298,[1]INFO_LOCALES!$B:$E,4,FALSE),"")</f>
        <v/>
      </c>
      <c r="O1298" s="5" t="e">
        <f>VLOOKUP(Tabla2[[#This Row],[TIENDA]],[1]INFO_LOCALES!$B:$J,9,0)</f>
        <v>#N/A</v>
      </c>
      <c r="P1298" s="5" t="str">
        <f>IFERROR(VLOOKUP(I1298,[1]INFO_LOCALES!$B:$F,5,FALSE),"")</f>
        <v/>
      </c>
      <c r="S1298" s="6"/>
      <c r="T1298" s="5" t="str">
        <f>UPPER(IF(Tabla2[[#This Row],[FECHA DE MUESTREO ]]=0,"",TEXT(Tabla2[[#This Row],[FECHA DE MUESTREO ]],("MMMM"))))</f>
        <v/>
      </c>
      <c r="U1298" s="6"/>
      <c r="W12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8" s="7">
        <f t="shared" si="40"/>
        <v>1</v>
      </c>
    </row>
    <row r="1299" spans="10:24" x14ac:dyDescent="0.25">
      <c r="J1299" s="5" t="str">
        <f>IFERROR(VLOOKUP(I1299,[1]INFO_LOCALES!$B:$C,2,FALSE),"")</f>
        <v/>
      </c>
      <c r="K1299" s="5" t="str">
        <f>IFERROR(VLOOKUP(Tabla2[[#This Row],[TIENDA]],[1]INFO_LOCALES!$B:$D,3,FALSE),"")</f>
        <v/>
      </c>
      <c r="L1299" s="5" t="str">
        <f>IFERROR(VLOOKUP(I1299,[1]INFO_LOCALES!$B:$I,8,FALSE),"")</f>
        <v/>
      </c>
      <c r="M1299" s="5" t="str">
        <f>IFERROR(VLOOKUP(I1299,[1]INFO_LOCALES!$B:$H,7,FALSE),"")</f>
        <v/>
      </c>
      <c r="N1299" s="5" t="str">
        <f>IFERROR(VLOOKUP(I1299,[1]INFO_LOCALES!$B:$E,4,FALSE),"")</f>
        <v/>
      </c>
      <c r="O1299" s="5" t="e">
        <f>VLOOKUP(Tabla2[[#This Row],[TIENDA]],[1]INFO_LOCALES!$B:$J,9,0)</f>
        <v>#N/A</v>
      </c>
      <c r="P1299" s="5" t="str">
        <f>IFERROR(VLOOKUP(I1299,[1]INFO_LOCALES!$B:$F,5,FALSE),"")</f>
        <v/>
      </c>
      <c r="S1299" s="6"/>
      <c r="T1299" s="5" t="str">
        <f>UPPER(IF(Tabla2[[#This Row],[FECHA DE MUESTREO ]]=0,"",TEXT(Tabla2[[#This Row],[FECHA DE MUESTREO ]],("MMMM"))))</f>
        <v/>
      </c>
      <c r="U1299" s="6"/>
      <c r="W12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299" s="7">
        <f t="shared" si="40"/>
        <v>1</v>
      </c>
    </row>
    <row r="1300" spans="10:24" x14ac:dyDescent="0.25">
      <c r="J1300" s="5" t="str">
        <f>IFERROR(VLOOKUP(I1300,[1]INFO_LOCALES!$B:$C,2,FALSE),"")</f>
        <v/>
      </c>
      <c r="K1300" s="5" t="str">
        <f>IFERROR(VLOOKUP(Tabla2[[#This Row],[TIENDA]],[1]INFO_LOCALES!$B:$D,3,FALSE),"")</f>
        <v/>
      </c>
      <c r="L1300" s="5" t="str">
        <f>IFERROR(VLOOKUP(I1300,[1]INFO_LOCALES!$B:$I,8,FALSE),"")</f>
        <v/>
      </c>
      <c r="M1300" s="5" t="str">
        <f>IFERROR(VLOOKUP(I1300,[1]INFO_LOCALES!$B:$H,7,FALSE),"")</f>
        <v/>
      </c>
      <c r="N1300" s="5" t="str">
        <f>IFERROR(VLOOKUP(I1300,[1]INFO_LOCALES!$B:$E,4,FALSE),"")</f>
        <v/>
      </c>
      <c r="O1300" s="5" t="e">
        <f>VLOOKUP(Tabla2[[#This Row],[TIENDA]],[1]INFO_LOCALES!$B:$J,9,0)</f>
        <v>#N/A</v>
      </c>
      <c r="P1300" s="5" t="str">
        <f>IFERROR(VLOOKUP(I1300,[1]INFO_LOCALES!$B:$F,5,FALSE),"")</f>
        <v/>
      </c>
      <c r="S1300" s="6"/>
      <c r="T1300" s="5" t="str">
        <f>UPPER(IF(Tabla2[[#This Row],[FECHA DE MUESTREO ]]=0,"",TEXT(Tabla2[[#This Row],[FECHA DE MUESTREO ]],("MMMM"))))</f>
        <v/>
      </c>
      <c r="U1300" s="6"/>
      <c r="W13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0" s="7">
        <f t="shared" si="40"/>
        <v>1</v>
      </c>
    </row>
    <row r="1301" spans="10:24" x14ac:dyDescent="0.25">
      <c r="J1301" s="5" t="str">
        <f>IFERROR(VLOOKUP(I1301,[1]INFO_LOCALES!$B:$C,2,FALSE),"")</f>
        <v/>
      </c>
      <c r="K1301" s="5" t="str">
        <f>IFERROR(VLOOKUP(Tabla2[[#This Row],[TIENDA]],[1]INFO_LOCALES!$B:$D,3,FALSE),"")</f>
        <v/>
      </c>
      <c r="L1301" s="5" t="str">
        <f>IFERROR(VLOOKUP(I1301,[1]INFO_LOCALES!$B:$I,8,FALSE),"")</f>
        <v/>
      </c>
      <c r="M1301" s="5" t="str">
        <f>IFERROR(VLOOKUP(I1301,[1]INFO_LOCALES!$B:$H,7,FALSE),"")</f>
        <v/>
      </c>
      <c r="N1301" s="5" t="str">
        <f>IFERROR(VLOOKUP(I1301,[1]INFO_LOCALES!$B:$E,4,FALSE),"")</f>
        <v/>
      </c>
      <c r="O1301" s="5" t="e">
        <f>VLOOKUP(Tabla2[[#This Row],[TIENDA]],[1]INFO_LOCALES!$B:$J,9,0)</f>
        <v>#N/A</v>
      </c>
      <c r="P1301" s="5" t="str">
        <f>IFERROR(VLOOKUP(I1301,[1]INFO_LOCALES!$B:$F,5,FALSE),"")</f>
        <v/>
      </c>
      <c r="S1301" s="6"/>
      <c r="T1301" s="5" t="str">
        <f>UPPER(IF(Tabla2[[#This Row],[FECHA DE MUESTREO ]]=0,"",TEXT(Tabla2[[#This Row],[FECHA DE MUESTREO ]],("MMMM"))))</f>
        <v/>
      </c>
      <c r="U1301" s="6"/>
      <c r="W13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1" s="7">
        <f t="shared" si="40"/>
        <v>1</v>
      </c>
    </row>
    <row r="1302" spans="10:24" x14ac:dyDescent="0.25">
      <c r="J1302" s="5" t="str">
        <f>IFERROR(VLOOKUP(I1302,[1]INFO_LOCALES!$B:$C,2,FALSE),"")</f>
        <v/>
      </c>
      <c r="K1302" s="5" t="str">
        <f>IFERROR(VLOOKUP(Tabla2[[#This Row],[TIENDA]],[1]INFO_LOCALES!$B:$D,3,FALSE),"")</f>
        <v/>
      </c>
      <c r="L1302" s="5" t="str">
        <f>IFERROR(VLOOKUP(I1302,[1]INFO_LOCALES!$B:$I,8,FALSE),"")</f>
        <v/>
      </c>
      <c r="M1302" s="5" t="str">
        <f>IFERROR(VLOOKUP(I1302,[1]INFO_LOCALES!$B:$H,7,FALSE),"")</f>
        <v/>
      </c>
      <c r="N1302" s="5" t="str">
        <f>IFERROR(VLOOKUP(I1302,[1]INFO_LOCALES!$B:$E,4,FALSE),"")</f>
        <v/>
      </c>
      <c r="O1302" s="5" t="e">
        <f>VLOOKUP(Tabla2[[#This Row],[TIENDA]],[1]INFO_LOCALES!$B:$J,9,0)</f>
        <v>#N/A</v>
      </c>
      <c r="P1302" s="5" t="str">
        <f>IFERROR(VLOOKUP(I1302,[1]INFO_LOCALES!$B:$F,5,FALSE),"")</f>
        <v/>
      </c>
      <c r="S1302" s="6"/>
      <c r="T1302" s="5" t="str">
        <f>UPPER(IF(Tabla2[[#This Row],[FECHA DE MUESTREO ]]=0,"",TEXT(Tabla2[[#This Row],[FECHA DE MUESTREO ]],("MMMM"))))</f>
        <v/>
      </c>
      <c r="U1302" s="6"/>
      <c r="W13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2" s="7">
        <f t="shared" si="40"/>
        <v>1</v>
      </c>
    </row>
    <row r="1303" spans="10:24" x14ac:dyDescent="0.25">
      <c r="J1303" s="5" t="str">
        <f>IFERROR(VLOOKUP(I1303,[1]INFO_LOCALES!$B:$C,2,FALSE),"")</f>
        <v/>
      </c>
      <c r="K1303" s="5" t="str">
        <f>IFERROR(VLOOKUP(Tabla2[[#This Row],[TIENDA]],[1]INFO_LOCALES!$B:$D,3,FALSE),"")</f>
        <v/>
      </c>
      <c r="L1303" s="5" t="str">
        <f>IFERROR(VLOOKUP(I1303,[1]INFO_LOCALES!$B:$I,8,FALSE),"")</f>
        <v/>
      </c>
      <c r="M1303" s="5" t="str">
        <f>IFERROR(VLOOKUP(I1303,[1]INFO_LOCALES!$B:$H,7,FALSE),"")</f>
        <v/>
      </c>
      <c r="N1303" s="5" t="str">
        <f>IFERROR(VLOOKUP(I1303,[1]INFO_LOCALES!$B:$E,4,FALSE),"")</f>
        <v/>
      </c>
      <c r="O1303" s="5" t="e">
        <f>VLOOKUP(Tabla2[[#This Row],[TIENDA]],[1]INFO_LOCALES!$B:$J,9,0)</f>
        <v>#N/A</v>
      </c>
      <c r="P1303" s="5" t="str">
        <f>IFERROR(VLOOKUP(I1303,[1]INFO_LOCALES!$B:$F,5,FALSE),"")</f>
        <v/>
      </c>
      <c r="S1303" s="6"/>
      <c r="T1303" s="5" t="str">
        <f>UPPER(IF(Tabla2[[#This Row],[FECHA DE MUESTREO ]]=0,"",TEXT(Tabla2[[#This Row],[FECHA DE MUESTREO ]],("MMMM"))))</f>
        <v/>
      </c>
      <c r="U1303" s="6"/>
      <c r="W13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3" s="7">
        <f t="shared" si="40"/>
        <v>1</v>
      </c>
    </row>
    <row r="1304" spans="10:24" x14ac:dyDescent="0.25">
      <c r="J1304" s="5" t="str">
        <f>IFERROR(VLOOKUP(I1304,[1]INFO_LOCALES!$B:$C,2,FALSE),"")</f>
        <v/>
      </c>
      <c r="K1304" s="5" t="str">
        <f>IFERROR(VLOOKUP(Tabla2[[#This Row],[TIENDA]],[1]INFO_LOCALES!$B:$D,3,FALSE),"")</f>
        <v/>
      </c>
      <c r="L1304" s="5" t="str">
        <f>IFERROR(VLOOKUP(I1304,[1]INFO_LOCALES!$B:$I,8,FALSE),"")</f>
        <v/>
      </c>
      <c r="M1304" s="5" t="str">
        <f>IFERROR(VLOOKUP(I1304,[1]INFO_LOCALES!$B:$H,7,FALSE),"")</f>
        <v/>
      </c>
      <c r="N1304" s="5" t="str">
        <f>IFERROR(VLOOKUP(I1304,[1]INFO_LOCALES!$B:$E,4,FALSE),"")</f>
        <v/>
      </c>
      <c r="O1304" s="5" t="e">
        <f>VLOOKUP(Tabla2[[#This Row],[TIENDA]],[1]INFO_LOCALES!$B:$J,9,0)</f>
        <v>#N/A</v>
      </c>
      <c r="P1304" s="5" t="str">
        <f>IFERROR(VLOOKUP(I1304,[1]INFO_LOCALES!$B:$F,5,FALSE),"")</f>
        <v/>
      </c>
      <c r="S1304" s="6"/>
      <c r="T1304" s="5" t="str">
        <f>UPPER(IF(Tabla2[[#This Row],[FECHA DE MUESTREO ]]=0,"",TEXT(Tabla2[[#This Row],[FECHA DE MUESTREO ]],("MMMM"))))</f>
        <v/>
      </c>
      <c r="U1304" s="6"/>
      <c r="W13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4" s="7">
        <f t="shared" si="40"/>
        <v>1</v>
      </c>
    </row>
    <row r="1305" spans="10:24" x14ac:dyDescent="0.25">
      <c r="J1305" s="5" t="str">
        <f>IFERROR(VLOOKUP(I1305,[1]INFO_LOCALES!$B:$C,2,FALSE),"")</f>
        <v/>
      </c>
      <c r="K1305" s="5" t="str">
        <f>IFERROR(VLOOKUP(Tabla2[[#This Row],[TIENDA]],[1]INFO_LOCALES!$B:$D,3,FALSE),"")</f>
        <v/>
      </c>
      <c r="L1305" s="5" t="str">
        <f>IFERROR(VLOOKUP(I1305,[1]INFO_LOCALES!$B:$I,8,FALSE),"")</f>
        <v/>
      </c>
      <c r="M1305" s="5" t="str">
        <f>IFERROR(VLOOKUP(I1305,[1]INFO_LOCALES!$B:$H,7,FALSE),"")</f>
        <v/>
      </c>
      <c r="N1305" s="5" t="str">
        <f>IFERROR(VLOOKUP(I1305,[1]INFO_LOCALES!$B:$E,4,FALSE),"")</f>
        <v/>
      </c>
      <c r="O1305" s="5" t="e">
        <f>VLOOKUP(Tabla2[[#This Row],[TIENDA]],[1]INFO_LOCALES!$B:$J,9,0)</f>
        <v>#N/A</v>
      </c>
      <c r="P1305" s="5" t="str">
        <f>IFERROR(VLOOKUP(I1305,[1]INFO_LOCALES!$B:$F,5,FALSE),"")</f>
        <v/>
      </c>
      <c r="S1305" s="6"/>
      <c r="T1305" s="5" t="str">
        <f>UPPER(IF(Tabla2[[#This Row],[FECHA DE MUESTREO ]]=0,"",TEXT(Tabla2[[#This Row],[FECHA DE MUESTREO ]],("MMMM"))))</f>
        <v/>
      </c>
      <c r="U1305" s="6"/>
      <c r="W13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5" s="7">
        <f t="shared" si="40"/>
        <v>1</v>
      </c>
    </row>
    <row r="1306" spans="10:24" x14ac:dyDescent="0.25">
      <c r="J1306" s="5" t="str">
        <f>IFERROR(VLOOKUP(I1306,[1]INFO_LOCALES!$B:$C,2,FALSE),"")</f>
        <v/>
      </c>
      <c r="K1306" s="5" t="str">
        <f>IFERROR(VLOOKUP(Tabla2[[#This Row],[TIENDA]],[1]INFO_LOCALES!$B:$D,3,FALSE),"")</f>
        <v/>
      </c>
      <c r="L1306" s="5" t="str">
        <f>IFERROR(VLOOKUP(I1306,[1]INFO_LOCALES!$B:$I,8,FALSE),"")</f>
        <v/>
      </c>
      <c r="M1306" s="5" t="str">
        <f>IFERROR(VLOOKUP(I1306,[1]INFO_LOCALES!$B:$H,7,FALSE),"")</f>
        <v/>
      </c>
      <c r="N1306" s="5" t="str">
        <f>IFERROR(VLOOKUP(I1306,[1]INFO_LOCALES!$B:$E,4,FALSE),"")</f>
        <v/>
      </c>
      <c r="O1306" s="5" t="e">
        <f>VLOOKUP(Tabla2[[#This Row],[TIENDA]],[1]INFO_LOCALES!$B:$J,9,0)</f>
        <v>#N/A</v>
      </c>
      <c r="P1306" s="5" t="str">
        <f>IFERROR(VLOOKUP(I1306,[1]INFO_LOCALES!$B:$F,5,FALSE),"")</f>
        <v/>
      </c>
      <c r="S1306" s="6"/>
      <c r="T1306" s="5" t="str">
        <f>UPPER(IF(Tabla2[[#This Row],[FECHA DE MUESTREO ]]=0,"",TEXT(Tabla2[[#This Row],[FECHA DE MUESTREO ]],("MMMM"))))</f>
        <v/>
      </c>
      <c r="U1306" s="6"/>
      <c r="W13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6" s="7">
        <f t="shared" si="40"/>
        <v>1</v>
      </c>
    </row>
    <row r="1307" spans="10:24" x14ac:dyDescent="0.25">
      <c r="J1307" s="5" t="str">
        <f>IFERROR(VLOOKUP(I1307,[1]INFO_LOCALES!$B:$C,2,FALSE),"")</f>
        <v/>
      </c>
      <c r="K1307" s="5" t="str">
        <f>IFERROR(VLOOKUP(Tabla2[[#This Row],[TIENDA]],[1]INFO_LOCALES!$B:$D,3,FALSE),"")</f>
        <v/>
      </c>
      <c r="L1307" s="5" t="str">
        <f>IFERROR(VLOOKUP(I1307,[1]INFO_LOCALES!$B:$I,8,FALSE),"")</f>
        <v/>
      </c>
      <c r="M1307" s="5" t="str">
        <f>IFERROR(VLOOKUP(I1307,[1]INFO_LOCALES!$B:$H,7,FALSE),"")</f>
        <v/>
      </c>
      <c r="N1307" s="5" t="str">
        <f>IFERROR(VLOOKUP(I1307,[1]INFO_LOCALES!$B:$E,4,FALSE),"")</f>
        <v/>
      </c>
      <c r="O1307" s="5" t="e">
        <f>VLOOKUP(Tabla2[[#This Row],[TIENDA]],[1]INFO_LOCALES!$B:$J,9,0)</f>
        <v>#N/A</v>
      </c>
      <c r="P1307" s="5" t="str">
        <f>IFERROR(VLOOKUP(I1307,[1]INFO_LOCALES!$B:$F,5,FALSE),"")</f>
        <v/>
      </c>
      <c r="S1307" s="6"/>
      <c r="T1307" s="5" t="str">
        <f>UPPER(IF(Tabla2[[#This Row],[FECHA DE MUESTREO ]]=0,"",TEXT(Tabla2[[#This Row],[FECHA DE MUESTREO ]],("MMMM"))))</f>
        <v/>
      </c>
      <c r="U1307" s="6"/>
      <c r="W13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7" s="7">
        <f t="shared" si="40"/>
        <v>1</v>
      </c>
    </row>
    <row r="1308" spans="10:24" x14ac:dyDescent="0.25">
      <c r="J1308" s="5" t="str">
        <f>IFERROR(VLOOKUP(I1308,[1]INFO_LOCALES!$B:$C,2,FALSE),"")</f>
        <v/>
      </c>
      <c r="K1308" s="5" t="str">
        <f>IFERROR(VLOOKUP(Tabla2[[#This Row],[TIENDA]],[1]INFO_LOCALES!$B:$D,3,FALSE),"")</f>
        <v/>
      </c>
      <c r="L1308" s="5" t="str">
        <f>IFERROR(VLOOKUP(I1308,[1]INFO_LOCALES!$B:$I,8,FALSE),"")</f>
        <v/>
      </c>
      <c r="M1308" s="5" t="str">
        <f>IFERROR(VLOOKUP(I1308,[1]INFO_LOCALES!$B:$H,7,FALSE),"")</f>
        <v/>
      </c>
      <c r="N1308" s="5" t="str">
        <f>IFERROR(VLOOKUP(I1308,[1]INFO_LOCALES!$B:$E,4,FALSE),"")</f>
        <v/>
      </c>
      <c r="O1308" s="5" t="e">
        <f>VLOOKUP(Tabla2[[#This Row],[TIENDA]],[1]INFO_LOCALES!$B:$J,9,0)</f>
        <v>#N/A</v>
      </c>
      <c r="P1308" s="5" t="str">
        <f>IFERROR(VLOOKUP(I1308,[1]INFO_LOCALES!$B:$F,5,FALSE),"")</f>
        <v/>
      </c>
      <c r="S1308" s="6"/>
      <c r="T1308" s="5" t="str">
        <f>UPPER(IF(Tabla2[[#This Row],[FECHA DE MUESTREO ]]=0,"",TEXT(Tabla2[[#This Row],[FECHA DE MUESTREO ]],("MMMM"))))</f>
        <v/>
      </c>
      <c r="U1308" s="6"/>
      <c r="W13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8" s="7">
        <f t="shared" si="40"/>
        <v>1</v>
      </c>
    </row>
    <row r="1309" spans="10:24" x14ac:dyDescent="0.25">
      <c r="J1309" s="5" t="str">
        <f>IFERROR(VLOOKUP(I1309,[1]INFO_LOCALES!$B:$C,2,FALSE),"")</f>
        <v/>
      </c>
      <c r="K1309" s="5" t="str">
        <f>IFERROR(VLOOKUP(Tabla2[[#This Row],[TIENDA]],[1]INFO_LOCALES!$B:$D,3,FALSE),"")</f>
        <v/>
      </c>
      <c r="L1309" s="5" t="str">
        <f>IFERROR(VLOOKUP(I1309,[1]INFO_LOCALES!$B:$I,8,FALSE),"")</f>
        <v/>
      </c>
      <c r="M1309" s="5" t="str">
        <f>IFERROR(VLOOKUP(I1309,[1]INFO_LOCALES!$B:$H,7,FALSE),"")</f>
        <v/>
      </c>
      <c r="N1309" s="5" t="str">
        <f>IFERROR(VLOOKUP(I1309,[1]INFO_LOCALES!$B:$E,4,FALSE),"")</f>
        <v/>
      </c>
      <c r="O1309" s="5" t="e">
        <f>VLOOKUP(Tabla2[[#This Row],[TIENDA]],[1]INFO_LOCALES!$B:$J,9,0)</f>
        <v>#N/A</v>
      </c>
      <c r="P1309" s="5" t="str">
        <f>IFERROR(VLOOKUP(I1309,[1]INFO_LOCALES!$B:$F,5,FALSE),"")</f>
        <v/>
      </c>
      <c r="S1309" s="6"/>
      <c r="T1309" s="5" t="str">
        <f>UPPER(IF(Tabla2[[#This Row],[FECHA DE MUESTREO ]]=0,"",TEXT(Tabla2[[#This Row],[FECHA DE MUESTREO ]],("MMMM"))))</f>
        <v/>
      </c>
      <c r="U1309" s="6"/>
      <c r="W13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09" s="7">
        <f t="shared" si="40"/>
        <v>1</v>
      </c>
    </row>
    <row r="1310" spans="10:24" x14ac:dyDescent="0.25">
      <c r="J1310" s="5" t="str">
        <f>IFERROR(VLOOKUP(I1310,[1]INFO_LOCALES!$B:$C,2,FALSE),"")</f>
        <v/>
      </c>
      <c r="K1310" s="5" t="str">
        <f>IFERROR(VLOOKUP(Tabla2[[#This Row],[TIENDA]],[1]INFO_LOCALES!$B:$D,3,FALSE),"")</f>
        <v/>
      </c>
      <c r="L1310" s="5" t="str">
        <f>IFERROR(VLOOKUP(I1310,[1]INFO_LOCALES!$B:$I,8,FALSE),"")</f>
        <v/>
      </c>
      <c r="M1310" s="5" t="str">
        <f>IFERROR(VLOOKUP(I1310,[1]INFO_LOCALES!$B:$H,7,FALSE),"")</f>
        <v/>
      </c>
      <c r="N1310" s="5" t="str">
        <f>IFERROR(VLOOKUP(I1310,[1]INFO_LOCALES!$B:$E,4,FALSE),"")</f>
        <v/>
      </c>
      <c r="O1310" s="5" t="e">
        <f>VLOOKUP(Tabla2[[#This Row],[TIENDA]],[1]INFO_LOCALES!$B:$J,9,0)</f>
        <v>#N/A</v>
      </c>
      <c r="P1310" s="5" t="str">
        <f>IFERROR(VLOOKUP(I1310,[1]INFO_LOCALES!$B:$F,5,FALSE),"")</f>
        <v/>
      </c>
      <c r="S1310" s="6"/>
      <c r="T1310" s="5" t="str">
        <f>UPPER(IF(Tabla2[[#This Row],[FECHA DE MUESTREO ]]=0,"",TEXT(Tabla2[[#This Row],[FECHA DE MUESTREO ]],("MMMM"))))</f>
        <v/>
      </c>
      <c r="U1310" s="6"/>
      <c r="W13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0" s="7">
        <f t="shared" si="40"/>
        <v>1</v>
      </c>
    </row>
    <row r="1311" spans="10:24" x14ac:dyDescent="0.25">
      <c r="J1311" s="5" t="str">
        <f>IFERROR(VLOOKUP(I1311,[1]INFO_LOCALES!$B:$C,2,FALSE),"")</f>
        <v/>
      </c>
      <c r="K1311" s="5" t="str">
        <f>IFERROR(VLOOKUP(Tabla2[[#This Row],[TIENDA]],[1]INFO_LOCALES!$B:$D,3,FALSE),"")</f>
        <v/>
      </c>
      <c r="L1311" s="5" t="str">
        <f>IFERROR(VLOOKUP(I1311,[1]INFO_LOCALES!$B:$I,8,FALSE),"")</f>
        <v/>
      </c>
      <c r="M1311" s="5" t="str">
        <f>IFERROR(VLOOKUP(I1311,[1]INFO_LOCALES!$B:$H,7,FALSE),"")</f>
        <v/>
      </c>
      <c r="N1311" s="5" t="str">
        <f>IFERROR(VLOOKUP(I1311,[1]INFO_LOCALES!$B:$E,4,FALSE),"")</f>
        <v/>
      </c>
      <c r="O1311" s="5" t="e">
        <f>VLOOKUP(Tabla2[[#This Row],[TIENDA]],[1]INFO_LOCALES!$B:$J,9,0)</f>
        <v>#N/A</v>
      </c>
      <c r="P1311" s="5" t="str">
        <f>IFERROR(VLOOKUP(I1311,[1]INFO_LOCALES!$B:$F,5,FALSE),"")</f>
        <v/>
      </c>
      <c r="S1311" s="6"/>
      <c r="T1311" s="5" t="str">
        <f>UPPER(IF(Tabla2[[#This Row],[FECHA DE MUESTREO ]]=0,"",TEXT(Tabla2[[#This Row],[FECHA DE MUESTREO ]],("MMMM"))))</f>
        <v/>
      </c>
      <c r="U1311" s="6"/>
      <c r="W13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1" s="7">
        <f t="shared" si="40"/>
        <v>1</v>
      </c>
    </row>
    <row r="1312" spans="10:24" x14ac:dyDescent="0.25">
      <c r="J1312" s="5" t="str">
        <f>IFERROR(VLOOKUP(I1312,[1]INFO_LOCALES!$B:$C,2,FALSE),"")</f>
        <v/>
      </c>
      <c r="K1312" s="5" t="str">
        <f>IFERROR(VLOOKUP(Tabla2[[#This Row],[TIENDA]],[1]INFO_LOCALES!$B:$D,3,FALSE),"")</f>
        <v/>
      </c>
      <c r="L1312" s="5" t="str">
        <f>IFERROR(VLOOKUP(I1312,[1]INFO_LOCALES!$B:$I,8,FALSE),"")</f>
        <v/>
      </c>
      <c r="M1312" s="5" t="str">
        <f>IFERROR(VLOOKUP(I1312,[1]INFO_LOCALES!$B:$H,7,FALSE),"")</f>
        <v/>
      </c>
      <c r="N1312" s="5" t="str">
        <f>IFERROR(VLOOKUP(I1312,[1]INFO_LOCALES!$B:$E,4,FALSE),"")</f>
        <v/>
      </c>
      <c r="O1312" s="5" t="e">
        <f>VLOOKUP(Tabla2[[#This Row],[TIENDA]],[1]INFO_LOCALES!$B:$J,9,0)</f>
        <v>#N/A</v>
      </c>
      <c r="P1312" s="5" t="str">
        <f>IFERROR(VLOOKUP(I1312,[1]INFO_LOCALES!$B:$F,5,FALSE),"")</f>
        <v/>
      </c>
      <c r="S1312" s="6"/>
      <c r="T1312" s="5" t="str">
        <f>UPPER(IF(Tabla2[[#This Row],[FECHA DE MUESTREO ]]=0,"",TEXT(Tabla2[[#This Row],[FECHA DE MUESTREO ]],("MMMM"))))</f>
        <v/>
      </c>
      <c r="U1312" s="6"/>
      <c r="W13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2" s="7">
        <f t="shared" si="40"/>
        <v>1</v>
      </c>
    </row>
    <row r="1313" spans="10:24" x14ac:dyDescent="0.25">
      <c r="J1313" s="5" t="str">
        <f>IFERROR(VLOOKUP(I1313,[1]INFO_LOCALES!$B:$C,2,FALSE),"")</f>
        <v/>
      </c>
      <c r="K1313" s="5" t="str">
        <f>IFERROR(VLOOKUP(Tabla2[[#This Row],[TIENDA]],[1]INFO_LOCALES!$B:$D,3,FALSE),"")</f>
        <v/>
      </c>
      <c r="L1313" s="5" t="str">
        <f>IFERROR(VLOOKUP(I1313,[1]INFO_LOCALES!$B:$I,8,FALSE),"")</f>
        <v/>
      </c>
      <c r="M1313" s="5" t="str">
        <f>IFERROR(VLOOKUP(I1313,[1]INFO_LOCALES!$B:$H,7,FALSE),"")</f>
        <v/>
      </c>
      <c r="N1313" s="5" t="str">
        <f>IFERROR(VLOOKUP(I1313,[1]INFO_LOCALES!$B:$E,4,FALSE),"")</f>
        <v/>
      </c>
      <c r="O1313" s="5" t="e">
        <f>VLOOKUP(Tabla2[[#This Row],[TIENDA]],[1]INFO_LOCALES!$B:$J,9,0)</f>
        <v>#N/A</v>
      </c>
      <c r="P1313" s="5" t="str">
        <f>IFERROR(VLOOKUP(I1313,[1]INFO_LOCALES!$B:$F,5,FALSE),"")</f>
        <v/>
      </c>
      <c r="S1313" s="6"/>
      <c r="T1313" s="5" t="str">
        <f>UPPER(IF(Tabla2[[#This Row],[FECHA DE MUESTREO ]]=0,"",TEXT(Tabla2[[#This Row],[FECHA DE MUESTREO ]],("MMMM"))))</f>
        <v/>
      </c>
      <c r="U1313" s="6"/>
      <c r="W13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3" s="7">
        <f t="shared" si="40"/>
        <v>1</v>
      </c>
    </row>
    <row r="1314" spans="10:24" x14ac:dyDescent="0.25">
      <c r="J1314" s="5" t="str">
        <f>IFERROR(VLOOKUP(I1314,[1]INFO_LOCALES!$B:$C,2,FALSE),"")</f>
        <v/>
      </c>
      <c r="K1314" s="5" t="str">
        <f>IFERROR(VLOOKUP(Tabla2[[#This Row],[TIENDA]],[1]INFO_LOCALES!$B:$D,3,FALSE),"")</f>
        <v/>
      </c>
      <c r="L1314" s="5" t="str">
        <f>IFERROR(VLOOKUP(I1314,[1]INFO_LOCALES!$B:$I,8,FALSE),"")</f>
        <v/>
      </c>
      <c r="M1314" s="5" t="str">
        <f>IFERROR(VLOOKUP(I1314,[1]INFO_LOCALES!$B:$H,7,FALSE),"")</f>
        <v/>
      </c>
      <c r="N1314" s="5" t="str">
        <f>IFERROR(VLOOKUP(I1314,[1]INFO_LOCALES!$B:$E,4,FALSE),"")</f>
        <v/>
      </c>
      <c r="O1314" s="5" t="e">
        <f>VLOOKUP(Tabla2[[#This Row],[TIENDA]],[1]INFO_LOCALES!$B:$J,9,0)</f>
        <v>#N/A</v>
      </c>
      <c r="P1314" s="5" t="str">
        <f>IFERROR(VLOOKUP(I1314,[1]INFO_LOCALES!$B:$F,5,FALSE),"")</f>
        <v/>
      </c>
      <c r="S1314" s="6"/>
      <c r="T1314" s="5" t="str">
        <f>UPPER(IF(Tabla2[[#This Row],[FECHA DE MUESTREO ]]=0,"",TEXT(Tabla2[[#This Row],[FECHA DE MUESTREO ]],("MMMM"))))</f>
        <v/>
      </c>
      <c r="U1314" s="6"/>
      <c r="W13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4" s="7">
        <f t="shared" si="40"/>
        <v>1</v>
      </c>
    </row>
    <row r="1315" spans="10:24" x14ac:dyDescent="0.25">
      <c r="J1315" s="5" t="str">
        <f>IFERROR(VLOOKUP(I1315,[1]INFO_LOCALES!$B:$C,2,FALSE),"")</f>
        <v/>
      </c>
      <c r="K1315" s="5" t="str">
        <f>IFERROR(VLOOKUP(Tabla2[[#This Row],[TIENDA]],[1]INFO_LOCALES!$B:$D,3,FALSE),"")</f>
        <v/>
      </c>
      <c r="L1315" s="5" t="str">
        <f>IFERROR(VLOOKUP(I1315,[1]INFO_LOCALES!$B:$I,8,FALSE),"")</f>
        <v/>
      </c>
      <c r="M1315" s="5" t="str">
        <f>IFERROR(VLOOKUP(I1315,[1]INFO_LOCALES!$B:$H,7,FALSE),"")</f>
        <v/>
      </c>
      <c r="N1315" s="5" t="str">
        <f>IFERROR(VLOOKUP(I1315,[1]INFO_LOCALES!$B:$E,4,FALSE),"")</f>
        <v/>
      </c>
      <c r="O1315" s="5" t="e">
        <f>VLOOKUP(Tabla2[[#This Row],[TIENDA]],[1]INFO_LOCALES!$B:$J,9,0)</f>
        <v>#N/A</v>
      </c>
      <c r="P1315" s="5" t="str">
        <f>IFERROR(VLOOKUP(I1315,[1]INFO_LOCALES!$B:$F,5,FALSE),"")</f>
        <v/>
      </c>
      <c r="S1315" s="6"/>
      <c r="T1315" s="5" t="str">
        <f>UPPER(IF(Tabla2[[#This Row],[FECHA DE MUESTREO ]]=0,"",TEXT(Tabla2[[#This Row],[FECHA DE MUESTREO ]],("MMMM"))))</f>
        <v/>
      </c>
      <c r="U1315" s="6"/>
      <c r="W13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5" s="7">
        <f t="shared" si="40"/>
        <v>1</v>
      </c>
    </row>
    <row r="1316" spans="10:24" x14ac:dyDescent="0.25">
      <c r="J1316" s="5" t="str">
        <f>IFERROR(VLOOKUP(I1316,[1]INFO_LOCALES!$B:$C,2,FALSE),"")</f>
        <v/>
      </c>
      <c r="K1316" s="5" t="str">
        <f>IFERROR(VLOOKUP(Tabla2[[#This Row],[TIENDA]],[1]INFO_LOCALES!$B:$D,3,FALSE),"")</f>
        <v/>
      </c>
      <c r="L1316" s="5" t="str">
        <f>IFERROR(VLOOKUP(I1316,[1]INFO_LOCALES!$B:$I,8,FALSE),"")</f>
        <v/>
      </c>
      <c r="M1316" s="5" t="str">
        <f>IFERROR(VLOOKUP(I1316,[1]INFO_LOCALES!$B:$H,7,FALSE),"")</f>
        <v/>
      </c>
      <c r="N1316" s="5" t="str">
        <f>IFERROR(VLOOKUP(I1316,[1]INFO_LOCALES!$B:$E,4,FALSE),"")</f>
        <v/>
      </c>
      <c r="O1316" s="5" t="e">
        <f>VLOOKUP(Tabla2[[#This Row],[TIENDA]],[1]INFO_LOCALES!$B:$J,9,0)</f>
        <v>#N/A</v>
      </c>
      <c r="P1316" s="5" t="str">
        <f>IFERROR(VLOOKUP(I1316,[1]INFO_LOCALES!$B:$F,5,FALSE),"")</f>
        <v/>
      </c>
      <c r="S1316" s="6"/>
      <c r="T1316" s="5" t="str">
        <f>UPPER(IF(Tabla2[[#This Row],[FECHA DE MUESTREO ]]=0,"",TEXT(Tabla2[[#This Row],[FECHA DE MUESTREO ]],("MMMM"))))</f>
        <v/>
      </c>
      <c r="U1316" s="6"/>
      <c r="W13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6" s="7">
        <f t="shared" si="40"/>
        <v>1</v>
      </c>
    </row>
    <row r="1317" spans="10:24" x14ac:dyDescent="0.25">
      <c r="J1317" s="5" t="str">
        <f>IFERROR(VLOOKUP(I1317,[1]INFO_LOCALES!$B:$C,2,FALSE),"")</f>
        <v/>
      </c>
      <c r="K1317" s="5" t="str">
        <f>IFERROR(VLOOKUP(Tabla2[[#This Row],[TIENDA]],[1]INFO_LOCALES!$B:$D,3,FALSE),"")</f>
        <v/>
      </c>
      <c r="L1317" s="5" t="str">
        <f>IFERROR(VLOOKUP(I1317,[1]INFO_LOCALES!$B:$I,8,FALSE),"")</f>
        <v/>
      </c>
      <c r="M1317" s="5" t="str">
        <f>IFERROR(VLOOKUP(I1317,[1]INFO_LOCALES!$B:$H,7,FALSE),"")</f>
        <v/>
      </c>
      <c r="N1317" s="5" t="str">
        <f>IFERROR(VLOOKUP(I1317,[1]INFO_LOCALES!$B:$E,4,FALSE),"")</f>
        <v/>
      </c>
      <c r="O1317" s="5" t="e">
        <f>VLOOKUP(Tabla2[[#This Row],[TIENDA]],[1]INFO_LOCALES!$B:$J,9,0)</f>
        <v>#N/A</v>
      </c>
      <c r="P1317" s="5" t="str">
        <f>IFERROR(VLOOKUP(I1317,[1]INFO_LOCALES!$B:$F,5,FALSE),"")</f>
        <v/>
      </c>
      <c r="S1317" s="6"/>
      <c r="T1317" s="5" t="str">
        <f>UPPER(IF(Tabla2[[#This Row],[FECHA DE MUESTREO ]]=0,"",TEXT(Tabla2[[#This Row],[FECHA DE MUESTREO ]],("MMMM"))))</f>
        <v/>
      </c>
      <c r="U1317" s="6"/>
      <c r="W13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7" s="7">
        <f t="shared" si="40"/>
        <v>1</v>
      </c>
    </row>
    <row r="1318" spans="10:24" x14ac:dyDescent="0.25">
      <c r="J1318" s="5" t="str">
        <f>IFERROR(VLOOKUP(I1318,[1]INFO_LOCALES!$B:$C,2,FALSE),"")</f>
        <v/>
      </c>
      <c r="K1318" s="5" t="str">
        <f>IFERROR(VLOOKUP(Tabla2[[#This Row],[TIENDA]],[1]INFO_LOCALES!$B:$D,3,FALSE),"")</f>
        <v/>
      </c>
      <c r="L1318" s="5" t="str">
        <f>IFERROR(VLOOKUP(I1318,[1]INFO_LOCALES!$B:$I,8,FALSE),"")</f>
        <v/>
      </c>
      <c r="M1318" s="5" t="str">
        <f>IFERROR(VLOOKUP(I1318,[1]INFO_LOCALES!$B:$H,7,FALSE),"")</f>
        <v/>
      </c>
      <c r="N1318" s="5" t="str">
        <f>IFERROR(VLOOKUP(I1318,[1]INFO_LOCALES!$B:$E,4,FALSE),"")</f>
        <v/>
      </c>
      <c r="O1318" s="5" t="e">
        <f>VLOOKUP(Tabla2[[#This Row],[TIENDA]],[1]INFO_LOCALES!$B:$J,9,0)</f>
        <v>#N/A</v>
      </c>
      <c r="P1318" s="5" t="str">
        <f>IFERROR(VLOOKUP(I1318,[1]INFO_LOCALES!$B:$F,5,FALSE),"")</f>
        <v/>
      </c>
      <c r="S1318" s="6"/>
      <c r="T1318" s="5" t="str">
        <f>UPPER(IF(Tabla2[[#This Row],[FECHA DE MUESTREO ]]=0,"",TEXT(Tabla2[[#This Row],[FECHA DE MUESTREO ]],("MMMM"))))</f>
        <v/>
      </c>
      <c r="U1318" s="6"/>
      <c r="W13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8" s="7">
        <f t="shared" ref="X1318:X1381" si="41">IF(W1318="CUMPLE",1,IF(W1318="CUMPLE CON TOLERANCIA",2,IF(W1318="NO CUMPLE",3)))</f>
        <v>1</v>
      </c>
    </row>
    <row r="1319" spans="10:24" x14ac:dyDescent="0.25">
      <c r="J1319" s="5" t="str">
        <f>IFERROR(VLOOKUP(I1319,[1]INFO_LOCALES!$B:$C,2,FALSE),"")</f>
        <v/>
      </c>
      <c r="K1319" s="5" t="str">
        <f>IFERROR(VLOOKUP(Tabla2[[#This Row],[TIENDA]],[1]INFO_LOCALES!$B:$D,3,FALSE),"")</f>
        <v/>
      </c>
      <c r="L1319" s="5" t="str">
        <f>IFERROR(VLOOKUP(I1319,[1]INFO_LOCALES!$B:$I,8,FALSE),"")</f>
        <v/>
      </c>
      <c r="M1319" s="5" t="str">
        <f>IFERROR(VLOOKUP(I1319,[1]INFO_LOCALES!$B:$H,7,FALSE),"")</f>
        <v/>
      </c>
      <c r="N1319" s="5" t="str">
        <f>IFERROR(VLOOKUP(I1319,[1]INFO_LOCALES!$B:$E,4,FALSE),"")</f>
        <v/>
      </c>
      <c r="O1319" s="5" t="e">
        <f>VLOOKUP(Tabla2[[#This Row],[TIENDA]],[1]INFO_LOCALES!$B:$J,9,0)</f>
        <v>#N/A</v>
      </c>
      <c r="P1319" s="5" t="str">
        <f>IFERROR(VLOOKUP(I1319,[1]INFO_LOCALES!$B:$F,5,FALSE),"")</f>
        <v/>
      </c>
      <c r="S1319" s="6"/>
      <c r="T1319" s="5" t="str">
        <f>UPPER(IF(Tabla2[[#This Row],[FECHA DE MUESTREO ]]=0,"",TEXT(Tabla2[[#This Row],[FECHA DE MUESTREO ]],("MMMM"))))</f>
        <v/>
      </c>
      <c r="U1319" s="6"/>
      <c r="W13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19" s="7">
        <f t="shared" si="41"/>
        <v>1</v>
      </c>
    </row>
    <row r="1320" spans="10:24" x14ac:dyDescent="0.25">
      <c r="J1320" s="5" t="str">
        <f>IFERROR(VLOOKUP(I1320,[1]INFO_LOCALES!$B:$C,2,FALSE),"")</f>
        <v/>
      </c>
      <c r="K1320" s="5" t="str">
        <f>IFERROR(VLOOKUP(Tabla2[[#This Row],[TIENDA]],[1]INFO_LOCALES!$B:$D,3,FALSE),"")</f>
        <v/>
      </c>
      <c r="L1320" s="5" t="str">
        <f>IFERROR(VLOOKUP(I1320,[1]INFO_LOCALES!$B:$I,8,FALSE),"")</f>
        <v/>
      </c>
      <c r="M1320" s="5" t="str">
        <f>IFERROR(VLOOKUP(I1320,[1]INFO_LOCALES!$B:$H,7,FALSE),"")</f>
        <v/>
      </c>
      <c r="N1320" s="5" t="str">
        <f>IFERROR(VLOOKUP(I1320,[1]INFO_LOCALES!$B:$E,4,FALSE),"")</f>
        <v/>
      </c>
      <c r="O1320" s="5" t="e">
        <f>VLOOKUP(Tabla2[[#This Row],[TIENDA]],[1]INFO_LOCALES!$B:$J,9,0)</f>
        <v>#N/A</v>
      </c>
      <c r="P1320" s="5" t="str">
        <f>IFERROR(VLOOKUP(I1320,[1]INFO_LOCALES!$B:$F,5,FALSE),"")</f>
        <v/>
      </c>
      <c r="S1320" s="6"/>
      <c r="T1320" s="5" t="str">
        <f>UPPER(IF(Tabla2[[#This Row],[FECHA DE MUESTREO ]]=0,"",TEXT(Tabla2[[#This Row],[FECHA DE MUESTREO ]],("MMMM"))))</f>
        <v/>
      </c>
      <c r="U1320" s="6"/>
      <c r="W13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0" s="7">
        <f t="shared" si="41"/>
        <v>1</v>
      </c>
    </row>
    <row r="1321" spans="10:24" x14ac:dyDescent="0.25">
      <c r="J1321" s="5" t="str">
        <f>IFERROR(VLOOKUP(I1321,[1]INFO_LOCALES!$B:$C,2,FALSE),"")</f>
        <v/>
      </c>
      <c r="K1321" s="5" t="str">
        <f>IFERROR(VLOOKUP(Tabla2[[#This Row],[TIENDA]],[1]INFO_LOCALES!$B:$D,3,FALSE),"")</f>
        <v/>
      </c>
      <c r="L1321" s="5" t="str">
        <f>IFERROR(VLOOKUP(I1321,[1]INFO_LOCALES!$B:$I,8,FALSE),"")</f>
        <v/>
      </c>
      <c r="M1321" s="5" t="str">
        <f>IFERROR(VLOOKUP(I1321,[1]INFO_LOCALES!$B:$H,7,FALSE),"")</f>
        <v/>
      </c>
      <c r="N1321" s="5" t="str">
        <f>IFERROR(VLOOKUP(I1321,[1]INFO_LOCALES!$B:$E,4,FALSE),"")</f>
        <v/>
      </c>
      <c r="O1321" s="5" t="e">
        <f>VLOOKUP(Tabla2[[#This Row],[TIENDA]],[1]INFO_LOCALES!$B:$J,9,0)</f>
        <v>#N/A</v>
      </c>
      <c r="P1321" s="5" t="str">
        <f>IFERROR(VLOOKUP(I1321,[1]INFO_LOCALES!$B:$F,5,FALSE),"")</f>
        <v/>
      </c>
      <c r="S1321" s="6"/>
      <c r="T1321" s="5" t="str">
        <f>UPPER(IF(Tabla2[[#This Row],[FECHA DE MUESTREO ]]=0,"",TEXT(Tabla2[[#This Row],[FECHA DE MUESTREO ]],("MMMM"))))</f>
        <v/>
      </c>
      <c r="U1321" s="6"/>
      <c r="W13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1" s="7">
        <f t="shared" si="41"/>
        <v>1</v>
      </c>
    </row>
    <row r="1322" spans="10:24" x14ac:dyDescent="0.25">
      <c r="J1322" s="5" t="str">
        <f>IFERROR(VLOOKUP(I1322,[1]INFO_LOCALES!$B:$C,2,FALSE),"")</f>
        <v/>
      </c>
      <c r="K1322" s="5" t="str">
        <f>IFERROR(VLOOKUP(Tabla2[[#This Row],[TIENDA]],[1]INFO_LOCALES!$B:$D,3,FALSE),"")</f>
        <v/>
      </c>
      <c r="L1322" s="5" t="str">
        <f>IFERROR(VLOOKUP(I1322,[1]INFO_LOCALES!$B:$I,8,FALSE),"")</f>
        <v/>
      </c>
      <c r="M1322" s="5" t="str">
        <f>IFERROR(VLOOKUP(I1322,[1]INFO_LOCALES!$B:$H,7,FALSE),"")</f>
        <v/>
      </c>
      <c r="N1322" s="5" t="str">
        <f>IFERROR(VLOOKUP(I1322,[1]INFO_LOCALES!$B:$E,4,FALSE),"")</f>
        <v/>
      </c>
      <c r="O1322" s="5" t="e">
        <f>VLOOKUP(Tabla2[[#This Row],[TIENDA]],[1]INFO_LOCALES!$B:$J,9,0)</f>
        <v>#N/A</v>
      </c>
      <c r="P1322" s="5" t="str">
        <f>IFERROR(VLOOKUP(I1322,[1]INFO_LOCALES!$B:$F,5,FALSE),"")</f>
        <v/>
      </c>
      <c r="S1322" s="6"/>
      <c r="T1322" s="5" t="str">
        <f>UPPER(IF(Tabla2[[#This Row],[FECHA DE MUESTREO ]]=0,"",TEXT(Tabla2[[#This Row],[FECHA DE MUESTREO ]],("MMMM"))))</f>
        <v/>
      </c>
      <c r="U1322" s="6"/>
      <c r="W13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2" s="7">
        <f t="shared" si="41"/>
        <v>1</v>
      </c>
    </row>
    <row r="1323" spans="10:24" x14ac:dyDescent="0.25">
      <c r="J1323" s="5" t="str">
        <f>IFERROR(VLOOKUP(I1323,[1]INFO_LOCALES!$B:$C,2,FALSE),"")</f>
        <v/>
      </c>
      <c r="K1323" s="5" t="str">
        <f>IFERROR(VLOOKUP(Tabla2[[#This Row],[TIENDA]],[1]INFO_LOCALES!$B:$D,3,FALSE),"")</f>
        <v/>
      </c>
      <c r="L1323" s="5" t="str">
        <f>IFERROR(VLOOKUP(I1323,[1]INFO_LOCALES!$B:$I,8,FALSE),"")</f>
        <v/>
      </c>
      <c r="M1323" s="5" t="str">
        <f>IFERROR(VLOOKUP(I1323,[1]INFO_LOCALES!$B:$H,7,FALSE),"")</f>
        <v/>
      </c>
      <c r="N1323" s="5" t="str">
        <f>IFERROR(VLOOKUP(I1323,[1]INFO_LOCALES!$B:$E,4,FALSE),"")</f>
        <v/>
      </c>
      <c r="O1323" s="5" t="e">
        <f>VLOOKUP(Tabla2[[#This Row],[TIENDA]],[1]INFO_LOCALES!$B:$J,9,0)</f>
        <v>#N/A</v>
      </c>
      <c r="P1323" s="5" t="str">
        <f>IFERROR(VLOOKUP(I1323,[1]INFO_LOCALES!$B:$F,5,FALSE),"")</f>
        <v/>
      </c>
      <c r="S1323" s="6"/>
      <c r="T1323" s="5" t="str">
        <f>UPPER(IF(Tabla2[[#This Row],[FECHA DE MUESTREO ]]=0,"",TEXT(Tabla2[[#This Row],[FECHA DE MUESTREO ]],("MMMM"))))</f>
        <v/>
      </c>
      <c r="U1323" s="6"/>
      <c r="W13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3" s="7">
        <f t="shared" si="41"/>
        <v>1</v>
      </c>
    </row>
    <row r="1324" spans="10:24" x14ac:dyDescent="0.25">
      <c r="J1324" s="5" t="str">
        <f>IFERROR(VLOOKUP(I1324,[1]INFO_LOCALES!$B:$C,2,FALSE),"")</f>
        <v/>
      </c>
      <c r="K1324" s="5" t="str">
        <f>IFERROR(VLOOKUP(Tabla2[[#This Row],[TIENDA]],[1]INFO_LOCALES!$B:$D,3,FALSE),"")</f>
        <v/>
      </c>
      <c r="L1324" s="5" t="str">
        <f>IFERROR(VLOOKUP(I1324,[1]INFO_LOCALES!$B:$I,8,FALSE),"")</f>
        <v/>
      </c>
      <c r="M1324" s="5" t="str">
        <f>IFERROR(VLOOKUP(I1324,[1]INFO_LOCALES!$B:$H,7,FALSE),"")</f>
        <v/>
      </c>
      <c r="N1324" s="5" t="str">
        <f>IFERROR(VLOOKUP(I1324,[1]INFO_LOCALES!$B:$E,4,FALSE),"")</f>
        <v/>
      </c>
      <c r="O1324" s="5" t="e">
        <f>VLOOKUP(Tabla2[[#This Row],[TIENDA]],[1]INFO_LOCALES!$B:$J,9,0)</f>
        <v>#N/A</v>
      </c>
      <c r="P1324" s="5" t="str">
        <f>IFERROR(VLOOKUP(I1324,[1]INFO_LOCALES!$B:$F,5,FALSE),"")</f>
        <v/>
      </c>
      <c r="S1324" s="6"/>
      <c r="T1324" s="5" t="str">
        <f>UPPER(IF(Tabla2[[#This Row],[FECHA DE MUESTREO ]]=0,"",TEXT(Tabla2[[#This Row],[FECHA DE MUESTREO ]],("MMMM"))))</f>
        <v/>
      </c>
      <c r="U1324" s="6"/>
      <c r="W13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4" s="7">
        <f t="shared" si="41"/>
        <v>1</v>
      </c>
    </row>
    <row r="1325" spans="10:24" x14ac:dyDescent="0.25">
      <c r="J1325" s="5" t="str">
        <f>IFERROR(VLOOKUP(I1325,[1]INFO_LOCALES!$B:$C,2,FALSE),"")</f>
        <v/>
      </c>
      <c r="K1325" s="5" t="str">
        <f>IFERROR(VLOOKUP(Tabla2[[#This Row],[TIENDA]],[1]INFO_LOCALES!$B:$D,3,FALSE),"")</f>
        <v/>
      </c>
      <c r="L1325" s="5" t="str">
        <f>IFERROR(VLOOKUP(I1325,[1]INFO_LOCALES!$B:$I,8,FALSE),"")</f>
        <v/>
      </c>
      <c r="M1325" s="5" t="str">
        <f>IFERROR(VLOOKUP(I1325,[1]INFO_LOCALES!$B:$H,7,FALSE),"")</f>
        <v/>
      </c>
      <c r="N1325" s="5" t="str">
        <f>IFERROR(VLOOKUP(I1325,[1]INFO_LOCALES!$B:$E,4,FALSE),"")</f>
        <v/>
      </c>
      <c r="O1325" s="5" t="e">
        <f>VLOOKUP(Tabla2[[#This Row],[TIENDA]],[1]INFO_LOCALES!$B:$J,9,0)</f>
        <v>#N/A</v>
      </c>
      <c r="P1325" s="5" t="str">
        <f>IFERROR(VLOOKUP(I1325,[1]INFO_LOCALES!$B:$F,5,FALSE),"")</f>
        <v/>
      </c>
      <c r="S1325" s="6"/>
      <c r="T1325" s="5" t="str">
        <f>UPPER(IF(Tabla2[[#This Row],[FECHA DE MUESTREO ]]=0,"",TEXT(Tabla2[[#This Row],[FECHA DE MUESTREO ]],("MMMM"))))</f>
        <v/>
      </c>
      <c r="U1325" s="6"/>
      <c r="W13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5" s="7">
        <f t="shared" si="41"/>
        <v>1</v>
      </c>
    </row>
    <row r="1326" spans="10:24" x14ac:dyDescent="0.25">
      <c r="J1326" s="5" t="str">
        <f>IFERROR(VLOOKUP(I1326,[1]INFO_LOCALES!$B:$C,2,FALSE),"")</f>
        <v/>
      </c>
      <c r="K1326" s="5" t="str">
        <f>IFERROR(VLOOKUP(Tabla2[[#This Row],[TIENDA]],[1]INFO_LOCALES!$B:$D,3,FALSE),"")</f>
        <v/>
      </c>
      <c r="L1326" s="5" t="str">
        <f>IFERROR(VLOOKUP(I1326,[1]INFO_LOCALES!$B:$I,8,FALSE),"")</f>
        <v/>
      </c>
      <c r="M1326" s="5" t="str">
        <f>IFERROR(VLOOKUP(I1326,[1]INFO_LOCALES!$B:$H,7,FALSE),"")</f>
        <v/>
      </c>
      <c r="N1326" s="5" t="str">
        <f>IFERROR(VLOOKUP(I1326,[1]INFO_LOCALES!$B:$E,4,FALSE),"")</f>
        <v/>
      </c>
      <c r="O1326" s="5" t="e">
        <f>VLOOKUP(Tabla2[[#This Row],[TIENDA]],[1]INFO_LOCALES!$B:$J,9,0)</f>
        <v>#N/A</v>
      </c>
      <c r="P1326" s="5" t="str">
        <f>IFERROR(VLOOKUP(I1326,[1]INFO_LOCALES!$B:$F,5,FALSE),"")</f>
        <v/>
      </c>
      <c r="S1326" s="6"/>
      <c r="T1326" s="5" t="str">
        <f>UPPER(IF(Tabla2[[#This Row],[FECHA DE MUESTREO ]]=0,"",TEXT(Tabla2[[#This Row],[FECHA DE MUESTREO ]],("MMMM"))))</f>
        <v/>
      </c>
      <c r="U1326" s="6"/>
      <c r="W13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6" s="7">
        <f t="shared" si="41"/>
        <v>1</v>
      </c>
    </row>
    <row r="1327" spans="10:24" x14ac:dyDescent="0.25">
      <c r="J1327" s="5" t="str">
        <f>IFERROR(VLOOKUP(I1327,[1]INFO_LOCALES!$B:$C,2,FALSE),"")</f>
        <v/>
      </c>
      <c r="K1327" s="5" t="str">
        <f>IFERROR(VLOOKUP(Tabla2[[#This Row],[TIENDA]],[1]INFO_LOCALES!$B:$D,3,FALSE),"")</f>
        <v/>
      </c>
      <c r="L1327" s="5" t="str">
        <f>IFERROR(VLOOKUP(I1327,[1]INFO_LOCALES!$B:$I,8,FALSE),"")</f>
        <v/>
      </c>
      <c r="M1327" s="5" t="str">
        <f>IFERROR(VLOOKUP(I1327,[1]INFO_LOCALES!$B:$H,7,FALSE),"")</f>
        <v/>
      </c>
      <c r="N1327" s="5" t="str">
        <f>IFERROR(VLOOKUP(I1327,[1]INFO_LOCALES!$B:$E,4,FALSE),"")</f>
        <v/>
      </c>
      <c r="O1327" s="5" t="e">
        <f>VLOOKUP(Tabla2[[#This Row],[TIENDA]],[1]INFO_LOCALES!$B:$J,9,0)</f>
        <v>#N/A</v>
      </c>
      <c r="P1327" s="5" t="str">
        <f>IFERROR(VLOOKUP(I1327,[1]INFO_LOCALES!$B:$F,5,FALSE),"")</f>
        <v/>
      </c>
      <c r="S1327" s="6"/>
      <c r="T1327" s="5" t="str">
        <f>UPPER(IF(Tabla2[[#This Row],[FECHA DE MUESTREO ]]=0,"",TEXT(Tabla2[[#This Row],[FECHA DE MUESTREO ]],("MMMM"))))</f>
        <v/>
      </c>
      <c r="U1327" s="6"/>
      <c r="W13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7" s="7">
        <f t="shared" si="41"/>
        <v>1</v>
      </c>
    </row>
    <row r="1328" spans="10:24" x14ac:dyDescent="0.25">
      <c r="J1328" s="5" t="str">
        <f>IFERROR(VLOOKUP(I1328,[1]INFO_LOCALES!$B:$C,2,FALSE),"")</f>
        <v/>
      </c>
      <c r="K1328" s="5" t="str">
        <f>IFERROR(VLOOKUP(Tabla2[[#This Row],[TIENDA]],[1]INFO_LOCALES!$B:$D,3,FALSE),"")</f>
        <v/>
      </c>
      <c r="L1328" s="5" t="str">
        <f>IFERROR(VLOOKUP(I1328,[1]INFO_LOCALES!$B:$I,8,FALSE),"")</f>
        <v/>
      </c>
      <c r="M1328" s="5" t="str">
        <f>IFERROR(VLOOKUP(I1328,[1]INFO_LOCALES!$B:$H,7,FALSE),"")</f>
        <v/>
      </c>
      <c r="N1328" s="5" t="str">
        <f>IFERROR(VLOOKUP(I1328,[1]INFO_LOCALES!$B:$E,4,FALSE),"")</f>
        <v/>
      </c>
      <c r="O1328" s="5" t="e">
        <f>VLOOKUP(Tabla2[[#This Row],[TIENDA]],[1]INFO_LOCALES!$B:$J,9,0)</f>
        <v>#N/A</v>
      </c>
      <c r="P1328" s="5" t="str">
        <f>IFERROR(VLOOKUP(I1328,[1]INFO_LOCALES!$B:$F,5,FALSE),"")</f>
        <v/>
      </c>
      <c r="S1328" s="6"/>
      <c r="T1328" s="5" t="str">
        <f>UPPER(IF(Tabla2[[#This Row],[FECHA DE MUESTREO ]]=0,"",TEXT(Tabla2[[#This Row],[FECHA DE MUESTREO ]],("MMMM"))))</f>
        <v/>
      </c>
      <c r="U1328" s="6"/>
      <c r="W13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8" s="7">
        <f t="shared" si="41"/>
        <v>1</v>
      </c>
    </row>
    <row r="1329" spans="10:24" x14ac:dyDescent="0.25">
      <c r="J1329" s="5" t="str">
        <f>IFERROR(VLOOKUP(I1329,[1]INFO_LOCALES!$B:$C,2,FALSE),"")</f>
        <v/>
      </c>
      <c r="K1329" s="5" t="str">
        <f>IFERROR(VLOOKUP(Tabla2[[#This Row],[TIENDA]],[1]INFO_LOCALES!$B:$D,3,FALSE),"")</f>
        <v/>
      </c>
      <c r="L1329" s="5" t="str">
        <f>IFERROR(VLOOKUP(I1329,[1]INFO_LOCALES!$B:$I,8,FALSE),"")</f>
        <v/>
      </c>
      <c r="M1329" s="5" t="str">
        <f>IFERROR(VLOOKUP(I1329,[1]INFO_LOCALES!$B:$H,7,FALSE),"")</f>
        <v/>
      </c>
      <c r="N1329" s="5" t="str">
        <f>IFERROR(VLOOKUP(I1329,[1]INFO_LOCALES!$B:$E,4,FALSE),"")</f>
        <v/>
      </c>
      <c r="O1329" s="5" t="e">
        <f>VLOOKUP(Tabla2[[#This Row],[TIENDA]],[1]INFO_LOCALES!$B:$J,9,0)</f>
        <v>#N/A</v>
      </c>
      <c r="P1329" s="5" t="str">
        <f>IFERROR(VLOOKUP(I1329,[1]INFO_LOCALES!$B:$F,5,FALSE),"")</f>
        <v/>
      </c>
      <c r="S1329" s="6"/>
      <c r="T1329" s="5" t="str">
        <f>UPPER(IF(Tabla2[[#This Row],[FECHA DE MUESTREO ]]=0,"",TEXT(Tabla2[[#This Row],[FECHA DE MUESTREO ]],("MMMM"))))</f>
        <v/>
      </c>
      <c r="U1329" s="6"/>
      <c r="W13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29" s="7">
        <f t="shared" si="41"/>
        <v>1</v>
      </c>
    </row>
    <row r="1330" spans="10:24" x14ac:dyDescent="0.25">
      <c r="J1330" s="5" t="str">
        <f>IFERROR(VLOOKUP(I1330,[1]INFO_LOCALES!$B:$C,2,FALSE),"")</f>
        <v/>
      </c>
      <c r="K1330" s="5" t="str">
        <f>IFERROR(VLOOKUP(Tabla2[[#This Row],[TIENDA]],[1]INFO_LOCALES!$B:$D,3,FALSE),"")</f>
        <v/>
      </c>
      <c r="L1330" s="5" t="str">
        <f>IFERROR(VLOOKUP(I1330,[1]INFO_LOCALES!$B:$I,8,FALSE),"")</f>
        <v/>
      </c>
      <c r="M1330" s="5" t="str">
        <f>IFERROR(VLOOKUP(I1330,[1]INFO_LOCALES!$B:$H,7,FALSE),"")</f>
        <v/>
      </c>
      <c r="N1330" s="5" t="str">
        <f>IFERROR(VLOOKUP(I1330,[1]INFO_LOCALES!$B:$E,4,FALSE),"")</f>
        <v/>
      </c>
      <c r="O1330" s="5" t="e">
        <f>VLOOKUP(Tabla2[[#This Row],[TIENDA]],[1]INFO_LOCALES!$B:$J,9,0)</f>
        <v>#N/A</v>
      </c>
      <c r="P1330" s="5" t="str">
        <f>IFERROR(VLOOKUP(I1330,[1]INFO_LOCALES!$B:$F,5,FALSE),"")</f>
        <v/>
      </c>
      <c r="S1330" s="6"/>
      <c r="T1330" s="5" t="str">
        <f>UPPER(IF(Tabla2[[#This Row],[FECHA DE MUESTREO ]]=0,"",TEXT(Tabla2[[#This Row],[FECHA DE MUESTREO ]],("MMMM"))))</f>
        <v/>
      </c>
      <c r="U1330" s="6"/>
      <c r="W13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0" s="7">
        <f t="shared" si="41"/>
        <v>1</v>
      </c>
    </row>
    <row r="1331" spans="10:24" x14ac:dyDescent="0.25">
      <c r="J1331" s="5" t="str">
        <f>IFERROR(VLOOKUP(I1331,[1]INFO_LOCALES!$B:$C,2,FALSE),"")</f>
        <v/>
      </c>
      <c r="K1331" s="5" t="str">
        <f>IFERROR(VLOOKUP(Tabla2[[#This Row],[TIENDA]],[1]INFO_LOCALES!$B:$D,3,FALSE),"")</f>
        <v/>
      </c>
      <c r="L1331" s="5" t="str">
        <f>IFERROR(VLOOKUP(I1331,[1]INFO_LOCALES!$B:$I,8,FALSE),"")</f>
        <v/>
      </c>
      <c r="M1331" s="5" t="str">
        <f>IFERROR(VLOOKUP(I1331,[1]INFO_LOCALES!$B:$H,7,FALSE),"")</f>
        <v/>
      </c>
      <c r="N1331" s="5" t="str">
        <f>IFERROR(VLOOKUP(I1331,[1]INFO_LOCALES!$B:$E,4,FALSE),"")</f>
        <v/>
      </c>
      <c r="O1331" s="5" t="e">
        <f>VLOOKUP(Tabla2[[#This Row],[TIENDA]],[1]INFO_LOCALES!$B:$J,9,0)</f>
        <v>#N/A</v>
      </c>
      <c r="P1331" s="5" t="str">
        <f>IFERROR(VLOOKUP(I1331,[1]INFO_LOCALES!$B:$F,5,FALSE),"")</f>
        <v/>
      </c>
      <c r="S1331" s="6"/>
      <c r="T1331" s="5" t="str">
        <f>UPPER(IF(Tabla2[[#This Row],[FECHA DE MUESTREO ]]=0,"",TEXT(Tabla2[[#This Row],[FECHA DE MUESTREO ]],("MMMM"))))</f>
        <v/>
      </c>
      <c r="U1331" s="6"/>
      <c r="W13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1" s="7">
        <f t="shared" si="41"/>
        <v>1</v>
      </c>
    </row>
    <row r="1332" spans="10:24" x14ac:dyDescent="0.25">
      <c r="J1332" s="5" t="str">
        <f>IFERROR(VLOOKUP(I1332,[1]INFO_LOCALES!$B:$C,2,FALSE),"")</f>
        <v/>
      </c>
      <c r="K1332" s="5" t="str">
        <f>IFERROR(VLOOKUP(Tabla2[[#This Row],[TIENDA]],[1]INFO_LOCALES!$B:$D,3,FALSE),"")</f>
        <v/>
      </c>
      <c r="L1332" s="5" t="str">
        <f>IFERROR(VLOOKUP(I1332,[1]INFO_LOCALES!$B:$I,8,FALSE),"")</f>
        <v/>
      </c>
      <c r="M1332" s="5" t="str">
        <f>IFERROR(VLOOKUP(I1332,[1]INFO_LOCALES!$B:$H,7,FALSE),"")</f>
        <v/>
      </c>
      <c r="N1332" s="5" t="str">
        <f>IFERROR(VLOOKUP(I1332,[1]INFO_LOCALES!$B:$E,4,FALSE),"")</f>
        <v/>
      </c>
      <c r="O1332" s="5" t="e">
        <f>VLOOKUP(Tabla2[[#This Row],[TIENDA]],[1]INFO_LOCALES!$B:$J,9,0)</f>
        <v>#N/A</v>
      </c>
      <c r="P1332" s="5" t="str">
        <f>IFERROR(VLOOKUP(I1332,[1]INFO_LOCALES!$B:$F,5,FALSE),"")</f>
        <v/>
      </c>
      <c r="S1332" s="6"/>
      <c r="T1332" s="5" t="str">
        <f>UPPER(IF(Tabla2[[#This Row],[FECHA DE MUESTREO ]]=0,"",TEXT(Tabla2[[#This Row],[FECHA DE MUESTREO ]],("MMMM"))))</f>
        <v/>
      </c>
      <c r="U1332" s="6"/>
      <c r="W13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2" s="7">
        <f t="shared" si="41"/>
        <v>1</v>
      </c>
    </row>
    <row r="1333" spans="10:24" x14ac:dyDescent="0.25">
      <c r="J1333" s="5" t="str">
        <f>IFERROR(VLOOKUP(I1333,[1]INFO_LOCALES!$B:$C,2,FALSE),"")</f>
        <v/>
      </c>
      <c r="K1333" s="5" t="str">
        <f>IFERROR(VLOOKUP(Tabla2[[#This Row],[TIENDA]],[1]INFO_LOCALES!$B:$D,3,FALSE),"")</f>
        <v/>
      </c>
      <c r="L1333" s="5" t="str">
        <f>IFERROR(VLOOKUP(I1333,[1]INFO_LOCALES!$B:$I,8,FALSE),"")</f>
        <v/>
      </c>
      <c r="M1333" s="5" t="str">
        <f>IFERROR(VLOOKUP(I1333,[1]INFO_LOCALES!$B:$H,7,FALSE),"")</f>
        <v/>
      </c>
      <c r="N1333" s="5" t="str">
        <f>IFERROR(VLOOKUP(I1333,[1]INFO_LOCALES!$B:$E,4,FALSE),"")</f>
        <v/>
      </c>
      <c r="O1333" s="5" t="e">
        <f>VLOOKUP(Tabla2[[#This Row],[TIENDA]],[1]INFO_LOCALES!$B:$J,9,0)</f>
        <v>#N/A</v>
      </c>
      <c r="P1333" s="5" t="str">
        <f>IFERROR(VLOOKUP(I1333,[1]INFO_LOCALES!$B:$F,5,FALSE),"")</f>
        <v/>
      </c>
      <c r="S1333" s="6"/>
      <c r="T1333" s="5" t="str">
        <f>UPPER(IF(Tabla2[[#This Row],[FECHA DE MUESTREO ]]=0,"",TEXT(Tabla2[[#This Row],[FECHA DE MUESTREO ]],("MMMM"))))</f>
        <v/>
      </c>
      <c r="U1333" s="6"/>
      <c r="W13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3" s="7">
        <f t="shared" si="41"/>
        <v>1</v>
      </c>
    </row>
    <row r="1334" spans="10:24" x14ac:dyDescent="0.25">
      <c r="J1334" s="5" t="str">
        <f>IFERROR(VLOOKUP(I1334,[1]INFO_LOCALES!$B:$C,2,FALSE),"")</f>
        <v/>
      </c>
      <c r="K1334" s="5" t="str">
        <f>IFERROR(VLOOKUP(Tabla2[[#This Row],[TIENDA]],[1]INFO_LOCALES!$B:$D,3,FALSE),"")</f>
        <v/>
      </c>
      <c r="L1334" s="5" t="str">
        <f>IFERROR(VLOOKUP(I1334,[1]INFO_LOCALES!$B:$I,8,FALSE),"")</f>
        <v/>
      </c>
      <c r="M1334" s="5" t="str">
        <f>IFERROR(VLOOKUP(I1334,[1]INFO_LOCALES!$B:$H,7,FALSE),"")</f>
        <v/>
      </c>
      <c r="N1334" s="5" t="str">
        <f>IFERROR(VLOOKUP(I1334,[1]INFO_LOCALES!$B:$E,4,FALSE),"")</f>
        <v/>
      </c>
      <c r="O1334" s="5" t="e">
        <f>VLOOKUP(Tabla2[[#This Row],[TIENDA]],[1]INFO_LOCALES!$B:$J,9,0)</f>
        <v>#N/A</v>
      </c>
      <c r="P1334" s="5" t="str">
        <f>IFERROR(VLOOKUP(I1334,[1]INFO_LOCALES!$B:$F,5,FALSE),"")</f>
        <v/>
      </c>
      <c r="S1334" s="6"/>
      <c r="T1334" s="5" t="str">
        <f>UPPER(IF(Tabla2[[#This Row],[FECHA DE MUESTREO ]]=0,"",TEXT(Tabla2[[#This Row],[FECHA DE MUESTREO ]],("MMMM"))))</f>
        <v/>
      </c>
      <c r="U1334" s="6"/>
      <c r="W13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4" s="7">
        <f t="shared" si="41"/>
        <v>1</v>
      </c>
    </row>
    <row r="1335" spans="10:24" x14ac:dyDescent="0.25">
      <c r="J1335" s="5" t="str">
        <f>IFERROR(VLOOKUP(I1335,[1]INFO_LOCALES!$B:$C,2,FALSE),"")</f>
        <v/>
      </c>
      <c r="K1335" s="5" t="str">
        <f>IFERROR(VLOOKUP(Tabla2[[#This Row],[TIENDA]],[1]INFO_LOCALES!$B:$D,3,FALSE),"")</f>
        <v/>
      </c>
      <c r="L1335" s="5" t="str">
        <f>IFERROR(VLOOKUP(I1335,[1]INFO_LOCALES!$B:$I,8,FALSE),"")</f>
        <v/>
      </c>
      <c r="M1335" s="5" t="str">
        <f>IFERROR(VLOOKUP(I1335,[1]INFO_LOCALES!$B:$H,7,FALSE),"")</f>
        <v/>
      </c>
      <c r="N1335" s="5" t="str">
        <f>IFERROR(VLOOKUP(I1335,[1]INFO_LOCALES!$B:$E,4,FALSE),"")</f>
        <v/>
      </c>
      <c r="O1335" s="5" t="e">
        <f>VLOOKUP(Tabla2[[#This Row],[TIENDA]],[1]INFO_LOCALES!$B:$J,9,0)</f>
        <v>#N/A</v>
      </c>
      <c r="P1335" s="5" t="str">
        <f>IFERROR(VLOOKUP(I1335,[1]INFO_LOCALES!$B:$F,5,FALSE),"")</f>
        <v/>
      </c>
      <c r="S1335" s="6"/>
      <c r="T1335" s="5" t="str">
        <f>UPPER(IF(Tabla2[[#This Row],[FECHA DE MUESTREO ]]=0,"",TEXT(Tabla2[[#This Row],[FECHA DE MUESTREO ]],("MMMM"))))</f>
        <v/>
      </c>
      <c r="U1335" s="6"/>
      <c r="W13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5" s="7">
        <f t="shared" si="41"/>
        <v>1</v>
      </c>
    </row>
    <row r="1336" spans="10:24" x14ac:dyDescent="0.25">
      <c r="J1336" s="5" t="str">
        <f>IFERROR(VLOOKUP(I1336,[1]INFO_LOCALES!$B:$C,2,FALSE),"")</f>
        <v/>
      </c>
      <c r="K1336" s="5" t="str">
        <f>IFERROR(VLOOKUP(Tabla2[[#This Row],[TIENDA]],[1]INFO_LOCALES!$B:$D,3,FALSE),"")</f>
        <v/>
      </c>
      <c r="L1336" s="5" t="str">
        <f>IFERROR(VLOOKUP(I1336,[1]INFO_LOCALES!$B:$I,8,FALSE),"")</f>
        <v/>
      </c>
      <c r="M1336" s="5" t="str">
        <f>IFERROR(VLOOKUP(I1336,[1]INFO_LOCALES!$B:$H,7,FALSE),"")</f>
        <v/>
      </c>
      <c r="N1336" s="5" t="str">
        <f>IFERROR(VLOOKUP(I1336,[1]INFO_LOCALES!$B:$E,4,FALSE),"")</f>
        <v/>
      </c>
      <c r="O1336" s="5" t="e">
        <f>VLOOKUP(Tabla2[[#This Row],[TIENDA]],[1]INFO_LOCALES!$B:$J,9,0)</f>
        <v>#N/A</v>
      </c>
      <c r="P1336" s="5" t="str">
        <f>IFERROR(VLOOKUP(I1336,[1]INFO_LOCALES!$B:$F,5,FALSE),"")</f>
        <v/>
      </c>
      <c r="S1336" s="6"/>
      <c r="T1336" s="5" t="str">
        <f>UPPER(IF(Tabla2[[#This Row],[FECHA DE MUESTREO ]]=0,"",TEXT(Tabla2[[#This Row],[FECHA DE MUESTREO ]],("MMMM"))))</f>
        <v/>
      </c>
      <c r="U1336" s="6"/>
      <c r="W13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6" s="7">
        <f t="shared" si="41"/>
        <v>1</v>
      </c>
    </row>
    <row r="1337" spans="10:24" x14ac:dyDescent="0.25">
      <c r="J1337" s="5" t="str">
        <f>IFERROR(VLOOKUP(I1337,[1]INFO_LOCALES!$B:$C,2,FALSE),"")</f>
        <v/>
      </c>
      <c r="K1337" s="5" t="str">
        <f>IFERROR(VLOOKUP(Tabla2[[#This Row],[TIENDA]],[1]INFO_LOCALES!$B:$D,3,FALSE),"")</f>
        <v/>
      </c>
      <c r="L1337" s="5" t="str">
        <f>IFERROR(VLOOKUP(I1337,[1]INFO_LOCALES!$B:$I,8,FALSE),"")</f>
        <v/>
      </c>
      <c r="M1337" s="5" t="str">
        <f>IFERROR(VLOOKUP(I1337,[1]INFO_LOCALES!$B:$H,7,FALSE),"")</f>
        <v/>
      </c>
      <c r="N1337" s="5" t="str">
        <f>IFERROR(VLOOKUP(I1337,[1]INFO_LOCALES!$B:$E,4,FALSE),"")</f>
        <v/>
      </c>
      <c r="O1337" s="5" t="e">
        <f>VLOOKUP(Tabla2[[#This Row],[TIENDA]],[1]INFO_LOCALES!$B:$J,9,0)</f>
        <v>#N/A</v>
      </c>
      <c r="P1337" s="5" t="str">
        <f>IFERROR(VLOOKUP(I1337,[1]INFO_LOCALES!$B:$F,5,FALSE),"")</f>
        <v/>
      </c>
      <c r="S1337" s="6"/>
      <c r="T1337" s="5" t="str">
        <f>UPPER(IF(Tabla2[[#This Row],[FECHA DE MUESTREO ]]=0,"",TEXT(Tabla2[[#This Row],[FECHA DE MUESTREO ]],("MMMM"))))</f>
        <v/>
      </c>
      <c r="U1337" s="6"/>
      <c r="W13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7" s="7">
        <f t="shared" si="41"/>
        <v>1</v>
      </c>
    </row>
    <row r="1338" spans="10:24" x14ac:dyDescent="0.25">
      <c r="J1338" s="5" t="str">
        <f>IFERROR(VLOOKUP(I1338,[1]INFO_LOCALES!$B:$C,2,FALSE),"")</f>
        <v/>
      </c>
      <c r="K1338" s="5" t="str">
        <f>IFERROR(VLOOKUP(Tabla2[[#This Row],[TIENDA]],[1]INFO_LOCALES!$B:$D,3,FALSE),"")</f>
        <v/>
      </c>
      <c r="L1338" s="5" t="str">
        <f>IFERROR(VLOOKUP(I1338,[1]INFO_LOCALES!$B:$I,8,FALSE),"")</f>
        <v/>
      </c>
      <c r="M1338" s="5" t="str">
        <f>IFERROR(VLOOKUP(I1338,[1]INFO_LOCALES!$B:$H,7,FALSE),"")</f>
        <v/>
      </c>
      <c r="N1338" s="5" t="str">
        <f>IFERROR(VLOOKUP(I1338,[1]INFO_LOCALES!$B:$E,4,FALSE),"")</f>
        <v/>
      </c>
      <c r="O1338" s="5" t="e">
        <f>VLOOKUP(Tabla2[[#This Row],[TIENDA]],[1]INFO_LOCALES!$B:$J,9,0)</f>
        <v>#N/A</v>
      </c>
      <c r="P1338" s="5" t="str">
        <f>IFERROR(VLOOKUP(I1338,[1]INFO_LOCALES!$B:$F,5,FALSE),"")</f>
        <v/>
      </c>
      <c r="S1338" s="6"/>
      <c r="T1338" s="5" t="str">
        <f>UPPER(IF(Tabla2[[#This Row],[FECHA DE MUESTREO ]]=0,"",TEXT(Tabla2[[#This Row],[FECHA DE MUESTREO ]],("MMMM"))))</f>
        <v/>
      </c>
      <c r="U1338" s="6"/>
      <c r="W13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8" s="7">
        <f t="shared" si="41"/>
        <v>1</v>
      </c>
    </row>
    <row r="1339" spans="10:24" x14ac:dyDescent="0.25">
      <c r="J1339" s="5" t="str">
        <f>IFERROR(VLOOKUP(I1339,[1]INFO_LOCALES!$B:$C,2,FALSE),"")</f>
        <v/>
      </c>
      <c r="K1339" s="5" t="str">
        <f>IFERROR(VLOOKUP(Tabla2[[#This Row],[TIENDA]],[1]INFO_LOCALES!$B:$D,3,FALSE),"")</f>
        <v/>
      </c>
      <c r="L1339" s="5" t="str">
        <f>IFERROR(VLOOKUP(I1339,[1]INFO_LOCALES!$B:$I,8,FALSE),"")</f>
        <v/>
      </c>
      <c r="M1339" s="5" t="str">
        <f>IFERROR(VLOOKUP(I1339,[1]INFO_LOCALES!$B:$H,7,FALSE),"")</f>
        <v/>
      </c>
      <c r="N1339" s="5" t="str">
        <f>IFERROR(VLOOKUP(I1339,[1]INFO_LOCALES!$B:$E,4,FALSE),"")</f>
        <v/>
      </c>
      <c r="O1339" s="5" t="e">
        <f>VLOOKUP(Tabla2[[#This Row],[TIENDA]],[1]INFO_LOCALES!$B:$J,9,0)</f>
        <v>#N/A</v>
      </c>
      <c r="P1339" s="5" t="str">
        <f>IFERROR(VLOOKUP(I1339,[1]INFO_LOCALES!$B:$F,5,FALSE),"")</f>
        <v/>
      </c>
      <c r="S1339" s="6"/>
      <c r="T1339" s="5" t="str">
        <f>UPPER(IF(Tabla2[[#This Row],[FECHA DE MUESTREO ]]=0,"",TEXT(Tabla2[[#This Row],[FECHA DE MUESTREO ]],("MMMM"))))</f>
        <v/>
      </c>
      <c r="U1339" s="6"/>
      <c r="W13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39" s="7">
        <f t="shared" si="41"/>
        <v>1</v>
      </c>
    </row>
    <row r="1340" spans="10:24" x14ac:dyDescent="0.25">
      <c r="J1340" s="5" t="str">
        <f>IFERROR(VLOOKUP(I1340,[1]INFO_LOCALES!$B:$C,2,FALSE),"")</f>
        <v/>
      </c>
      <c r="K1340" s="5" t="str">
        <f>IFERROR(VLOOKUP(Tabla2[[#This Row],[TIENDA]],[1]INFO_LOCALES!$B:$D,3,FALSE),"")</f>
        <v/>
      </c>
      <c r="L1340" s="5" t="str">
        <f>IFERROR(VLOOKUP(I1340,[1]INFO_LOCALES!$B:$I,8,FALSE),"")</f>
        <v/>
      </c>
      <c r="M1340" s="5" t="str">
        <f>IFERROR(VLOOKUP(I1340,[1]INFO_LOCALES!$B:$H,7,FALSE),"")</f>
        <v/>
      </c>
      <c r="N1340" s="5" t="str">
        <f>IFERROR(VLOOKUP(I1340,[1]INFO_LOCALES!$B:$E,4,FALSE),"")</f>
        <v/>
      </c>
      <c r="O1340" s="5" t="e">
        <f>VLOOKUP(Tabla2[[#This Row],[TIENDA]],[1]INFO_LOCALES!$B:$J,9,0)</f>
        <v>#N/A</v>
      </c>
      <c r="P1340" s="5" t="str">
        <f>IFERROR(VLOOKUP(I1340,[1]INFO_LOCALES!$B:$F,5,FALSE),"")</f>
        <v/>
      </c>
      <c r="S1340" s="6"/>
      <c r="T1340" s="5" t="str">
        <f>UPPER(IF(Tabla2[[#This Row],[FECHA DE MUESTREO ]]=0,"",TEXT(Tabla2[[#This Row],[FECHA DE MUESTREO ]],("MMMM"))))</f>
        <v/>
      </c>
      <c r="U1340" s="6"/>
      <c r="W13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0" s="7">
        <f t="shared" si="41"/>
        <v>1</v>
      </c>
    </row>
    <row r="1341" spans="10:24" x14ac:dyDescent="0.25">
      <c r="J1341" s="5" t="str">
        <f>IFERROR(VLOOKUP(I1341,[1]INFO_LOCALES!$B:$C,2,FALSE),"")</f>
        <v/>
      </c>
      <c r="K1341" s="5" t="str">
        <f>IFERROR(VLOOKUP(Tabla2[[#This Row],[TIENDA]],[1]INFO_LOCALES!$B:$D,3,FALSE),"")</f>
        <v/>
      </c>
      <c r="L1341" s="5" t="str">
        <f>IFERROR(VLOOKUP(I1341,[1]INFO_LOCALES!$B:$I,8,FALSE),"")</f>
        <v/>
      </c>
      <c r="M1341" s="5" t="str">
        <f>IFERROR(VLOOKUP(I1341,[1]INFO_LOCALES!$B:$H,7,FALSE),"")</f>
        <v/>
      </c>
      <c r="N1341" s="5" t="str">
        <f>IFERROR(VLOOKUP(I1341,[1]INFO_LOCALES!$B:$E,4,FALSE),"")</f>
        <v/>
      </c>
      <c r="O1341" s="5" t="e">
        <f>VLOOKUP(Tabla2[[#This Row],[TIENDA]],[1]INFO_LOCALES!$B:$J,9,0)</f>
        <v>#N/A</v>
      </c>
      <c r="P1341" s="5" t="str">
        <f>IFERROR(VLOOKUP(I1341,[1]INFO_LOCALES!$B:$F,5,FALSE),"")</f>
        <v/>
      </c>
      <c r="S1341" s="6"/>
      <c r="T1341" s="5" t="str">
        <f>UPPER(IF(Tabla2[[#This Row],[FECHA DE MUESTREO ]]=0,"",TEXT(Tabla2[[#This Row],[FECHA DE MUESTREO ]],("MMMM"))))</f>
        <v/>
      </c>
      <c r="U1341" s="6"/>
      <c r="W13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1" s="7">
        <f t="shared" si="41"/>
        <v>1</v>
      </c>
    </row>
    <row r="1342" spans="10:24" x14ac:dyDescent="0.25">
      <c r="J1342" s="5" t="str">
        <f>IFERROR(VLOOKUP(I1342,[1]INFO_LOCALES!$B:$C,2,FALSE),"")</f>
        <v/>
      </c>
      <c r="K1342" s="5" t="str">
        <f>IFERROR(VLOOKUP(Tabla2[[#This Row],[TIENDA]],[1]INFO_LOCALES!$B:$D,3,FALSE),"")</f>
        <v/>
      </c>
      <c r="L1342" s="5" t="str">
        <f>IFERROR(VLOOKUP(I1342,[1]INFO_LOCALES!$B:$I,8,FALSE),"")</f>
        <v/>
      </c>
      <c r="M1342" s="5" t="str">
        <f>IFERROR(VLOOKUP(I1342,[1]INFO_LOCALES!$B:$H,7,FALSE),"")</f>
        <v/>
      </c>
      <c r="N1342" s="5" t="str">
        <f>IFERROR(VLOOKUP(I1342,[1]INFO_LOCALES!$B:$E,4,FALSE),"")</f>
        <v/>
      </c>
      <c r="O1342" s="5" t="e">
        <f>VLOOKUP(Tabla2[[#This Row],[TIENDA]],[1]INFO_LOCALES!$B:$J,9,0)</f>
        <v>#N/A</v>
      </c>
      <c r="P1342" s="5" t="str">
        <f>IFERROR(VLOOKUP(I1342,[1]INFO_LOCALES!$B:$F,5,FALSE),"")</f>
        <v/>
      </c>
      <c r="S1342" s="6"/>
      <c r="T1342" s="5" t="str">
        <f>UPPER(IF(Tabla2[[#This Row],[FECHA DE MUESTREO ]]=0,"",TEXT(Tabla2[[#This Row],[FECHA DE MUESTREO ]],("MMMM"))))</f>
        <v/>
      </c>
      <c r="U1342" s="6"/>
      <c r="W13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2" s="7">
        <f t="shared" si="41"/>
        <v>1</v>
      </c>
    </row>
    <row r="1343" spans="10:24" x14ac:dyDescent="0.25">
      <c r="J1343" s="5" t="str">
        <f>IFERROR(VLOOKUP(I1343,[1]INFO_LOCALES!$B:$C,2,FALSE),"")</f>
        <v/>
      </c>
      <c r="K1343" s="5" t="str">
        <f>IFERROR(VLOOKUP(Tabla2[[#This Row],[TIENDA]],[1]INFO_LOCALES!$B:$D,3,FALSE),"")</f>
        <v/>
      </c>
      <c r="L1343" s="5" t="str">
        <f>IFERROR(VLOOKUP(I1343,[1]INFO_LOCALES!$B:$I,8,FALSE),"")</f>
        <v/>
      </c>
      <c r="M1343" s="5" t="str">
        <f>IFERROR(VLOOKUP(I1343,[1]INFO_LOCALES!$B:$H,7,FALSE),"")</f>
        <v/>
      </c>
      <c r="N1343" s="5" t="str">
        <f>IFERROR(VLOOKUP(I1343,[1]INFO_LOCALES!$B:$E,4,FALSE),"")</f>
        <v/>
      </c>
      <c r="O1343" s="5" t="e">
        <f>VLOOKUP(Tabla2[[#This Row],[TIENDA]],[1]INFO_LOCALES!$B:$J,9,0)</f>
        <v>#N/A</v>
      </c>
      <c r="P1343" s="5" t="str">
        <f>IFERROR(VLOOKUP(I1343,[1]INFO_LOCALES!$B:$F,5,FALSE),"")</f>
        <v/>
      </c>
      <c r="S1343" s="6"/>
      <c r="T1343" s="5" t="str">
        <f>UPPER(IF(Tabla2[[#This Row],[FECHA DE MUESTREO ]]=0,"",TEXT(Tabla2[[#This Row],[FECHA DE MUESTREO ]],("MMMM"))))</f>
        <v/>
      </c>
      <c r="U1343" s="6"/>
      <c r="W13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3" s="7">
        <f t="shared" si="41"/>
        <v>1</v>
      </c>
    </row>
    <row r="1344" spans="10:24" x14ac:dyDescent="0.25">
      <c r="J1344" s="5" t="str">
        <f>IFERROR(VLOOKUP(I1344,[1]INFO_LOCALES!$B:$C,2,FALSE),"")</f>
        <v/>
      </c>
      <c r="K1344" s="5" t="str">
        <f>IFERROR(VLOOKUP(Tabla2[[#This Row],[TIENDA]],[1]INFO_LOCALES!$B:$D,3,FALSE),"")</f>
        <v/>
      </c>
      <c r="L1344" s="5" t="str">
        <f>IFERROR(VLOOKUP(I1344,[1]INFO_LOCALES!$B:$I,8,FALSE),"")</f>
        <v/>
      </c>
      <c r="M1344" s="5" t="str">
        <f>IFERROR(VLOOKUP(I1344,[1]INFO_LOCALES!$B:$H,7,FALSE),"")</f>
        <v/>
      </c>
      <c r="N1344" s="5" t="str">
        <f>IFERROR(VLOOKUP(I1344,[1]INFO_LOCALES!$B:$E,4,FALSE),"")</f>
        <v/>
      </c>
      <c r="O1344" s="5" t="e">
        <f>VLOOKUP(Tabla2[[#This Row],[TIENDA]],[1]INFO_LOCALES!$B:$J,9,0)</f>
        <v>#N/A</v>
      </c>
      <c r="P1344" s="5" t="str">
        <f>IFERROR(VLOOKUP(I1344,[1]INFO_LOCALES!$B:$F,5,FALSE),"")</f>
        <v/>
      </c>
      <c r="S1344" s="6"/>
      <c r="T1344" s="5" t="str">
        <f>UPPER(IF(Tabla2[[#This Row],[FECHA DE MUESTREO ]]=0,"",TEXT(Tabla2[[#This Row],[FECHA DE MUESTREO ]],("MMMM"))))</f>
        <v/>
      </c>
      <c r="U1344" s="6"/>
      <c r="W13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4" s="7">
        <f t="shared" si="41"/>
        <v>1</v>
      </c>
    </row>
    <row r="1345" spans="10:24" x14ac:dyDescent="0.25">
      <c r="J1345" s="5" t="str">
        <f>IFERROR(VLOOKUP(I1345,[1]INFO_LOCALES!$B:$C,2,FALSE),"")</f>
        <v/>
      </c>
      <c r="K1345" s="5" t="str">
        <f>IFERROR(VLOOKUP(Tabla2[[#This Row],[TIENDA]],[1]INFO_LOCALES!$B:$D,3,FALSE),"")</f>
        <v/>
      </c>
      <c r="L1345" s="5" t="str">
        <f>IFERROR(VLOOKUP(I1345,[1]INFO_LOCALES!$B:$I,8,FALSE),"")</f>
        <v/>
      </c>
      <c r="M1345" s="5" t="str">
        <f>IFERROR(VLOOKUP(I1345,[1]INFO_LOCALES!$B:$H,7,FALSE),"")</f>
        <v/>
      </c>
      <c r="N1345" s="5" t="str">
        <f>IFERROR(VLOOKUP(I1345,[1]INFO_LOCALES!$B:$E,4,FALSE),"")</f>
        <v/>
      </c>
      <c r="O1345" s="5" t="e">
        <f>VLOOKUP(Tabla2[[#This Row],[TIENDA]],[1]INFO_LOCALES!$B:$J,9,0)</f>
        <v>#N/A</v>
      </c>
      <c r="P1345" s="5" t="str">
        <f>IFERROR(VLOOKUP(I1345,[1]INFO_LOCALES!$B:$F,5,FALSE),"")</f>
        <v/>
      </c>
      <c r="S1345" s="6"/>
      <c r="T1345" s="5" t="str">
        <f>UPPER(IF(Tabla2[[#This Row],[FECHA DE MUESTREO ]]=0,"",TEXT(Tabla2[[#This Row],[FECHA DE MUESTREO ]],("MMMM"))))</f>
        <v/>
      </c>
      <c r="U1345" s="6"/>
      <c r="W13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5" s="7">
        <f t="shared" si="41"/>
        <v>1</v>
      </c>
    </row>
    <row r="1346" spans="10:24" x14ac:dyDescent="0.25">
      <c r="J1346" s="5" t="str">
        <f>IFERROR(VLOOKUP(I1346,[1]INFO_LOCALES!$B:$C,2,FALSE),"")</f>
        <v/>
      </c>
      <c r="K1346" s="5" t="str">
        <f>IFERROR(VLOOKUP(Tabla2[[#This Row],[TIENDA]],[1]INFO_LOCALES!$B:$D,3,FALSE),"")</f>
        <v/>
      </c>
      <c r="L1346" s="5" t="str">
        <f>IFERROR(VLOOKUP(I1346,[1]INFO_LOCALES!$B:$I,8,FALSE),"")</f>
        <v/>
      </c>
      <c r="M1346" s="5" t="str">
        <f>IFERROR(VLOOKUP(I1346,[1]INFO_LOCALES!$B:$H,7,FALSE),"")</f>
        <v/>
      </c>
      <c r="N1346" s="5" t="str">
        <f>IFERROR(VLOOKUP(I1346,[1]INFO_LOCALES!$B:$E,4,FALSE),"")</f>
        <v/>
      </c>
      <c r="O1346" s="5" t="e">
        <f>VLOOKUP(Tabla2[[#This Row],[TIENDA]],[1]INFO_LOCALES!$B:$J,9,0)</f>
        <v>#N/A</v>
      </c>
      <c r="P1346" s="5" t="str">
        <f>IFERROR(VLOOKUP(I1346,[1]INFO_LOCALES!$B:$F,5,FALSE),"")</f>
        <v/>
      </c>
      <c r="S1346" s="6"/>
      <c r="T1346" s="5" t="str">
        <f>UPPER(IF(Tabla2[[#This Row],[FECHA DE MUESTREO ]]=0,"",TEXT(Tabla2[[#This Row],[FECHA DE MUESTREO ]],("MMMM"))))</f>
        <v/>
      </c>
      <c r="U1346" s="6"/>
      <c r="W13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6" s="7">
        <f t="shared" si="41"/>
        <v>1</v>
      </c>
    </row>
    <row r="1347" spans="10:24" x14ac:dyDescent="0.25">
      <c r="J1347" s="5" t="str">
        <f>IFERROR(VLOOKUP(I1347,[1]INFO_LOCALES!$B:$C,2,FALSE),"")</f>
        <v/>
      </c>
      <c r="K1347" s="5" t="str">
        <f>IFERROR(VLOOKUP(Tabla2[[#This Row],[TIENDA]],[1]INFO_LOCALES!$B:$D,3,FALSE),"")</f>
        <v/>
      </c>
      <c r="L1347" s="5" t="str">
        <f>IFERROR(VLOOKUP(I1347,[1]INFO_LOCALES!$B:$I,8,FALSE),"")</f>
        <v/>
      </c>
      <c r="M1347" s="5" t="str">
        <f>IFERROR(VLOOKUP(I1347,[1]INFO_LOCALES!$B:$H,7,FALSE),"")</f>
        <v/>
      </c>
      <c r="N1347" s="5" t="str">
        <f>IFERROR(VLOOKUP(I1347,[1]INFO_LOCALES!$B:$E,4,FALSE),"")</f>
        <v/>
      </c>
      <c r="O1347" s="5" t="e">
        <f>VLOOKUP(Tabla2[[#This Row],[TIENDA]],[1]INFO_LOCALES!$B:$J,9,0)</f>
        <v>#N/A</v>
      </c>
      <c r="P1347" s="5" t="str">
        <f>IFERROR(VLOOKUP(I1347,[1]INFO_LOCALES!$B:$F,5,FALSE),"")</f>
        <v/>
      </c>
      <c r="S1347" s="6"/>
      <c r="T1347" s="5" t="str">
        <f>UPPER(IF(Tabla2[[#This Row],[FECHA DE MUESTREO ]]=0,"",TEXT(Tabla2[[#This Row],[FECHA DE MUESTREO ]],("MMMM"))))</f>
        <v/>
      </c>
      <c r="U1347" s="6"/>
      <c r="W13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7" s="7">
        <f t="shared" si="41"/>
        <v>1</v>
      </c>
    </row>
    <row r="1348" spans="10:24" x14ac:dyDescent="0.25">
      <c r="J1348" s="5" t="str">
        <f>IFERROR(VLOOKUP(I1348,[1]INFO_LOCALES!$B:$C,2,FALSE),"")</f>
        <v/>
      </c>
      <c r="K1348" s="5" t="str">
        <f>IFERROR(VLOOKUP(Tabla2[[#This Row],[TIENDA]],[1]INFO_LOCALES!$B:$D,3,FALSE),"")</f>
        <v/>
      </c>
      <c r="L1348" s="5" t="str">
        <f>IFERROR(VLOOKUP(I1348,[1]INFO_LOCALES!$B:$I,8,FALSE),"")</f>
        <v/>
      </c>
      <c r="M1348" s="5" t="str">
        <f>IFERROR(VLOOKUP(I1348,[1]INFO_LOCALES!$B:$H,7,FALSE),"")</f>
        <v/>
      </c>
      <c r="N1348" s="5" t="str">
        <f>IFERROR(VLOOKUP(I1348,[1]INFO_LOCALES!$B:$E,4,FALSE),"")</f>
        <v/>
      </c>
      <c r="O1348" s="5" t="e">
        <f>VLOOKUP(Tabla2[[#This Row],[TIENDA]],[1]INFO_LOCALES!$B:$J,9,0)</f>
        <v>#N/A</v>
      </c>
      <c r="P1348" s="5" t="str">
        <f>IFERROR(VLOOKUP(I1348,[1]INFO_LOCALES!$B:$F,5,FALSE),"")</f>
        <v/>
      </c>
      <c r="S1348" s="6"/>
      <c r="T1348" s="5" t="str">
        <f>UPPER(IF(Tabla2[[#This Row],[FECHA DE MUESTREO ]]=0,"",TEXT(Tabla2[[#This Row],[FECHA DE MUESTREO ]],("MMMM"))))</f>
        <v/>
      </c>
      <c r="U1348" s="6"/>
      <c r="W13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8" s="7">
        <f t="shared" si="41"/>
        <v>1</v>
      </c>
    </row>
    <row r="1349" spans="10:24" x14ac:dyDescent="0.25">
      <c r="J1349" s="5" t="str">
        <f>IFERROR(VLOOKUP(I1349,[1]INFO_LOCALES!$B:$C,2,FALSE),"")</f>
        <v/>
      </c>
      <c r="K1349" s="5" t="str">
        <f>IFERROR(VLOOKUP(Tabla2[[#This Row],[TIENDA]],[1]INFO_LOCALES!$B:$D,3,FALSE),"")</f>
        <v/>
      </c>
      <c r="L1349" s="5" t="str">
        <f>IFERROR(VLOOKUP(I1349,[1]INFO_LOCALES!$B:$I,8,FALSE),"")</f>
        <v/>
      </c>
      <c r="M1349" s="5" t="str">
        <f>IFERROR(VLOOKUP(I1349,[1]INFO_LOCALES!$B:$H,7,FALSE),"")</f>
        <v/>
      </c>
      <c r="N1349" s="5" t="str">
        <f>IFERROR(VLOOKUP(I1349,[1]INFO_LOCALES!$B:$E,4,FALSE),"")</f>
        <v/>
      </c>
      <c r="O1349" s="5" t="e">
        <f>VLOOKUP(Tabla2[[#This Row],[TIENDA]],[1]INFO_LOCALES!$B:$J,9,0)</f>
        <v>#N/A</v>
      </c>
      <c r="P1349" s="5" t="str">
        <f>IFERROR(VLOOKUP(I1349,[1]INFO_LOCALES!$B:$F,5,FALSE),"")</f>
        <v/>
      </c>
      <c r="S1349" s="6"/>
      <c r="T1349" s="5" t="str">
        <f>UPPER(IF(Tabla2[[#This Row],[FECHA DE MUESTREO ]]=0,"",TEXT(Tabla2[[#This Row],[FECHA DE MUESTREO ]],("MMMM"))))</f>
        <v/>
      </c>
      <c r="U1349" s="6"/>
      <c r="W13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49" s="7">
        <f t="shared" si="41"/>
        <v>1</v>
      </c>
    </row>
    <row r="1350" spans="10:24" x14ac:dyDescent="0.25">
      <c r="J1350" s="5" t="str">
        <f>IFERROR(VLOOKUP(I1350,[1]INFO_LOCALES!$B:$C,2,FALSE),"")</f>
        <v/>
      </c>
      <c r="K1350" s="5" t="str">
        <f>IFERROR(VLOOKUP(Tabla2[[#This Row],[TIENDA]],[1]INFO_LOCALES!$B:$D,3,FALSE),"")</f>
        <v/>
      </c>
      <c r="L1350" s="5" t="str">
        <f>IFERROR(VLOOKUP(I1350,[1]INFO_LOCALES!$B:$I,8,FALSE),"")</f>
        <v/>
      </c>
      <c r="M1350" s="5" t="str">
        <f>IFERROR(VLOOKUP(I1350,[1]INFO_LOCALES!$B:$H,7,FALSE),"")</f>
        <v/>
      </c>
      <c r="N1350" s="5" t="str">
        <f>IFERROR(VLOOKUP(I1350,[1]INFO_LOCALES!$B:$E,4,FALSE),"")</f>
        <v/>
      </c>
      <c r="O1350" s="5" t="e">
        <f>VLOOKUP(Tabla2[[#This Row],[TIENDA]],[1]INFO_LOCALES!$B:$J,9,0)</f>
        <v>#N/A</v>
      </c>
      <c r="P1350" s="5" t="str">
        <f>IFERROR(VLOOKUP(I1350,[1]INFO_LOCALES!$B:$F,5,FALSE),"")</f>
        <v/>
      </c>
      <c r="S1350" s="6"/>
      <c r="T1350" s="5" t="str">
        <f>UPPER(IF(Tabla2[[#This Row],[FECHA DE MUESTREO ]]=0,"",TEXT(Tabla2[[#This Row],[FECHA DE MUESTREO ]],("MMMM"))))</f>
        <v/>
      </c>
      <c r="U1350" s="6"/>
      <c r="W13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0" s="7">
        <f t="shared" si="41"/>
        <v>1</v>
      </c>
    </row>
    <row r="1351" spans="10:24" x14ac:dyDescent="0.25">
      <c r="J1351" s="5" t="str">
        <f>IFERROR(VLOOKUP(I1351,[1]INFO_LOCALES!$B:$C,2,FALSE),"")</f>
        <v/>
      </c>
      <c r="K1351" s="5" t="str">
        <f>IFERROR(VLOOKUP(Tabla2[[#This Row],[TIENDA]],[1]INFO_LOCALES!$B:$D,3,FALSE),"")</f>
        <v/>
      </c>
      <c r="L1351" s="5" t="str">
        <f>IFERROR(VLOOKUP(I1351,[1]INFO_LOCALES!$B:$I,8,FALSE),"")</f>
        <v/>
      </c>
      <c r="M1351" s="5" t="str">
        <f>IFERROR(VLOOKUP(I1351,[1]INFO_LOCALES!$B:$H,7,FALSE),"")</f>
        <v/>
      </c>
      <c r="N1351" s="5" t="str">
        <f>IFERROR(VLOOKUP(I1351,[1]INFO_LOCALES!$B:$E,4,FALSE),"")</f>
        <v/>
      </c>
      <c r="O1351" s="5" t="e">
        <f>VLOOKUP(Tabla2[[#This Row],[TIENDA]],[1]INFO_LOCALES!$B:$J,9,0)</f>
        <v>#N/A</v>
      </c>
      <c r="P1351" s="5" t="str">
        <f>IFERROR(VLOOKUP(I1351,[1]INFO_LOCALES!$B:$F,5,FALSE),"")</f>
        <v/>
      </c>
      <c r="S1351" s="6"/>
      <c r="T1351" s="5" t="str">
        <f>UPPER(IF(Tabla2[[#This Row],[FECHA DE MUESTREO ]]=0,"",TEXT(Tabla2[[#This Row],[FECHA DE MUESTREO ]],("MMMM"))))</f>
        <v/>
      </c>
      <c r="U1351" s="6"/>
      <c r="W13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1" s="7">
        <f t="shared" si="41"/>
        <v>1</v>
      </c>
    </row>
    <row r="1352" spans="10:24" x14ac:dyDescent="0.25">
      <c r="J1352" s="5" t="str">
        <f>IFERROR(VLOOKUP(I1352,[1]INFO_LOCALES!$B:$C,2,FALSE),"")</f>
        <v/>
      </c>
      <c r="K1352" s="5" t="str">
        <f>IFERROR(VLOOKUP(Tabla2[[#This Row],[TIENDA]],[1]INFO_LOCALES!$B:$D,3,FALSE),"")</f>
        <v/>
      </c>
      <c r="L1352" s="5" t="str">
        <f>IFERROR(VLOOKUP(I1352,[1]INFO_LOCALES!$B:$I,8,FALSE),"")</f>
        <v/>
      </c>
      <c r="M1352" s="5" t="str">
        <f>IFERROR(VLOOKUP(I1352,[1]INFO_LOCALES!$B:$H,7,FALSE),"")</f>
        <v/>
      </c>
      <c r="N1352" s="5" t="str">
        <f>IFERROR(VLOOKUP(I1352,[1]INFO_LOCALES!$B:$E,4,FALSE),"")</f>
        <v/>
      </c>
      <c r="O1352" s="5" t="e">
        <f>VLOOKUP(Tabla2[[#This Row],[TIENDA]],[1]INFO_LOCALES!$B:$J,9,0)</f>
        <v>#N/A</v>
      </c>
      <c r="P1352" s="5" t="str">
        <f>IFERROR(VLOOKUP(I1352,[1]INFO_LOCALES!$B:$F,5,FALSE),"")</f>
        <v/>
      </c>
      <c r="S1352" s="6"/>
      <c r="T1352" s="5" t="str">
        <f>UPPER(IF(Tabla2[[#This Row],[FECHA DE MUESTREO ]]=0,"",TEXT(Tabla2[[#This Row],[FECHA DE MUESTREO ]],("MMMM"))))</f>
        <v/>
      </c>
      <c r="U1352" s="6"/>
      <c r="W13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2" s="7">
        <f t="shared" si="41"/>
        <v>1</v>
      </c>
    </row>
    <row r="1353" spans="10:24" x14ac:dyDescent="0.25">
      <c r="J1353" s="5" t="str">
        <f>IFERROR(VLOOKUP(I1353,[1]INFO_LOCALES!$B:$C,2,FALSE),"")</f>
        <v/>
      </c>
      <c r="K1353" s="5" t="str">
        <f>IFERROR(VLOOKUP(Tabla2[[#This Row],[TIENDA]],[1]INFO_LOCALES!$B:$D,3,FALSE),"")</f>
        <v/>
      </c>
      <c r="L1353" s="5" t="str">
        <f>IFERROR(VLOOKUP(I1353,[1]INFO_LOCALES!$B:$I,8,FALSE),"")</f>
        <v/>
      </c>
      <c r="M1353" s="5" t="str">
        <f>IFERROR(VLOOKUP(I1353,[1]INFO_LOCALES!$B:$H,7,FALSE),"")</f>
        <v/>
      </c>
      <c r="N1353" s="5" t="str">
        <f>IFERROR(VLOOKUP(I1353,[1]INFO_LOCALES!$B:$E,4,FALSE),"")</f>
        <v/>
      </c>
      <c r="O1353" s="5" t="e">
        <f>VLOOKUP(Tabla2[[#This Row],[TIENDA]],[1]INFO_LOCALES!$B:$J,9,0)</f>
        <v>#N/A</v>
      </c>
      <c r="P1353" s="5" t="str">
        <f>IFERROR(VLOOKUP(I1353,[1]INFO_LOCALES!$B:$F,5,FALSE),"")</f>
        <v/>
      </c>
      <c r="S1353" s="6"/>
      <c r="T1353" s="5" t="str">
        <f>UPPER(IF(Tabla2[[#This Row],[FECHA DE MUESTREO ]]=0,"",TEXT(Tabla2[[#This Row],[FECHA DE MUESTREO ]],("MMMM"))))</f>
        <v/>
      </c>
      <c r="U1353" s="6"/>
      <c r="W13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3" s="7">
        <f t="shared" si="41"/>
        <v>1</v>
      </c>
    </row>
    <row r="1354" spans="10:24" x14ac:dyDescent="0.25">
      <c r="J1354" s="5" t="str">
        <f>IFERROR(VLOOKUP(I1354,[1]INFO_LOCALES!$B:$C,2,FALSE),"")</f>
        <v/>
      </c>
      <c r="K1354" s="5" t="str">
        <f>IFERROR(VLOOKUP(Tabla2[[#This Row],[TIENDA]],[1]INFO_LOCALES!$B:$D,3,FALSE),"")</f>
        <v/>
      </c>
      <c r="L1354" s="5" t="str">
        <f>IFERROR(VLOOKUP(I1354,[1]INFO_LOCALES!$B:$I,8,FALSE),"")</f>
        <v/>
      </c>
      <c r="M1354" s="5" t="str">
        <f>IFERROR(VLOOKUP(I1354,[1]INFO_LOCALES!$B:$H,7,FALSE),"")</f>
        <v/>
      </c>
      <c r="N1354" s="5" t="str">
        <f>IFERROR(VLOOKUP(I1354,[1]INFO_LOCALES!$B:$E,4,FALSE),"")</f>
        <v/>
      </c>
      <c r="O1354" s="5" t="e">
        <f>VLOOKUP(Tabla2[[#This Row],[TIENDA]],[1]INFO_LOCALES!$B:$J,9,0)</f>
        <v>#N/A</v>
      </c>
      <c r="P1354" s="5" t="str">
        <f>IFERROR(VLOOKUP(I1354,[1]INFO_LOCALES!$B:$F,5,FALSE),"")</f>
        <v/>
      </c>
      <c r="S1354" s="6"/>
      <c r="T1354" s="5" t="str">
        <f>UPPER(IF(Tabla2[[#This Row],[FECHA DE MUESTREO ]]=0,"",TEXT(Tabla2[[#This Row],[FECHA DE MUESTREO ]],("MMMM"))))</f>
        <v/>
      </c>
      <c r="U1354" s="6"/>
      <c r="W13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4" s="7">
        <f t="shared" si="41"/>
        <v>1</v>
      </c>
    </row>
    <row r="1355" spans="10:24" x14ac:dyDescent="0.25">
      <c r="J1355" s="5" t="str">
        <f>IFERROR(VLOOKUP(I1355,[1]INFO_LOCALES!$B:$C,2,FALSE),"")</f>
        <v/>
      </c>
      <c r="K1355" s="5" t="str">
        <f>IFERROR(VLOOKUP(Tabla2[[#This Row],[TIENDA]],[1]INFO_LOCALES!$B:$D,3,FALSE),"")</f>
        <v/>
      </c>
      <c r="L1355" s="5" t="str">
        <f>IFERROR(VLOOKUP(I1355,[1]INFO_LOCALES!$B:$I,8,FALSE),"")</f>
        <v/>
      </c>
      <c r="M1355" s="5" t="str">
        <f>IFERROR(VLOOKUP(I1355,[1]INFO_LOCALES!$B:$H,7,FALSE),"")</f>
        <v/>
      </c>
      <c r="N1355" s="5" t="str">
        <f>IFERROR(VLOOKUP(I1355,[1]INFO_LOCALES!$B:$E,4,FALSE),"")</f>
        <v/>
      </c>
      <c r="O1355" s="5" t="e">
        <f>VLOOKUP(Tabla2[[#This Row],[TIENDA]],[1]INFO_LOCALES!$B:$J,9,0)</f>
        <v>#N/A</v>
      </c>
      <c r="P1355" s="5" t="str">
        <f>IFERROR(VLOOKUP(I1355,[1]INFO_LOCALES!$B:$F,5,FALSE),"")</f>
        <v/>
      </c>
      <c r="S1355" s="6"/>
      <c r="T1355" s="5" t="str">
        <f>UPPER(IF(Tabla2[[#This Row],[FECHA DE MUESTREO ]]=0,"",TEXT(Tabla2[[#This Row],[FECHA DE MUESTREO ]],("MMMM"))))</f>
        <v/>
      </c>
      <c r="U1355" s="6"/>
      <c r="W13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5" s="7">
        <f t="shared" si="41"/>
        <v>1</v>
      </c>
    </row>
    <row r="1356" spans="10:24" x14ac:dyDescent="0.25">
      <c r="J1356" s="5" t="str">
        <f>IFERROR(VLOOKUP(I1356,[1]INFO_LOCALES!$B:$C,2,FALSE),"")</f>
        <v/>
      </c>
      <c r="K1356" s="5" t="str">
        <f>IFERROR(VLOOKUP(Tabla2[[#This Row],[TIENDA]],[1]INFO_LOCALES!$B:$D,3,FALSE),"")</f>
        <v/>
      </c>
      <c r="L1356" s="5" t="str">
        <f>IFERROR(VLOOKUP(I1356,[1]INFO_LOCALES!$B:$I,8,FALSE),"")</f>
        <v/>
      </c>
      <c r="M1356" s="5" t="str">
        <f>IFERROR(VLOOKUP(I1356,[1]INFO_LOCALES!$B:$H,7,FALSE),"")</f>
        <v/>
      </c>
      <c r="N1356" s="5" t="str">
        <f>IFERROR(VLOOKUP(I1356,[1]INFO_LOCALES!$B:$E,4,FALSE),"")</f>
        <v/>
      </c>
      <c r="O1356" s="5" t="e">
        <f>VLOOKUP(Tabla2[[#This Row],[TIENDA]],[1]INFO_LOCALES!$B:$J,9,0)</f>
        <v>#N/A</v>
      </c>
      <c r="P1356" s="5" t="str">
        <f>IFERROR(VLOOKUP(I1356,[1]INFO_LOCALES!$B:$F,5,FALSE),"")</f>
        <v/>
      </c>
      <c r="S1356" s="6"/>
      <c r="T1356" s="5" t="str">
        <f>UPPER(IF(Tabla2[[#This Row],[FECHA DE MUESTREO ]]=0,"",TEXT(Tabla2[[#This Row],[FECHA DE MUESTREO ]],("MMMM"))))</f>
        <v/>
      </c>
      <c r="U1356" s="6"/>
      <c r="W13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6" s="7">
        <f t="shared" si="41"/>
        <v>1</v>
      </c>
    </row>
    <row r="1357" spans="10:24" x14ac:dyDescent="0.25">
      <c r="J1357" s="5" t="str">
        <f>IFERROR(VLOOKUP(I1357,[1]INFO_LOCALES!$B:$C,2,FALSE),"")</f>
        <v/>
      </c>
      <c r="K1357" s="5" t="str">
        <f>IFERROR(VLOOKUP(Tabla2[[#This Row],[TIENDA]],[1]INFO_LOCALES!$B:$D,3,FALSE),"")</f>
        <v/>
      </c>
      <c r="L1357" s="5" t="str">
        <f>IFERROR(VLOOKUP(I1357,[1]INFO_LOCALES!$B:$I,8,FALSE),"")</f>
        <v/>
      </c>
      <c r="M1357" s="5" t="str">
        <f>IFERROR(VLOOKUP(I1357,[1]INFO_LOCALES!$B:$H,7,FALSE),"")</f>
        <v/>
      </c>
      <c r="N1357" s="5" t="str">
        <f>IFERROR(VLOOKUP(I1357,[1]INFO_LOCALES!$B:$E,4,FALSE),"")</f>
        <v/>
      </c>
      <c r="O1357" s="5" t="e">
        <f>VLOOKUP(Tabla2[[#This Row],[TIENDA]],[1]INFO_LOCALES!$B:$J,9,0)</f>
        <v>#N/A</v>
      </c>
      <c r="P1357" s="5" t="str">
        <f>IFERROR(VLOOKUP(I1357,[1]INFO_LOCALES!$B:$F,5,FALSE),"")</f>
        <v/>
      </c>
      <c r="S1357" s="6"/>
      <c r="T1357" s="5" t="str">
        <f>UPPER(IF(Tabla2[[#This Row],[FECHA DE MUESTREO ]]=0,"",TEXT(Tabla2[[#This Row],[FECHA DE MUESTREO ]],("MMMM"))))</f>
        <v/>
      </c>
      <c r="U1357" s="6"/>
      <c r="W13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7" s="7">
        <f t="shared" si="41"/>
        <v>1</v>
      </c>
    </row>
    <row r="1358" spans="10:24" x14ac:dyDescent="0.25">
      <c r="J1358" s="5" t="str">
        <f>IFERROR(VLOOKUP(I1358,[1]INFO_LOCALES!$B:$C,2,FALSE),"")</f>
        <v/>
      </c>
      <c r="K1358" s="5" t="str">
        <f>IFERROR(VLOOKUP(Tabla2[[#This Row],[TIENDA]],[1]INFO_LOCALES!$B:$D,3,FALSE),"")</f>
        <v/>
      </c>
      <c r="L1358" s="5" t="str">
        <f>IFERROR(VLOOKUP(I1358,[1]INFO_LOCALES!$B:$I,8,FALSE),"")</f>
        <v/>
      </c>
      <c r="M1358" s="5" t="str">
        <f>IFERROR(VLOOKUP(I1358,[1]INFO_LOCALES!$B:$H,7,FALSE),"")</f>
        <v/>
      </c>
      <c r="N1358" s="5" t="str">
        <f>IFERROR(VLOOKUP(I1358,[1]INFO_LOCALES!$B:$E,4,FALSE),"")</f>
        <v/>
      </c>
      <c r="O1358" s="5" t="e">
        <f>VLOOKUP(Tabla2[[#This Row],[TIENDA]],[1]INFO_LOCALES!$B:$J,9,0)</f>
        <v>#N/A</v>
      </c>
      <c r="P1358" s="5" t="str">
        <f>IFERROR(VLOOKUP(I1358,[1]INFO_LOCALES!$B:$F,5,FALSE),"")</f>
        <v/>
      </c>
      <c r="S1358" s="6"/>
      <c r="T1358" s="5" t="str">
        <f>UPPER(IF(Tabla2[[#This Row],[FECHA DE MUESTREO ]]=0,"",TEXT(Tabla2[[#This Row],[FECHA DE MUESTREO ]],("MMMM"))))</f>
        <v/>
      </c>
      <c r="U1358" s="6"/>
      <c r="W13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8" s="7">
        <f t="shared" si="41"/>
        <v>1</v>
      </c>
    </row>
    <row r="1359" spans="10:24" x14ac:dyDescent="0.25">
      <c r="J1359" s="5" t="str">
        <f>IFERROR(VLOOKUP(I1359,[1]INFO_LOCALES!$B:$C,2,FALSE),"")</f>
        <v/>
      </c>
      <c r="K1359" s="5" t="str">
        <f>IFERROR(VLOOKUP(Tabla2[[#This Row],[TIENDA]],[1]INFO_LOCALES!$B:$D,3,FALSE),"")</f>
        <v/>
      </c>
      <c r="L1359" s="5" t="str">
        <f>IFERROR(VLOOKUP(I1359,[1]INFO_LOCALES!$B:$I,8,FALSE),"")</f>
        <v/>
      </c>
      <c r="M1359" s="5" t="str">
        <f>IFERROR(VLOOKUP(I1359,[1]INFO_LOCALES!$B:$H,7,FALSE),"")</f>
        <v/>
      </c>
      <c r="N1359" s="5" t="str">
        <f>IFERROR(VLOOKUP(I1359,[1]INFO_LOCALES!$B:$E,4,FALSE),"")</f>
        <v/>
      </c>
      <c r="O1359" s="5" t="e">
        <f>VLOOKUP(Tabla2[[#This Row],[TIENDA]],[1]INFO_LOCALES!$B:$J,9,0)</f>
        <v>#N/A</v>
      </c>
      <c r="P1359" s="5" t="str">
        <f>IFERROR(VLOOKUP(I1359,[1]INFO_LOCALES!$B:$F,5,FALSE),"")</f>
        <v/>
      </c>
      <c r="S1359" s="6"/>
      <c r="T1359" s="5" t="str">
        <f>UPPER(IF(Tabla2[[#This Row],[FECHA DE MUESTREO ]]=0,"",TEXT(Tabla2[[#This Row],[FECHA DE MUESTREO ]],("MMMM"))))</f>
        <v/>
      </c>
      <c r="U1359" s="6"/>
      <c r="W13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59" s="7">
        <f t="shared" si="41"/>
        <v>1</v>
      </c>
    </row>
    <row r="1360" spans="10:24" x14ac:dyDescent="0.25">
      <c r="J1360" s="5" t="str">
        <f>IFERROR(VLOOKUP(I1360,[1]INFO_LOCALES!$B:$C,2,FALSE),"")</f>
        <v/>
      </c>
      <c r="K1360" s="5" t="str">
        <f>IFERROR(VLOOKUP(Tabla2[[#This Row],[TIENDA]],[1]INFO_LOCALES!$B:$D,3,FALSE),"")</f>
        <v/>
      </c>
      <c r="L1360" s="5" t="str">
        <f>IFERROR(VLOOKUP(I1360,[1]INFO_LOCALES!$B:$I,8,FALSE),"")</f>
        <v/>
      </c>
      <c r="M1360" s="5" t="str">
        <f>IFERROR(VLOOKUP(I1360,[1]INFO_LOCALES!$B:$H,7,FALSE),"")</f>
        <v/>
      </c>
      <c r="N1360" s="5" t="str">
        <f>IFERROR(VLOOKUP(I1360,[1]INFO_LOCALES!$B:$E,4,FALSE),"")</f>
        <v/>
      </c>
      <c r="O1360" s="5" t="e">
        <f>VLOOKUP(Tabla2[[#This Row],[TIENDA]],[1]INFO_LOCALES!$B:$J,9,0)</f>
        <v>#N/A</v>
      </c>
      <c r="P1360" s="5" t="str">
        <f>IFERROR(VLOOKUP(I1360,[1]INFO_LOCALES!$B:$F,5,FALSE),"")</f>
        <v/>
      </c>
      <c r="S1360" s="6"/>
      <c r="T1360" s="5" t="str">
        <f>UPPER(IF(Tabla2[[#This Row],[FECHA DE MUESTREO ]]=0,"",TEXT(Tabla2[[#This Row],[FECHA DE MUESTREO ]],("MMMM"))))</f>
        <v/>
      </c>
      <c r="U1360" s="6"/>
      <c r="W13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0" s="7">
        <f t="shared" si="41"/>
        <v>1</v>
      </c>
    </row>
    <row r="1361" spans="10:24" x14ac:dyDescent="0.25">
      <c r="J1361" s="5" t="str">
        <f>IFERROR(VLOOKUP(I1361,[1]INFO_LOCALES!$B:$C,2,FALSE),"")</f>
        <v/>
      </c>
      <c r="K1361" s="5" t="str">
        <f>IFERROR(VLOOKUP(Tabla2[[#This Row],[TIENDA]],[1]INFO_LOCALES!$B:$D,3,FALSE),"")</f>
        <v/>
      </c>
      <c r="L1361" s="5" t="str">
        <f>IFERROR(VLOOKUP(I1361,[1]INFO_LOCALES!$B:$I,8,FALSE),"")</f>
        <v/>
      </c>
      <c r="M1361" s="5" t="str">
        <f>IFERROR(VLOOKUP(I1361,[1]INFO_LOCALES!$B:$H,7,FALSE),"")</f>
        <v/>
      </c>
      <c r="N1361" s="5" t="str">
        <f>IFERROR(VLOOKUP(I1361,[1]INFO_LOCALES!$B:$E,4,FALSE),"")</f>
        <v/>
      </c>
      <c r="O1361" s="5" t="e">
        <f>VLOOKUP(Tabla2[[#This Row],[TIENDA]],[1]INFO_LOCALES!$B:$J,9,0)</f>
        <v>#N/A</v>
      </c>
      <c r="P1361" s="5" t="str">
        <f>IFERROR(VLOOKUP(I1361,[1]INFO_LOCALES!$B:$F,5,FALSE),"")</f>
        <v/>
      </c>
      <c r="S1361" s="6"/>
      <c r="T1361" s="5" t="str">
        <f>UPPER(IF(Tabla2[[#This Row],[FECHA DE MUESTREO ]]=0,"",TEXT(Tabla2[[#This Row],[FECHA DE MUESTREO ]],("MMMM"))))</f>
        <v/>
      </c>
      <c r="U1361" s="6"/>
      <c r="W13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1" s="7">
        <f t="shared" si="41"/>
        <v>1</v>
      </c>
    </row>
    <row r="1362" spans="10:24" x14ac:dyDescent="0.25">
      <c r="J1362" s="5" t="str">
        <f>IFERROR(VLOOKUP(I1362,[1]INFO_LOCALES!$B:$C,2,FALSE),"")</f>
        <v/>
      </c>
      <c r="K1362" s="5" t="str">
        <f>IFERROR(VLOOKUP(Tabla2[[#This Row],[TIENDA]],[1]INFO_LOCALES!$B:$D,3,FALSE),"")</f>
        <v/>
      </c>
      <c r="L1362" s="5" t="str">
        <f>IFERROR(VLOOKUP(I1362,[1]INFO_LOCALES!$B:$I,8,FALSE),"")</f>
        <v/>
      </c>
      <c r="M1362" s="5" t="str">
        <f>IFERROR(VLOOKUP(I1362,[1]INFO_LOCALES!$B:$H,7,FALSE),"")</f>
        <v/>
      </c>
      <c r="N1362" s="5" t="str">
        <f>IFERROR(VLOOKUP(I1362,[1]INFO_LOCALES!$B:$E,4,FALSE),"")</f>
        <v/>
      </c>
      <c r="O1362" s="5" t="e">
        <f>VLOOKUP(Tabla2[[#This Row],[TIENDA]],[1]INFO_LOCALES!$B:$J,9,0)</f>
        <v>#N/A</v>
      </c>
      <c r="P1362" s="5" t="str">
        <f>IFERROR(VLOOKUP(I1362,[1]INFO_LOCALES!$B:$F,5,FALSE),"")</f>
        <v/>
      </c>
      <c r="S1362" s="6"/>
      <c r="T1362" s="5" t="str">
        <f>UPPER(IF(Tabla2[[#This Row],[FECHA DE MUESTREO ]]=0,"",TEXT(Tabla2[[#This Row],[FECHA DE MUESTREO ]],("MMMM"))))</f>
        <v/>
      </c>
      <c r="U1362" s="6"/>
      <c r="W13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2" s="7">
        <f t="shared" si="41"/>
        <v>1</v>
      </c>
    </row>
    <row r="1363" spans="10:24" x14ac:dyDescent="0.25">
      <c r="J1363" s="5" t="str">
        <f>IFERROR(VLOOKUP(I1363,[1]INFO_LOCALES!$B:$C,2,FALSE),"")</f>
        <v/>
      </c>
      <c r="K1363" s="5" t="str">
        <f>IFERROR(VLOOKUP(Tabla2[[#This Row],[TIENDA]],[1]INFO_LOCALES!$B:$D,3,FALSE),"")</f>
        <v/>
      </c>
      <c r="L1363" s="5" t="str">
        <f>IFERROR(VLOOKUP(I1363,[1]INFO_LOCALES!$B:$I,8,FALSE),"")</f>
        <v/>
      </c>
      <c r="M1363" s="5" t="str">
        <f>IFERROR(VLOOKUP(I1363,[1]INFO_LOCALES!$B:$H,7,FALSE),"")</f>
        <v/>
      </c>
      <c r="N1363" s="5" t="str">
        <f>IFERROR(VLOOKUP(I1363,[1]INFO_LOCALES!$B:$E,4,FALSE),"")</f>
        <v/>
      </c>
      <c r="O1363" s="5" t="e">
        <f>VLOOKUP(Tabla2[[#This Row],[TIENDA]],[1]INFO_LOCALES!$B:$J,9,0)</f>
        <v>#N/A</v>
      </c>
      <c r="P1363" s="5" t="str">
        <f>IFERROR(VLOOKUP(I1363,[1]INFO_LOCALES!$B:$F,5,FALSE),"")</f>
        <v/>
      </c>
      <c r="S1363" s="6"/>
      <c r="T1363" s="5" t="str">
        <f>UPPER(IF(Tabla2[[#This Row],[FECHA DE MUESTREO ]]=0,"",TEXT(Tabla2[[#This Row],[FECHA DE MUESTREO ]],("MMMM"))))</f>
        <v/>
      </c>
      <c r="U1363" s="6"/>
      <c r="W13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3" s="7">
        <f t="shared" si="41"/>
        <v>1</v>
      </c>
    </row>
    <row r="1364" spans="10:24" x14ac:dyDescent="0.25">
      <c r="J1364" s="5" t="str">
        <f>IFERROR(VLOOKUP(I1364,[1]INFO_LOCALES!$B:$C,2,FALSE),"")</f>
        <v/>
      </c>
      <c r="K1364" s="5" t="str">
        <f>IFERROR(VLOOKUP(Tabla2[[#This Row],[TIENDA]],[1]INFO_LOCALES!$B:$D,3,FALSE),"")</f>
        <v/>
      </c>
      <c r="L1364" s="5" t="str">
        <f>IFERROR(VLOOKUP(I1364,[1]INFO_LOCALES!$B:$I,8,FALSE),"")</f>
        <v/>
      </c>
      <c r="M1364" s="5" t="str">
        <f>IFERROR(VLOOKUP(I1364,[1]INFO_LOCALES!$B:$H,7,FALSE),"")</f>
        <v/>
      </c>
      <c r="N1364" s="5" t="str">
        <f>IFERROR(VLOOKUP(I1364,[1]INFO_LOCALES!$B:$E,4,FALSE),"")</f>
        <v/>
      </c>
      <c r="O1364" s="5" t="e">
        <f>VLOOKUP(Tabla2[[#This Row],[TIENDA]],[1]INFO_LOCALES!$B:$J,9,0)</f>
        <v>#N/A</v>
      </c>
      <c r="P1364" s="5" t="str">
        <f>IFERROR(VLOOKUP(I1364,[1]INFO_LOCALES!$B:$F,5,FALSE),"")</f>
        <v/>
      </c>
      <c r="S1364" s="6"/>
      <c r="T1364" s="5" t="str">
        <f>UPPER(IF(Tabla2[[#This Row],[FECHA DE MUESTREO ]]=0,"",TEXT(Tabla2[[#This Row],[FECHA DE MUESTREO ]],("MMMM"))))</f>
        <v/>
      </c>
      <c r="U1364" s="6"/>
      <c r="W13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4" s="7">
        <f t="shared" si="41"/>
        <v>1</v>
      </c>
    </row>
    <row r="1365" spans="10:24" x14ac:dyDescent="0.25">
      <c r="J1365" s="5" t="str">
        <f>IFERROR(VLOOKUP(I1365,[1]INFO_LOCALES!$B:$C,2,FALSE),"")</f>
        <v/>
      </c>
      <c r="K1365" s="5" t="str">
        <f>IFERROR(VLOOKUP(Tabla2[[#This Row],[TIENDA]],[1]INFO_LOCALES!$B:$D,3,FALSE),"")</f>
        <v/>
      </c>
      <c r="L1365" s="5" t="str">
        <f>IFERROR(VLOOKUP(I1365,[1]INFO_LOCALES!$B:$I,8,FALSE),"")</f>
        <v/>
      </c>
      <c r="M1365" s="5" t="str">
        <f>IFERROR(VLOOKUP(I1365,[1]INFO_LOCALES!$B:$H,7,FALSE),"")</f>
        <v/>
      </c>
      <c r="N1365" s="5" t="str">
        <f>IFERROR(VLOOKUP(I1365,[1]INFO_LOCALES!$B:$E,4,FALSE),"")</f>
        <v/>
      </c>
      <c r="O1365" s="5" t="e">
        <f>VLOOKUP(Tabla2[[#This Row],[TIENDA]],[1]INFO_LOCALES!$B:$J,9,0)</f>
        <v>#N/A</v>
      </c>
      <c r="P1365" s="5" t="str">
        <f>IFERROR(VLOOKUP(I1365,[1]INFO_LOCALES!$B:$F,5,FALSE),"")</f>
        <v/>
      </c>
      <c r="S1365" s="6"/>
      <c r="T1365" s="5" t="str">
        <f>UPPER(IF(Tabla2[[#This Row],[FECHA DE MUESTREO ]]=0,"",TEXT(Tabla2[[#This Row],[FECHA DE MUESTREO ]],("MMMM"))))</f>
        <v/>
      </c>
      <c r="U1365" s="6"/>
      <c r="W13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5" s="7">
        <f t="shared" si="41"/>
        <v>1</v>
      </c>
    </row>
    <row r="1366" spans="10:24" x14ac:dyDescent="0.25">
      <c r="J1366" s="5" t="str">
        <f>IFERROR(VLOOKUP(I1366,[1]INFO_LOCALES!$B:$C,2,FALSE),"")</f>
        <v/>
      </c>
      <c r="K1366" s="5" t="str">
        <f>IFERROR(VLOOKUP(Tabla2[[#This Row],[TIENDA]],[1]INFO_LOCALES!$B:$D,3,FALSE),"")</f>
        <v/>
      </c>
      <c r="L1366" s="5" t="str">
        <f>IFERROR(VLOOKUP(I1366,[1]INFO_LOCALES!$B:$I,8,FALSE),"")</f>
        <v/>
      </c>
      <c r="M1366" s="5" t="str">
        <f>IFERROR(VLOOKUP(I1366,[1]INFO_LOCALES!$B:$H,7,FALSE),"")</f>
        <v/>
      </c>
      <c r="N1366" s="5" t="str">
        <f>IFERROR(VLOOKUP(I1366,[1]INFO_LOCALES!$B:$E,4,FALSE),"")</f>
        <v/>
      </c>
      <c r="O1366" s="5" t="e">
        <f>VLOOKUP(Tabla2[[#This Row],[TIENDA]],[1]INFO_LOCALES!$B:$J,9,0)</f>
        <v>#N/A</v>
      </c>
      <c r="P1366" s="5" t="str">
        <f>IFERROR(VLOOKUP(I1366,[1]INFO_LOCALES!$B:$F,5,FALSE),"")</f>
        <v/>
      </c>
      <c r="S1366" s="6"/>
      <c r="T1366" s="5" t="str">
        <f>UPPER(IF(Tabla2[[#This Row],[FECHA DE MUESTREO ]]=0,"",TEXT(Tabla2[[#This Row],[FECHA DE MUESTREO ]],("MMMM"))))</f>
        <v/>
      </c>
      <c r="U1366" s="6"/>
      <c r="W13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6" s="7">
        <f t="shared" si="41"/>
        <v>1</v>
      </c>
    </row>
    <row r="1367" spans="10:24" x14ac:dyDescent="0.25">
      <c r="J1367" s="5" t="str">
        <f>IFERROR(VLOOKUP(I1367,[1]INFO_LOCALES!$B:$C,2,FALSE),"")</f>
        <v/>
      </c>
      <c r="K1367" s="5" t="str">
        <f>IFERROR(VLOOKUP(Tabla2[[#This Row],[TIENDA]],[1]INFO_LOCALES!$B:$D,3,FALSE),"")</f>
        <v/>
      </c>
      <c r="L1367" s="5" t="str">
        <f>IFERROR(VLOOKUP(I1367,[1]INFO_LOCALES!$B:$I,8,FALSE),"")</f>
        <v/>
      </c>
      <c r="M1367" s="5" t="str">
        <f>IFERROR(VLOOKUP(I1367,[1]INFO_LOCALES!$B:$H,7,FALSE),"")</f>
        <v/>
      </c>
      <c r="N1367" s="5" t="str">
        <f>IFERROR(VLOOKUP(I1367,[1]INFO_LOCALES!$B:$E,4,FALSE),"")</f>
        <v/>
      </c>
      <c r="O1367" s="5" t="e">
        <f>VLOOKUP(Tabla2[[#This Row],[TIENDA]],[1]INFO_LOCALES!$B:$J,9,0)</f>
        <v>#N/A</v>
      </c>
      <c r="P1367" s="5" t="str">
        <f>IFERROR(VLOOKUP(I1367,[1]INFO_LOCALES!$B:$F,5,FALSE),"")</f>
        <v/>
      </c>
      <c r="S1367" s="6"/>
      <c r="T1367" s="5" t="str">
        <f>UPPER(IF(Tabla2[[#This Row],[FECHA DE MUESTREO ]]=0,"",TEXT(Tabla2[[#This Row],[FECHA DE MUESTREO ]],("MMMM"))))</f>
        <v/>
      </c>
      <c r="U1367" s="6"/>
      <c r="W13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7" s="7">
        <f t="shared" si="41"/>
        <v>1</v>
      </c>
    </row>
    <row r="1368" spans="10:24" x14ac:dyDescent="0.25">
      <c r="J1368" s="5" t="str">
        <f>IFERROR(VLOOKUP(I1368,[1]INFO_LOCALES!$B:$C,2,FALSE),"")</f>
        <v/>
      </c>
      <c r="K1368" s="5" t="str">
        <f>IFERROR(VLOOKUP(Tabla2[[#This Row],[TIENDA]],[1]INFO_LOCALES!$B:$D,3,FALSE),"")</f>
        <v/>
      </c>
      <c r="L1368" s="5" t="str">
        <f>IFERROR(VLOOKUP(I1368,[1]INFO_LOCALES!$B:$I,8,FALSE),"")</f>
        <v/>
      </c>
      <c r="M1368" s="5" t="str">
        <f>IFERROR(VLOOKUP(I1368,[1]INFO_LOCALES!$B:$H,7,FALSE),"")</f>
        <v/>
      </c>
      <c r="N1368" s="5" t="str">
        <f>IFERROR(VLOOKUP(I1368,[1]INFO_LOCALES!$B:$E,4,FALSE),"")</f>
        <v/>
      </c>
      <c r="O1368" s="5" t="e">
        <f>VLOOKUP(Tabla2[[#This Row],[TIENDA]],[1]INFO_LOCALES!$B:$J,9,0)</f>
        <v>#N/A</v>
      </c>
      <c r="P1368" s="5" t="str">
        <f>IFERROR(VLOOKUP(I1368,[1]INFO_LOCALES!$B:$F,5,FALSE),"")</f>
        <v/>
      </c>
      <c r="S1368" s="6"/>
      <c r="T1368" s="5" t="str">
        <f>UPPER(IF(Tabla2[[#This Row],[FECHA DE MUESTREO ]]=0,"",TEXT(Tabla2[[#This Row],[FECHA DE MUESTREO ]],("MMMM"))))</f>
        <v/>
      </c>
      <c r="U1368" s="6"/>
      <c r="W13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8" s="7">
        <f t="shared" si="41"/>
        <v>1</v>
      </c>
    </row>
    <row r="1369" spans="10:24" x14ac:dyDescent="0.25">
      <c r="J1369" s="5" t="str">
        <f>IFERROR(VLOOKUP(I1369,[1]INFO_LOCALES!$B:$C,2,FALSE),"")</f>
        <v/>
      </c>
      <c r="K1369" s="5" t="str">
        <f>IFERROR(VLOOKUP(Tabla2[[#This Row],[TIENDA]],[1]INFO_LOCALES!$B:$D,3,FALSE),"")</f>
        <v/>
      </c>
      <c r="L1369" s="5" t="str">
        <f>IFERROR(VLOOKUP(I1369,[1]INFO_LOCALES!$B:$I,8,FALSE),"")</f>
        <v/>
      </c>
      <c r="M1369" s="5" t="str">
        <f>IFERROR(VLOOKUP(I1369,[1]INFO_LOCALES!$B:$H,7,FALSE),"")</f>
        <v/>
      </c>
      <c r="N1369" s="5" t="str">
        <f>IFERROR(VLOOKUP(I1369,[1]INFO_LOCALES!$B:$E,4,FALSE),"")</f>
        <v/>
      </c>
      <c r="O1369" s="5" t="e">
        <f>VLOOKUP(Tabla2[[#This Row],[TIENDA]],[1]INFO_LOCALES!$B:$J,9,0)</f>
        <v>#N/A</v>
      </c>
      <c r="P1369" s="5" t="str">
        <f>IFERROR(VLOOKUP(I1369,[1]INFO_LOCALES!$B:$F,5,FALSE),"")</f>
        <v/>
      </c>
      <c r="S1369" s="6"/>
      <c r="T1369" s="5" t="str">
        <f>UPPER(IF(Tabla2[[#This Row],[FECHA DE MUESTREO ]]=0,"",TEXT(Tabla2[[#This Row],[FECHA DE MUESTREO ]],("MMMM"))))</f>
        <v/>
      </c>
      <c r="U1369" s="6"/>
      <c r="W13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69" s="7">
        <f t="shared" si="41"/>
        <v>1</v>
      </c>
    </row>
    <row r="1370" spans="10:24" x14ac:dyDescent="0.25">
      <c r="J1370" s="5" t="str">
        <f>IFERROR(VLOOKUP(I1370,[1]INFO_LOCALES!$B:$C,2,FALSE),"")</f>
        <v/>
      </c>
      <c r="K1370" s="5" t="str">
        <f>IFERROR(VLOOKUP(Tabla2[[#This Row],[TIENDA]],[1]INFO_LOCALES!$B:$D,3,FALSE),"")</f>
        <v/>
      </c>
      <c r="L1370" s="5" t="str">
        <f>IFERROR(VLOOKUP(I1370,[1]INFO_LOCALES!$B:$I,8,FALSE),"")</f>
        <v/>
      </c>
      <c r="M1370" s="5" t="str">
        <f>IFERROR(VLOOKUP(I1370,[1]INFO_LOCALES!$B:$H,7,FALSE),"")</f>
        <v/>
      </c>
      <c r="N1370" s="5" t="str">
        <f>IFERROR(VLOOKUP(I1370,[1]INFO_LOCALES!$B:$E,4,FALSE),"")</f>
        <v/>
      </c>
      <c r="O1370" s="5" t="e">
        <f>VLOOKUP(Tabla2[[#This Row],[TIENDA]],[1]INFO_LOCALES!$B:$J,9,0)</f>
        <v>#N/A</v>
      </c>
      <c r="P1370" s="5" t="str">
        <f>IFERROR(VLOOKUP(I1370,[1]INFO_LOCALES!$B:$F,5,FALSE),"")</f>
        <v/>
      </c>
      <c r="S1370" s="6"/>
      <c r="T1370" s="5" t="str">
        <f>UPPER(IF(Tabla2[[#This Row],[FECHA DE MUESTREO ]]=0,"",TEXT(Tabla2[[#This Row],[FECHA DE MUESTREO ]],("MMMM"))))</f>
        <v/>
      </c>
      <c r="U1370" s="6"/>
      <c r="W13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0" s="7">
        <f t="shared" si="41"/>
        <v>1</v>
      </c>
    </row>
    <row r="1371" spans="10:24" x14ac:dyDescent="0.25">
      <c r="J1371" s="5" t="str">
        <f>IFERROR(VLOOKUP(I1371,[1]INFO_LOCALES!$B:$C,2,FALSE),"")</f>
        <v/>
      </c>
      <c r="K1371" s="5" t="str">
        <f>IFERROR(VLOOKUP(Tabla2[[#This Row],[TIENDA]],[1]INFO_LOCALES!$B:$D,3,FALSE),"")</f>
        <v/>
      </c>
      <c r="L1371" s="5" t="str">
        <f>IFERROR(VLOOKUP(I1371,[1]INFO_LOCALES!$B:$I,8,FALSE),"")</f>
        <v/>
      </c>
      <c r="M1371" s="5" t="str">
        <f>IFERROR(VLOOKUP(I1371,[1]INFO_LOCALES!$B:$H,7,FALSE),"")</f>
        <v/>
      </c>
      <c r="N1371" s="5" t="str">
        <f>IFERROR(VLOOKUP(I1371,[1]INFO_LOCALES!$B:$E,4,FALSE),"")</f>
        <v/>
      </c>
      <c r="O1371" s="5" t="e">
        <f>VLOOKUP(Tabla2[[#This Row],[TIENDA]],[1]INFO_LOCALES!$B:$J,9,0)</f>
        <v>#N/A</v>
      </c>
      <c r="P1371" s="5" t="str">
        <f>IFERROR(VLOOKUP(I1371,[1]INFO_LOCALES!$B:$F,5,FALSE),"")</f>
        <v/>
      </c>
      <c r="S1371" s="6"/>
      <c r="T1371" s="5" t="str">
        <f>UPPER(IF(Tabla2[[#This Row],[FECHA DE MUESTREO ]]=0,"",TEXT(Tabla2[[#This Row],[FECHA DE MUESTREO ]],("MMMM"))))</f>
        <v/>
      </c>
      <c r="U1371" s="6"/>
      <c r="W13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1" s="7">
        <f t="shared" si="41"/>
        <v>1</v>
      </c>
    </row>
    <row r="1372" spans="10:24" x14ac:dyDescent="0.25">
      <c r="J1372" s="5" t="str">
        <f>IFERROR(VLOOKUP(I1372,[1]INFO_LOCALES!$B:$C,2,FALSE),"")</f>
        <v/>
      </c>
      <c r="K1372" s="5" t="str">
        <f>IFERROR(VLOOKUP(Tabla2[[#This Row],[TIENDA]],[1]INFO_LOCALES!$B:$D,3,FALSE),"")</f>
        <v/>
      </c>
      <c r="L1372" s="5" t="str">
        <f>IFERROR(VLOOKUP(I1372,[1]INFO_LOCALES!$B:$I,8,FALSE),"")</f>
        <v/>
      </c>
      <c r="M1372" s="5" t="str">
        <f>IFERROR(VLOOKUP(I1372,[1]INFO_LOCALES!$B:$H,7,FALSE),"")</f>
        <v/>
      </c>
      <c r="N1372" s="5" t="str">
        <f>IFERROR(VLOOKUP(I1372,[1]INFO_LOCALES!$B:$E,4,FALSE),"")</f>
        <v/>
      </c>
      <c r="O1372" s="5" t="e">
        <f>VLOOKUP(Tabla2[[#This Row],[TIENDA]],[1]INFO_LOCALES!$B:$J,9,0)</f>
        <v>#N/A</v>
      </c>
      <c r="P1372" s="5" t="str">
        <f>IFERROR(VLOOKUP(I1372,[1]INFO_LOCALES!$B:$F,5,FALSE),"")</f>
        <v/>
      </c>
      <c r="S1372" s="6"/>
      <c r="T1372" s="5" t="str">
        <f>UPPER(IF(Tabla2[[#This Row],[FECHA DE MUESTREO ]]=0,"",TEXT(Tabla2[[#This Row],[FECHA DE MUESTREO ]],("MMMM"))))</f>
        <v/>
      </c>
      <c r="U1372" s="6"/>
      <c r="W13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2" s="7">
        <f t="shared" si="41"/>
        <v>1</v>
      </c>
    </row>
    <row r="1373" spans="10:24" x14ac:dyDescent="0.25">
      <c r="J1373" s="5" t="str">
        <f>IFERROR(VLOOKUP(I1373,[1]INFO_LOCALES!$B:$C,2,FALSE),"")</f>
        <v/>
      </c>
      <c r="K1373" s="5" t="str">
        <f>IFERROR(VLOOKUP(Tabla2[[#This Row],[TIENDA]],[1]INFO_LOCALES!$B:$D,3,FALSE),"")</f>
        <v/>
      </c>
      <c r="L1373" s="5" t="str">
        <f>IFERROR(VLOOKUP(I1373,[1]INFO_LOCALES!$B:$I,8,FALSE),"")</f>
        <v/>
      </c>
      <c r="M1373" s="5" t="str">
        <f>IFERROR(VLOOKUP(I1373,[1]INFO_LOCALES!$B:$H,7,FALSE),"")</f>
        <v/>
      </c>
      <c r="N1373" s="5" t="str">
        <f>IFERROR(VLOOKUP(I1373,[1]INFO_LOCALES!$B:$E,4,FALSE),"")</f>
        <v/>
      </c>
      <c r="O1373" s="5" t="e">
        <f>VLOOKUP(Tabla2[[#This Row],[TIENDA]],[1]INFO_LOCALES!$B:$J,9,0)</f>
        <v>#N/A</v>
      </c>
      <c r="P1373" s="5" t="str">
        <f>IFERROR(VLOOKUP(I1373,[1]INFO_LOCALES!$B:$F,5,FALSE),"")</f>
        <v/>
      </c>
      <c r="S1373" s="6"/>
      <c r="T1373" s="5" t="str">
        <f>UPPER(IF(Tabla2[[#This Row],[FECHA DE MUESTREO ]]=0,"",TEXT(Tabla2[[#This Row],[FECHA DE MUESTREO ]],("MMMM"))))</f>
        <v/>
      </c>
      <c r="U1373" s="6"/>
      <c r="W13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3" s="7">
        <f t="shared" si="41"/>
        <v>1</v>
      </c>
    </row>
    <row r="1374" spans="10:24" x14ac:dyDescent="0.25">
      <c r="J1374" s="5" t="str">
        <f>IFERROR(VLOOKUP(I1374,[1]INFO_LOCALES!$B:$C,2,FALSE),"")</f>
        <v/>
      </c>
      <c r="K1374" s="5" t="str">
        <f>IFERROR(VLOOKUP(Tabla2[[#This Row],[TIENDA]],[1]INFO_LOCALES!$B:$D,3,FALSE),"")</f>
        <v/>
      </c>
      <c r="L1374" s="5" t="str">
        <f>IFERROR(VLOOKUP(I1374,[1]INFO_LOCALES!$B:$I,8,FALSE),"")</f>
        <v/>
      </c>
      <c r="M1374" s="5" t="str">
        <f>IFERROR(VLOOKUP(I1374,[1]INFO_LOCALES!$B:$H,7,FALSE),"")</f>
        <v/>
      </c>
      <c r="N1374" s="5" t="str">
        <f>IFERROR(VLOOKUP(I1374,[1]INFO_LOCALES!$B:$E,4,FALSE),"")</f>
        <v/>
      </c>
      <c r="O1374" s="5" t="e">
        <f>VLOOKUP(Tabla2[[#This Row],[TIENDA]],[1]INFO_LOCALES!$B:$J,9,0)</f>
        <v>#N/A</v>
      </c>
      <c r="P1374" s="5" t="str">
        <f>IFERROR(VLOOKUP(I1374,[1]INFO_LOCALES!$B:$F,5,FALSE),"")</f>
        <v/>
      </c>
      <c r="S1374" s="6"/>
      <c r="T1374" s="5" t="str">
        <f>UPPER(IF(Tabla2[[#This Row],[FECHA DE MUESTREO ]]=0,"",TEXT(Tabla2[[#This Row],[FECHA DE MUESTREO ]],("MMMM"))))</f>
        <v/>
      </c>
      <c r="U1374" s="6"/>
      <c r="W13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4" s="7">
        <f t="shared" si="41"/>
        <v>1</v>
      </c>
    </row>
    <row r="1375" spans="10:24" x14ac:dyDescent="0.25">
      <c r="J1375" s="5" t="str">
        <f>IFERROR(VLOOKUP(I1375,[1]INFO_LOCALES!$B:$C,2,FALSE),"")</f>
        <v/>
      </c>
      <c r="K1375" s="5" t="str">
        <f>IFERROR(VLOOKUP(Tabla2[[#This Row],[TIENDA]],[1]INFO_LOCALES!$B:$D,3,FALSE),"")</f>
        <v/>
      </c>
      <c r="L1375" s="5" t="str">
        <f>IFERROR(VLOOKUP(I1375,[1]INFO_LOCALES!$B:$I,8,FALSE),"")</f>
        <v/>
      </c>
      <c r="M1375" s="5" t="str">
        <f>IFERROR(VLOOKUP(I1375,[1]INFO_LOCALES!$B:$H,7,FALSE),"")</f>
        <v/>
      </c>
      <c r="N1375" s="5" t="str">
        <f>IFERROR(VLOOKUP(I1375,[1]INFO_LOCALES!$B:$E,4,FALSE),"")</f>
        <v/>
      </c>
      <c r="O1375" s="5" t="e">
        <f>VLOOKUP(Tabla2[[#This Row],[TIENDA]],[1]INFO_LOCALES!$B:$J,9,0)</f>
        <v>#N/A</v>
      </c>
      <c r="P1375" s="5" t="str">
        <f>IFERROR(VLOOKUP(I1375,[1]INFO_LOCALES!$B:$F,5,FALSE),"")</f>
        <v/>
      </c>
      <c r="S1375" s="6"/>
      <c r="T1375" s="5" t="str">
        <f>UPPER(IF(Tabla2[[#This Row],[FECHA DE MUESTREO ]]=0,"",TEXT(Tabla2[[#This Row],[FECHA DE MUESTREO ]],("MMMM"))))</f>
        <v/>
      </c>
      <c r="U1375" s="6"/>
      <c r="W13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5" s="7">
        <f t="shared" si="41"/>
        <v>1</v>
      </c>
    </row>
    <row r="1376" spans="10:24" x14ac:dyDescent="0.25">
      <c r="J1376" s="5" t="str">
        <f>IFERROR(VLOOKUP(I1376,[1]INFO_LOCALES!$B:$C,2,FALSE),"")</f>
        <v/>
      </c>
      <c r="K1376" s="5" t="str">
        <f>IFERROR(VLOOKUP(Tabla2[[#This Row],[TIENDA]],[1]INFO_LOCALES!$B:$D,3,FALSE),"")</f>
        <v/>
      </c>
      <c r="L1376" s="5" t="str">
        <f>IFERROR(VLOOKUP(I1376,[1]INFO_LOCALES!$B:$I,8,FALSE),"")</f>
        <v/>
      </c>
      <c r="M1376" s="5" t="str">
        <f>IFERROR(VLOOKUP(I1376,[1]INFO_LOCALES!$B:$H,7,FALSE),"")</f>
        <v/>
      </c>
      <c r="N1376" s="5" t="str">
        <f>IFERROR(VLOOKUP(I1376,[1]INFO_LOCALES!$B:$E,4,FALSE),"")</f>
        <v/>
      </c>
      <c r="O1376" s="5" t="e">
        <f>VLOOKUP(Tabla2[[#This Row],[TIENDA]],[1]INFO_LOCALES!$B:$J,9,0)</f>
        <v>#N/A</v>
      </c>
      <c r="P1376" s="5" t="str">
        <f>IFERROR(VLOOKUP(I1376,[1]INFO_LOCALES!$B:$F,5,FALSE),"")</f>
        <v/>
      </c>
      <c r="S1376" s="6"/>
      <c r="T1376" s="5" t="str">
        <f>UPPER(IF(Tabla2[[#This Row],[FECHA DE MUESTREO ]]=0,"",TEXT(Tabla2[[#This Row],[FECHA DE MUESTREO ]],("MMMM"))))</f>
        <v/>
      </c>
      <c r="U1376" s="6"/>
      <c r="W13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6" s="7">
        <f t="shared" si="41"/>
        <v>1</v>
      </c>
    </row>
    <row r="1377" spans="10:24" x14ac:dyDescent="0.25">
      <c r="J1377" s="5" t="str">
        <f>IFERROR(VLOOKUP(I1377,[1]INFO_LOCALES!$B:$C,2,FALSE),"")</f>
        <v/>
      </c>
      <c r="K1377" s="5" t="str">
        <f>IFERROR(VLOOKUP(Tabla2[[#This Row],[TIENDA]],[1]INFO_LOCALES!$B:$D,3,FALSE),"")</f>
        <v/>
      </c>
      <c r="L1377" s="5" t="str">
        <f>IFERROR(VLOOKUP(I1377,[1]INFO_LOCALES!$B:$I,8,FALSE),"")</f>
        <v/>
      </c>
      <c r="M1377" s="5" t="str">
        <f>IFERROR(VLOOKUP(I1377,[1]INFO_LOCALES!$B:$H,7,FALSE),"")</f>
        <v/>
      </c>
      <c r="N1377" s="5" t="str">
        <f>IFERROR(VLOOKUP(I1377,[1]INFO_LOCALES!$B:$E,4,FALSE),"")</f>
        <v/>
      </c>
      <c r="O1377" s="5" t="e">
        <f>VLOOKUP(Tabla2[[#This Row],[TIENDA]],[1]INFO_LOCALES!$B:$J,9,0)</f>
        <v>#N/A</v>
      </c>
      <c r="P1377" s="5" t="str">
        <f>IFERROR(VLOOKUP(I1377,[1]INFO_LOCALES!$B:$F,5,FALSE),"")</f>
        <v/>
      </c>
      <c r="S1377" s="6"/>
      <c r="T1377" s="5" t="str">
        <f>UPPER(IF(Tabla2[[#This Row],[FECHA DE MUESTREO ]]=0,"",TEXT(Tabla2[[#This Row],[FECHA DE MUESTREO ]],("MMMM"))))</f>
        <v/>
      </c>
      <c r="U1377" s="6"/>
      <c r="W13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7" s="7">
        <f t="shared" si="41"/>
        <v>1</v>
      </c>
    </row>
    <row r="1378" spans="10:24" x14ac:dyDescent="0.25">
      <c r="J1378" s="5" t="str">
        <f>IFERROR(VLOOKUP(I1378,[1]INFO_LOCALES!$B:$C,2,FALSE),"")</f>
        <v/>
      </c>
      <c r="K1378" s="5" t="str">
        <f>IFERROR(VLOOKUP(Tabla2[[#This Row],[TIENDA]],[1]INFO_LOCALES!$B:$D,3,FALSE),"")</f>
        <v/>
      </c>
      <c r="L1378" s="5" t="str">
        <f>IFERROR(VLOOKUP(I1378,[1]INFO_LOCALES!$B:$I,8,FALSE),"")</f>
        <v/>
      </c>
      <c r="M1378" s="5" t="str">
        <f>IFERROR(VLOOKUP(I1378,[1]INFO_LOCALES!$B:$H,7,FALSE),"")</f>
        <v/>
      </c>
      <c r="N1378" s="5" t="str">
        <f>IFERROR(VLOOKUP(I1378,[1]INFO_LOCALES!$B:$E,4,FALSE),"")</f>
        <v/>
      </c>
      <c r="O1378" s="5" t="e">
        <f>VLOOKUP(Tabla2[[#This Row],[TIENDA]],[1]INFO_LOCALES!$B:$J,9,0)</f>
        <v>#N/A</v>
      </c>
      <c r="P1378" s="5" t="str">
        <f>IFERROR(VLOOKUP(I1378,[1]INFO_LOCALES!$B:$F,5,FALSE),"")</f>
        <v/>
      </c>
      <c r="S1378" s="6"/>
      <c r="T1378" s="5" t="str">
        <f>UPPER(IF(Tabla2[[#This Row],[FECHA DE MUESTREO ]]=0,"",TEXT(Tabla2[[#This Row],[FECHA DE MUESTREO ]],("MMMM"))))</f>
        <v/>
      </c>
      <c r="U1378" s="6"/>
      <c r="W13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8" s="7">
        <f t="shared" si="41"/>
        <v>1</v>
      </c>
    </row>
    <row r="1379" spans="10:24" x14ac:dyDescent="0.25">
      <c r="J1379" s="5" t="str">
        <f>IFERROR(VLOOKUP(I1379,[1]INFO_LOCALES!$B:$C,2,FALSE),"")</f>
        <v/>
      </c>
      <c r="K1379" s="5" t="str">
        <f>IFERROR(VLOOKUP(Tabla2[[#This Row],[TIENDA]],[1]INFO_LOCALES!$B:$D,3,FALSE),"")</f>
        <v/>
      </c>
      <c r="L1379" s="5" t="str">
        <f>IFERROR(VLOOKUP(I1379,[1]INFO_LOCALES!$B:$I,8,FALSE),"")</f>
        <v/>
      </c>
      <c r="M1379" s="5" t="str">
        <f>IFERROR(VLOOKUP(I1379,[1]INFO_LOCALES!$B:$H,7,FALSE),"")</f>
        <v/>
      </c>
      <c r="N1379" s="5" t="str">
        <f>IFERROR(VLOOKUP(I1379,[1]INFO_LOCALES!$B:$E,4,FALSE),"")</f>
        <v/>
      </c>
      <c r="O1379" s="5" t="e">
        <f>VLOOKUP(Tabla2[[#This Row],[TIENDA]],[1]INFO_LOCALES!$B:$J,9,0)</f>
        <v>#N/A</v>
      </c>
      <c r="P1379" s="5" t="str">
        <f>IFERROR(VLOOKUP(I1379,[1]INFO_LOCALES!$B:$F,5,FALSE),"")</f>
        <v/>
      </c>
      <c r="S1379" s="6"/>
      <c r="T1379" s="5" t="str">
        <f>UPPER(IF(Tabla2[[#This Row],[FECHA DE MUESTREO ]]=0,"",TEXT(Tabla2[[#This Row],[FECHA DE MUESTREO ]],("MMMM"))))</f>
        <v/>
      </c>
      <c r="U1379" s="6"/>
      <c r="W13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79" s="7">
        <f t="shared" si="41"/>
        <v>1</v>
      </c>
    </row>
    <row r="1380" spans="10:24" x14ac:dyDescent="0.25">
      <c r="J1380" s="5" t="str">
        <f>IFERROR(VLOOKUP(I1380,[1]INFO_LOCALES!$B:$C,2,FALSE),"")</f>
        <v/>
      </c>
      <c r="K1380" s="5" t="str">
        <f>IFERROR(VLOOKUP(Tabla2[[#This Row],[TIENDA]],[1]INFO_LOCALES!$B:$D,3,FALSE),"")</f>
        <v/>
      </c>
      <c r="L1380" s="5" t="str">
        <f>IFERROR(VLOOKUP(I1380,[1]INFO_LOCALES!$B:$I,8,FALSE),"")</f>
        <v/>
      </c>
      <c r="M1380" s="5" t="str">
        <f>IFERROR(VLOOKUP(I1380,[1]INFO_LOCALES!$B:$H,7,FALSE),"")</f>
        <v/>
      </c>
      <c r="N1380" s="5" t="str">
        <f>IFERROR(VLOOKUP(I1380,[1]INFO_LOCALES!$B:$E,4,FALSE),"")</f>
        <v/>
      </c>
      <c r="O1380" s="5" t="e">
        <f>VLOOKUP(Tabla2[[#This Row],[TIENDA]],[1]INFO_LOCALES!$B:$J,9,0)</f>
        <v>#N/A</v>
      </c>
      <c r="P1380" s="5" t="str">
        <f>IFERROR(VLOOKUP(I1380,[1]INFO_LOCALES!$B:$F,5,FALSE),"")</f>
        <v/>
      </c>
      <c r="S1380" s="6"/>
      <c r="T1380" s="5" t="str">
        <f>UPPER(IF(Tabla2[[#This Row],[FECHA DE MUESTREO ]]=0,"",TEXT(Tabla2[[#This Row],[FECHA DE MUESTREO ]],("MMMM"))))</f>
        <v/>
      </c>
      <c r="U1380" s="6"/>
      <c r="W13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0" s="7">
        <f t="shared" si="41"/>
        <v>1</v>
      </c>
    </row>
    <row r="1381" spans="10:24" x14ac:dyDescent="0.25">
      <c r="J1381" s="5" t="str">
        <f>IFERROR(VLOOKUP(I1381,[1]INFO_LOCALES!$B:$C,2,FALSE),"")</f>
        <v/>
      </c>
      <c r="K1381" s="5" t="str">
        <f>IFERROR(VLOOKUP(Tabla2[[#This Row],[TIENDA]],[1]INFO_LOCALES!$B:$D,3,FALSE),"")</f>
        <v/>
      </c>
      <c r="L1381" s="5" t="str">
        <f>IFERROR(VLOOKUP(I1381,[1]INFO_LOCALES!$B:$I,8,FALSE),"")</f>
        <v/>
      </c>
      <c r="M1381" s="5" t="str">
        <f>IFERROR(VLOOKUP(I1381,[1]INFO_LOCALES!$B:$H,7,FALSE),"")</f>
        <v/>
      </c>
      <c r="N1381" s="5" t="str">
        <f>IFERROR(VLOOKUP(I1381,[1]INFO_LOCALES!$B:$E,4,FALSE),"")</f>
        <v/>
      </c>
      <c r="O1381" s="5" t="e">
        <f>VLOOKUP(Tabla2[[#This Row],[TIENDA]],[1]INFO_LOCALES!$B:$J,9,0)</f>
        <v>#N/A</v>
      </c>
      <c r="P1381" s="5" t="str">
        <f>IFERROR(VLOOKUP(I1381,[1]INFO_LOCALES!$B:$F,5,FALSE),"")</f>
        <v/>
      </c>
      <c r="S1381" s="6"/>
      <c r="T1381" s="5" t="str">
        <f>UPPER(IF(Tabla2[[#This Row],[FECHA DE MUESTREO ]]=0,"",TEXT(Tabla2[[#This Row],[FECHA DE MUESTREO ]],("MMMM"))))</f>
        <v/>
      </c>
      <c r="U1381" s="6"/>
      <c r="W13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1" s="7">
        <f t="shared" si="41"/>
        <v>1</v>
      </c>
    </row>
    <row r="1382" spans="10:24" x14ac:dyDescent="0.25">
      <c r="J1382" s="5" t="str">
        <f>IFERROR(VLOOKUP(I1382,[1]INFO_LOCALES!$B:$C,2,FALSE),"")</f>
        <v/>
      </c>
      <c r="K1382" s="5" t="str">
        <f>IFERROR(VLOOKUP(Tabla2[[#This Row],[TIENDA]],[1]INFO_LOCALES!$B:$D,3,FALSE),"")</f>
        <v/>
      </c>
      <c r="L1382" s="5" t="str">
        <f>IFERROR(VLOOKUP(I1382,[1]INFO_LOCALES!$B:$I,8,FALSE),"")</f>
        <v/>
      </c>
      <c r="M1382" s="5" t="str">
        <f>IFERROR(VLOOKUP(I1382,[1]INFO_LOCALES!$B:$H,7,FALSE),"")</f>
        <v/>
      </c>
      <c r="N1382" s="5" t="str">
        <f>IFERROR(VLOOKUP(I1382,[1]INFO_LOCALES!$B:$E,4,FALSE),"")</f>
        <v/>
      </c>
      <c r="O1382" s="5" t="e">
        <f>VLOOKUP(Tabla2[[#This Row],[TIENDA]],[1]INFO_LOCALES!$B:$J,9,0)</f>
        <v>#N/A</v>
      </c>
      <c r="P1382" s="5" t="str">
        <f>IFERROR(VLOOKUP(I1382,[1]INFO_LOCALES!$B:$F,5,FALSE),"")</f>
        <v/>
      </c>
      <c r="S1382" s="6"/>
      <c r="T1382" s="5" t="str">
        <f>UPPER(IF(Tabla2[[#This Row],[FECHA DE MUESTREO ]]=0,"",TEXT(Tabla2[[#This Row],[FECHA DE MUESTREO ]],("MMMM"))))</f>
        <v/>
      </c>
      <c r="U1382" s="6"/>
      <c r="W13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2" s="7">
        <f t="shared" ref="X1382:X1445" si="42">IF(W1382="CUMPLE",1,IF(W1382="CUMPLE CON TOLERANCIA",2,IF(W1382="NO CUMPLE",3)))</f>
        <v>1</v>
      </c>
    </row>
    <row r="1383" spans="10:24" x14ac:dyDescent="0.25">
      <c r="J1383" s="5" t="str">
        <f>IFERROR(VLOOKUP(I1383,[1]INFO_LOCALES!$B:$C,2,FALSE),"")</f>
        <v/>
      </c>
      <c r="K1383" s="5" t="str">
        <f>IFERROR(VLOOKUP(Tabla2[[#This Row],[TIENDA]],[1]INFO_LOCALES!$B:$D,3,FALSE),"")</f>
        <v/>
      </c>
      <c r="L1383" s="5" t="str">
        <f>IFERROR(VLOOKUP(I1383,[1]INFO_LOCALES!$B:$I,8,FALSE),"")</f>
        <v/>
      </c>
      <c r="M1383" s="5" t="str">
        <f>IFERROR(VLOOKUP(I1383,[1]INFO_LOCALES!$B:$H,7,FALSE),"")</f>
        <v/>
      </c>
      <c r="N1383" s="5" t="str">
        <f>IFERROR(VLOOKUP(I1383,[1]INFO_LOCALES!$B:$E,4,FALSE),"")</f>
        <v/>
      </c>
      <c r="O1383" s="5" t="e">
        <f>VLOOKUP(Tabla2[[#This Row],[TIENDA]],[1]INFO_LOCALES!$B:$J,9,0)</f>
        <v>#N/A</v>
      </c>
      <c r="P1383" s="5" t="str">
        <f>IFERROR(VLOOKUP(I1383,[1]INFO_LOCALES!$B:$F,5,FALSE),"")</f>
        <v/>
      </c>
      <c r="S1383" s="6"/>
      <c r="T1383" s="5" t="str">
        <f>UPPER(IF(Tabla2[[#This Row],[FECHA DE MUESTREO ]]=0,"",TEXT(Tabla2[[#This Row],[FECHA DE MUESTREO ]],("MMMM"))))</f>
        <v/>
      </c>
      <c r="U1383" s="6"/>
      <c r="W13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3" s="7">
        <f t="shared" si="42"/>
        <v>1</v>
      </c>
    </row>
    <row r="1384" spans="10:24" x14ac:dyDescent="0.25">
      <c r="J1384" s="5" t="str">
        <f>IFERROR(VLOOKUP(I1384,[1]INFO_LOCALES!$B:$C,2,FALSE),"")</f>
        <v/>
      </c>
      <c r="K1384" s="5" t="str">
        <f>IFERROR(VLOOKUP(Tabla2[[#This Row],[TIENDA]],[1]INFO_LOCALES!$B:$D,3,FALSE),"")</f>
        <v/>
      </c>
      <c r="L1384" s="5" t="str">
        <f>IFERROR(VLOOKUP(I1384,[1]INFO_LOCALES!$B:$I,8,FALSE),"")</f>
        <v/>
      </c>
      <c r="M1384" s="5" t="str">
        <f>IFERROR(VLOOKUP(I1384,[1]INFO_LOCALES!$B:$H,7,FALSE),"")</f>
        <v/>
      </c>
      <c r="N1384" s="5" t="str">
        <f>IFERROR(VLOOKUP(I1384,[1]INFO_LOCALES!$B:$E,4,FALSE),"")</f>
        <v/>
      </c>
      <c r="O1384" s="5" t="e">
        <f>VLOOKUP(Tabla2[[#This Row],[TIENDA]],[1]INFO_LOCALES!$B:$J,9,0)</f>
        <v>#N/A</v>
      </c>
      <c r="P1384" s="5" t="str">
        <f>IFERROR(VLOOKUP(I1384,[1]INFO_LOCALES!$B:$F,5,FALSE),"")</f>
        <v/>
      </c>
      <c r="S1384" s="6"/>
      <c r="T1384" s="5" t="str">
        <f>UPPER(IF(Tabla2[[#This Row],[FECHA DE MUESTREO ]]=0,"",TEXT(Tabla2[[#This Row],[FECHA DE MUESTREO ]],("MMMM"))))</f>
        <v/>
      </c>
      <c r="U1384" s="6"/>
      <c r="W13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4" s="7">
        <f t="shared" si="42"/>
        <v>1</v>
      </c>
    </row>
    <row r="1385" spans="10:24" x14ac:dyDescent="0.25">
      <c r="J1385" s="5" t="str">
        <f>IFERROR(VLOOKUP(I1385,[1]INFO_LOCALES!$B:$C,2,FALSE),"")</f>
        <v/>
      </c>
      <c r="K1385" s="5" t="str">
        <f>IFERROR(VLOOKUP(Tabla2[[#This Row],[TIENDA]],[1]INFO_LOCALES!$B:$D,3,FALSE),"")</f>
        <v/>
      </c>
      <c r="L1385" s="5" t="str">
        <f>IFERROR(VLOOKUP(I1385,[1]INFO_LOCALES!$B:$I,8,FALSE),"")</f>
        <v/>
      </c>
      <c r="M1385" s="5" t="str">
        <f>IFERROR(VLOOKUP(I1385,[1]INFO_LOCALES!$B:$H,7,FALSE),"")</f>
        <v/>
      </c>
      <c r="N1385" s="5" t="str">
        <f>IFERROR(VLOOKUP(I1385,[1]INFO_LOCALES!$B:$E,4,FALSE),"")</f>
        <v/>
      </c>
      <c r="O1385" s="5" t="e">
        <f>VLOOKUP(Tabla2[[#This Row],[TIENDA]],[1]INFO_LOCALES!$B:$J,9,0)</f>
        <v>#N/A</v>
      </c>
      <c r="P1385" s="5" t="str">
        <f>IFERROR(VLOOKUP(I1385,[1]INFO_LOCALES!$B:$F,5,FALSE),"")</f>
        <v/>
      </c>
      <c r="S1385" s="6"/>
      <c r="T1385" s="5" t="str">
        <f>UPPER(IF(Tabla2[[#This Row],[FECHA DE MUESTREO ]]=0,"",TEXT(Tabla2[[#This Row],[FECHA DE MUESTREO ]],("MMMM"))))</f>
        <v/>
      </c>
      <c r="U1385" s="6"/>
      <c r="W13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5" s="7">
        <f t="shared" si="42"/>
        <v>1</v>
      </c>
    </row>
    <row r="1386" spans="10:24" x14ac:dyDescent="0.25">
      <c r="J1386" s="5" t="str">
        <f>IFERROR(VLOOKUP(I1386,[1]INFO_LOCALES!$B:$C,2,FALSE),"")</f>
        <v/>
      </c>
      <c r="K1386" s="5" t="str">
        <f>IFERROR(VLOOKUP(Tabla2[[#This Row],[TIENDA]],[1]INFO_LOCALES!$B:$D,3,FALSE),"")</f>
        <v/>
      </c>
      <c r="L1386" s="5" t="str">
        <f>IFERROR(VLOOKUP(I1386,[1]INFO_LOCALES!$B:$I,8,FALSE),"")</f>
        <v/>
      </c>
      <c r="M1386" s="5" t="str">
        <f>IFERROR(VLOOKUP(I1386,[1]INFO_LOCALES!$B:$H,7,FALSE),"")</f>
        <v/>
      </c>
      <c r="N1386" s="5" t="str">
        <f>IFERROR(VLOOKUP(I1386,[1]INFO_LOCALES!$B:$E,4,FALSE),"")</f>
        <v/>
      </c>
      <c r="O1386" s="5" t="e">
        <f>VLOOKUP(Tabla2[[#This Row],[TIENDA]],[1]INFO_LOCALES!$B:$J,9,0)</f>
        <v>#N/A</v>
      </c>
      <c r="P1386" s="5" t="str">
        <f>IFERROR(VLOOKUP(I1386,[1]INFO_LOCALES!$B:$F,5,FALSE),"")</f>
        <v/>
      </c>
      <c r="S1386" s="6"/>
      <c r="T1386" s="5" t="str">
        <f>UPPER(IF(Tabla2[[#This Row],[FECHA DE MUESTREO ]]=0,"",TEXT(Tabla2[[#This Row],[FECHA DE MUESTREO ]],("MMMM"))))</f>
        <v/>
      </c>
      <c r="U1386" s="6"/>
      <c r="W13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6" s="7">
        <f t="shared" si="42"/>
        <v>1</v>
      </c>
    </row>
    <row r="1387" spans="10:24" x14ac:dyDescent="0.25">
      <c r="J1387" s="5" t="str">
        <f>IFERROR(VLOOKUP(I1387,[1]INFO_LOCALES!$B:$C,2,FALSE),"")</f>
        <v/>
      </c>
      <c r="K1387" s="5" t="str">
        <f>IFERROR(VLOOKUP(Tabla2[[#This Row],[TIENDA]],[1]INFO_LOCALES!$B:$D,3,FALSE),"")</f>
        <v/>
      </c>
      <c r="L1387" s="5" t="str">
        <f>IFERROR(VLOOKUP(I1387,[1]INFO_LOCALES!$B:$I,8,FALSE),"")</f>
        <v/>
      </c>
      <c r="M1387" s="5" t="str">
        <f>IFERROR(VLOOKUP(I1387,[1]INFO_LOCALES!$B:$H,7,FALSE),"")</f>
        <v/>
      </c>
      <c r="N1387" s="5" t="str">
        <f>IFERROR(VLOOKUP(I1387,[1]INFO_LOCALES!$B:$E,4,FALSE),"")</f>
        <v/>
      </c>
      <c r="O1387" s="5" t="e">
        <f>VLOOKUP(Tabla2[[#This Row],[TIENDA]],[1]INFO_LOCALES!$B:$J,9,0)</f>
        <v>#N/A</v>
      </c>
      <c r="P1387" s="5" t="str">
        <f>IFERROR(VLOOKUP(I1387,[1]INFO_LOCALES!$B:$F,5,FALSE),"")</f>
        <v/>
      </c>
      <c r="S1387" s="6"/>
      <c r="T1387" s="5" t="str">
        <f>UPPER(IF(Tabla2[[#This Row],[FECHA DE MUESTREO ]]=0,"",TEXT(Tabla2[[#This Row],[FECHA DE MUESTREO ]],("MMMM"))))</f>
        <v/>
      </c>
      <c r="U1387" s="6"/>
      <c r="W13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7" s="7">
        <f t="shared" si="42"/>
        <v>1</v>
      </c>
    </row>
    <row r="1388" spans="10:24" x14ac:dyDescent="0.25">
      <c r="J1388" s="5" t="str">
        <f>IFERROR(VLOOKUP(I1388,[1]INFO_LOCALES!$B:$C,2,FALSE),"")</f>
        <v/>
      </c>
      <c r="K1388" s="5" t="str">
        <f>IFERROR(VLOOKUP(Tabla2[[#This Row],[TIENDA]],[1]INFO_LOCALES!$B:$D,3,FALSE),"")</f>
        <v/>
      </c>
      <c r="L1388" s="5" t="str">
        <f>IFERROR(VLOOKUP(I1388,[1]INFO_LOCALES!$B:$I,8,FALSE),"")</f>
        <v/>
      </c>
      <c r="M1388" s="5" t="str">
        <f>IFERROR(VLOOKUP(I1388,[1]INFO_LOCALES!$B:$H,7,FALSE),"")</f>
        <v/>
      </c>
      <c r="N1388" s="5" t="str">
        <f>IFERROR(VLOOKUP(I1388,[1]INFO_LOCALES!$B:$E,4,FALSE),"")</f>
        <v/>
      </c>
      <c r="O1388" s="5" t="e">
        <f>VLOOKUP(Tabla2[[#This Row],[TIENDA]],[1]INFO_LOCALES!$B:$J,9,0)</f>
        <v>#N/A</v>
      </c>
      <c r="P1388" s="5" t="str">
        <f>IFERROR(VLOOKUP(I1388,[1]INFO_LOCALES!$B:$F,5,FALSE),"")</f>
        <v/>
      </c>
      <c r="S1388" s="6"/>
      <c r="T1388" s="5" t="str">
        <f>UPPER(IF(Tabla2[[#This Row],[FECHA DE MUESTREO ]]=0,"",TEXT(Tabla2[[#This Row],[FECHA DE MUESTREO ]],("MMMM"))))</f>
        <v/>
      </c>
      <c r="U1388" s="6"/>
      <c r="W13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8" s="7">
        <f t="shared" si="42"/>
        <v>1</v>
      </c>
    </row>
    <row r="1389" spans="10:24" x14ac:dyDescent="0.25">
      <c r="J1389" s="5" t="str">
        <f>IFERROR(VLOOKUP(I1389,[1]INFO_LOCALES!$B:$C,2,FALSE),"")</f>
        <v/>
      </c>
      <c r="K1389" s="5" t="str">
        <f>IFERROR(VLOOKUP(Tabla2[[#This Row],[TIENDA]],[1]INFO_LOCALES!$B:$D,3,FALSE),"")</f>
        <v/>
      </c>
      <c r="L1389" s="5" t="str">
        <f>IFERROR(VLOOKUP(I1389,[1]INFO_LOCALES!$B:$I,8,FALSE),"")</f>
        <v/>
      </c>
      <c r="M1389" s="5" t="str">
        <f>IFERROR(VLOOKUP(I1389,[1]INFO_LOCALES!$B:$H,7,FALSE),"")</f>
        <v/>
      </c>
      <c r="N1389" s="5" t="str">
        <f>IFERROR(VLOOKUP(I1389,[1]INFO_LOCALES!$B:$E,4,FALSE),"")</f>
        <v/>
      </c>
      <c r="O1389" s="5" t="e">
        <f>VLOOKUP(Tabla2[[#This Row],[TIENDA]],[1]INFO_LOCALES!$B:$J,9,0)</f>
        <v>#N/A</v>
      </c>
      <c r="P1389" s="5" t="str">
        <f>IFERROR(VLOOKUP(I1389,[1]INFO_LOCALES!$B:$F,5,FALSE),"")</f>
        <v/>
      </c>
      <c r="S1389" s="6"/>
      <c r="T1389" s="5" t="str">
        <f>UPPER(IF(Tabla2[[#This Row],[FECHA DE MUESTREO ]]=0,"",TEXT(Tabla2[[#This Row],[FECHA DE MUESTREO ]],("MMMM"))))</f>
        <v/>
      </c>
      <c r="U1389" s="6"/>
      <c r="W13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89" s="7">
        <f t="shared" si="42"/>
        <v>1</v>
      </c>
    </row>
    <row r="1390" spans="10:24" x14ac:dyDescent="0.25">
      <c r="J1390" s="5" t="str">
        <f>IFERROR(VLOOKUP(I1390,[1]INFO_LOCALES!$B:$C,2,FALSE),"")</f>
        <v/>
      </c>
      <c r="K1390" s="5" t="str">
        <f>IFERROR(VLOOKUP(Tabla2[[#This Row],[TIENDA]],[1]INFO_LOCALES!$B:$D,3,FALSE),"")</f>
        <v/>
      </c>
      <c r="L1390" s="5" t="str">
        <f>IFERROR(VLOOKUP(I1390,[1]INFO_LOCALES!$B:$I,8,FALSE),"")</f>
        <v/>
      </c>
      <c r="M1390" s="5" t="str">
        <f>IFERROR(VLOOKUP(I1390,[1]INFO_LOCALES!$B:$H,7,FALSE),"")</f>
        <v/>
      </c>
      <c r="N1390" s="5" t="str">
        <f>IFERROR(VLOOKUP(I1390,[1]INFO_LOCALES!$B:$E,4,FALSE),"")</f>
        <v/>
      </c>
      <c r="O1390" s="5" t="e">
        <f>VLOOKUP(Tabla2[[#This Row],[TIENDA]],[1]INFO_LOCALES!$B:$J,9,0)</f>
        <v>#N/A</v>
      </c>
      <c r="P1390" s="5" t="str">
        <f>IFERROR(VLOOKUP(I1390,[1]INFO_LOCALES!$B:$F,5,FALSE),"")</f>
        <v/>
      </c>
      <c r="S1390" s="6"/>
      <c r="T1390" s="5" t="str">
        <f>UPPER(IF(Tabla2[[#This Row],[FECHA DE MUESTREO ]]=0,"",TEXT(Tabla2[[#This Row],[FECHA DE MUESTREO ]],("MMMM"))))</f>
        <v/>
      </c>
      <c r="U1390" s="6"/>
      <c r="W13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0" s="7">
        <f t="shared" si="42"/>
        <v>1</v>
      </c>
    </row>
    <row r="1391" spans="10:24" x14ac:dyDescent="0.25">
      <c r="J1391" s="5" t="str">
        <f>IFERROR(VLOOKUP(I1391,[1]INFO_LOCALES!$B:$C,2,FALSE),"")</f>
        <v/>
      </c>
      <c r="K1391" s="5" t="str">
        <f>IFERROR(VLOOKUP(Tabla2[[#This Row],[TIENDA]],[1]INFO_LOCALES!$B:$D,3,FALSE),"")</f>
        <v/>
      </c>
      <c r="L1391" s="5" t="str">
        <f>IFERROR(VLOOKUP(I1391,[1]INFO_LOCALES!$B:$I,8,FALSE),"")</f>
        <v/>
      </c>
      <c r="M1391" s="5" t="str">
        <f>IFERROR(VLOOKUP(I1391,[1]INFO_LOCALES!$B:$H,7,FALSE),"")</f>
        <v/>
      </c>
      <c r="N1391" s="5" t="str">
        <f>IFERROR(VLOOKUP(I1391,[1]INFO_LOCALES!$B:$E,4,FALSE),"")</f>
        <v/>
      </c>
      <c r="O1391" s="5" t="e">
        <f>VLOOKUP(Tabla2[[#This Row],[TIENDA]],[1]INFO_LOCALES!$B:$J,9,0)</f>
        <v>#N/A</v>
      </c>
      <c r="P1391" s="5" t="str">
        <f>IFERROR(VLOOKUP(I1391,[1]INFO_LOCALES!$B:$F,5,FALSE),"")</f>
        <v/>
      </c>
      <c r="S1391" s="6"/>
      <c r="T1391" s="5" t="str">
        <f>UPPER(IF(Tabla2[[#This Row],[FECHA DE MUESTREO ]]=0,"",TEXT(Tabla2[[#This Row],[FECHA DE MUESTREO ]],("MMMM"))))</f>
        <v/>
      </c>
      <c r="U1391" s="6"/>
      <c r="W13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1" s="7">
        <f t="shared" si="42"/>
        <v>1</v>
      </c>
    </row>
    <row r="1392" spans="10:24" x14ac:dyDescent="0.25">
      <c r="J1392" s="5" t="str">
        <f>IFERROR(VLOOKUP(I1392,[1]INFO_LOCALES!$B:$C,2,FALSE),"")</f>
        <v/>
      </c>
      <c r="K1392" s="5" t="str">
        <f>IFERROR(VLOOKUP(Tabla2[[#This Row],[TIENDA]],[1]INFO_LOCALES!$B:$D,3,FALSE),"")</f>
        <v/>
      </c>
      <c r="L1392" s="5" t="str">
        <f>IFERROR(VLOOKUP(I1392,[1]INFO_LOCALES!$B:$I,8,FALSE),"")</f>
        <v/>
      </c>
      <c r="M1392" s="5" t="str">
        <f>IFERROR(VLOOKUP(I1392,[1]INFO_LOCALES!$B:$H,7,FALSE),"")</f>
        <v/>
      </c>
      <c r="N1392" s="5" t="str">
        <f>IFERROR(VLOOKUP(I1392,[1]INFO_LOCALES!$B:$E,4,FALSE),"")</f>
        <v/>
      </c>
      <c r="O1392" s="5" t="e">
        <f>VLOOKUP(Tabla2[[#This Row],[TIENDA]],[1]INFO_LOCALES!$B:$J,9,0)</f>
        <v>#N/A</v>
      </c>
      <c r="P1392" s="5" t="str">
        <f>IFERROR(VLOOKUP(I1392,[1]INFO_LOCALES!$B:$F,5,FALSE),"")</f>
        <v/>
      </c>
      <c r="S1392" s="6"/>
      <c r="T1392" s="5" t="str">
        <f>UPPER(IF(Tabla2[[#This Row],[FECHA DE MUESTREO ]]=0,"",TEXT(Tabla2[[#This Row],[FECHA DE MUESTREO ]],("MMMM"))))</f>
        <v/>
      </c>
      <c r="U1392" s="6"/>
      <c r="W13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2" s="7">
        <f t="shared" si="42"/>
        <v>1</v>
      </c>
    </row>
    <row r="1393" spans="10:24" x14ac:dyDescent="0.25">
      <c r="J1393" s="5" t="str">
        <f>IFERROR(VLOOKUP(I1393,[1]INFO_LOCALES!$B:$C,2,FALSE),"")</f>
        <v/>
      </c>
      <c r="K1393" s="5" t="str">
        <f>IFERROR(VLOOKUP(Tabla2[[#This Row],[TIENDA]],[1]INFO_LOCALES!$B:$D,3,FALSE),"")</f>
        <v/>
      </c>
      <c r="L1393" s="5" t="str">
        <f>IFERROR(VLOOKUP(I1393,[1]INFO_LOCALES!$B:$I,8,FALSE),"")</f>
        <v/>
      </c>
      <c r="M1393" s="5" t="str">
        <f>IFERROR(VLOOKUP(I1393,[1]INFO_LOCALES!$B:$H,7,FALSE),"")</f>
        <v/>
      </c>
      <c r="N1393" s="5" t="str">
        <f>IFERROR(VLOOKUP(I1393,[1]INFO_LOCALES!$B:$E,4,FALSE),"")</f>
        <v/>
      </c>
      <c r="O1393" s="5" t="e">
        <f>VLOOKUP(Tabla2[[#This Row],[TIENDA]],[1]INFO_LOCALES!$B:$J,9,0)</f>
        <v>#N/A</v>
      </c>
      <c r="P1393" s="5" t="str">
        <f>IFERROR(VLOOKUP(I1393,[1]INFO_LOCALES!$B:$F,5,FALSE),"")</f>
        <v/>
      </c>
      <c r="S1393" s="6"/>
      <c r="T1393" s="5" t="str">
        <f>UPPER(IF(Tabla2[[#This Row],[FECHA DE MUESTREO ]]=0,"",TEXT(Tabla2[[#This Row],[FECHA DE MUESTREO ]],("MMMM"))))</f>
        <v/>
      </c>
      <c r="U1393" s="6"/>
      <c r="W13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3" s="7">
        <f t="shared" si="42"/>
        <v>1</v>
      </c>
    </row>
    <row r="1394" spans="10:24" x14ac:dyDescent="0.25">
      <c r="J1394" s="5" t="str">
        <f>IFERROR(VLOOKUP(I1394,[1]INFO_LOCALES!$B:$C,2,FALSE),"")</f>
        <v/>
      </c>
      <c r="K1394" s="5" t="str">
        <f>IFERROR(VLOOKUP(Tabla2[[#This Row],[TIENDA]],[1]INFO_LOCALES!$B:$D,3,FALSE),"")</f>
        <v/>
      </c>
      <c r="L1394" s="5" t="str">
        <f>IFERROR(VLOOKUP(I1394,[1]INFO_LOCALES!$B:$I,8,FALSE),"")</f>
        <v/>
      </c>
      <c r="M1394" s="5" t="str">
        <f>IFERROR(VLOOKUP(I1394,[1]INFO_LOCALES!$B:$H,7,FALSE),"")</f>
        <v/>
      </c>
      <c r="N1394" s="5" t="str">
        <f>IFERROR(VLOOKUP(I1394,[1]INFO_LOCALES!$B:$E,4,FALSE),"")</f>
        <v/>
      </c>
      <c r="O1394" s="5" t="e">
        <f>VLOOKUP(Tabla2[[#This Row],[TIENDA]],[1]INFO_LOCALES!$B:$J,9,0)</f>
        <v>#N/A</v>
      </c>
      <c r="P1394" s="5" t="str">
        <f>IFERROR(VLOOKUP(I1394,[1]INFO_LOCALES!$B:$F,5,FALSE),"")</f>
        <v/>
      </c>
      <c r="S1394" s="6"/>
      <c r="T1394" s="5" t="str">
        <f>UPPER(IF(Tabla2[[#This Row],[FECHA DE MUESTREO ]]=0,"",TEXT(Tabla2[[#This Row],[FECHA DE MUESTREO ]],("MMMM"))))</f>
        <v/>
      </c>
      <c r="U1394" s="6"/>
      <c r="W13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4" s="7">
        <f t="shared" si="42"/>
        <v>1</v>
      </c>
    </row>
    <row r="1395" spans="10:24" x14ac:dyDescent="0.25">
      <c r="J1395" s="5" t="str">
        <f>IFERROR(VLOOKUP(I1395,[1]INFO_LOCALES!$B:$C,2,FALSE),"")</f>
        <v/>
      </c>
      <c r="K1395" s="5" t="str">
        <f>IFERROR(VLOOKUP(Tabla2[[#This Row],[TIENDA]],[1]INFO_LOCALES!$B:$D,3,FALSE),"")</f>
        <v/>
      </c>
      <c r="L1395" s="5" t="str">
        <f>IFERROR(VLOOKUP(I1395,[1]INFO_LOCALES!$B:$I,8,FALSE),"")</f>
        <v/>
      </c>
      <c r="M1395" s="5" t="str">
        <f>IFERROR(VLOOKUP(I1395,[1]INFO_LOCALES!$B:$H,7,FALSE),"")</f>
        <v/>
      </c>
      <c r="N1395" s="5" t="str">
        <f>IFERROR(VLOOKUP(I1395,[1]INFO_LOCALES!$B:$E,4,FALSE),"")</f>
        <v/>
      </c>
      <c r="O1395" s="5" t="e">
        <f>VLOOKUP(Tabla2[[#This Row],[TIENDA]],[1]INFO_LOCALES!$B:$J,9,0)</f>
        <v>#N/A</v>
      </c>
      <c r="P1395" s="5" t="str">
        <f>IFERROR(VLOOKUP(I1395,[1]INFO_LOCALES!$B:$F,5,FALSE),"")</f>
        <v/>
      </c>
      <c r="S1395" s="6"/>
      <c r="T1395" s="5" t="str">
        <f>UPPER(IF(Tabla2[[#This Row],[FECHA DE MUESTREO ]]=0,"",TEXT(Tabla2[[#This Row],[FECHA DE MUESTREO ]],("MMMM"))))</f>
        <v/>
      </c>
      <c r="U1395" s="6"/>
      <c r="W13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5" s="7">
        <f t="shared" si="42"/>
        <v>1</v>
      </c>
    </row>
    <row r="1396" spans="10:24" x14ac:dyDescent="0.25">
      <c r="J1396" s="5" t="str">
        <f>IFERROR(VLOOKUP(I1396,[1]INFO_LOCALES!$B:$C,2,FALSE),"")</f>
        <v/>
      </c>
      <c r="K1396" s="5" t="str">
        <f>IFERROR(VLOOKUP(Tabla2[[#This Row],[TIENDA]],[1]INFO_LOCALES!$B:$D,3,FALSE),"")</f>
        <v/>
      </c>
      <c r="L1396" s="5" t="str">
        <f>IFERROR(VLOOKUP(I1396,[1]INFO_LOCALES!$B:$I,8,FALSE),"")</f>
        <v/>
      </c>
      <c r="M1396" s="5" t="str">
        <f>IFERROR(VLOOKUP(I1396,[1]INFO_LOCALES!$B:$H,7,FALSE),"")</f>
        <v/>
      </c>
      <c r="N1396" s="5" t="str">
        <f>IFERROR(VLOOKUP(I1396,[1]INFO_LOCALES!$B:$E,4,FALSE),"")</f>
        <v/>
      </c>
      <c r="O1396" s="5" t="e">
        <f>VLOOKUP(Tabla2[[#This Row],[TIENDA]],[1]INFO_LOCALES!$B:$J,9,0)</f>
        <v>#N/A</v>
      </c>
      <c r="P1396" s="5" t="str">
        <f>IFERROR(VLOOKUP(I1396,[1]INFO_LOCALES!$B:$F,5,FALSE),"")</f>
        <v/>
      </c>
      <c r="S1396" s="6"/>
      <c r="T1396" s="5" t="str">
        <f>UPPER(IF(Tabla2[[#This Row],[FECHA DE MUESTREO ]]=0,"",TEXT(Tabla2[[#This Row],[FECHA DE MUESTREO ]],("MMMM"))))</f>
        <v/>
      </c>
      <c r="U1396" s="6"/>
      <c r="W13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6" s="7">
        <f t="shared" si="42"/>
        <v>1</v>
      </c>
    </row>
    <row r="1397" spans="10:24" x14ac:dyDescent="0.25">
      <c r="J1397" s="5" t="str">
        <f>IFERROR(VLOOKUP(I1397,[1]INFO_LOCALES!$B:$C,2,FALSE),"")</f>
        <v/>
      </c>
      <c r="K1397" s="5" t="str">
        <f>IFERROR(VLOOKUP(Tabla2[[#This Row],[TIENDA]],[1]INFO_LOCALES!$B:$D,3,FALSE),"")</f>
        <v/>
      </c>
      <c r="L1397" s="5" t="str">
        <f>IFERROR(VLOOKUP(I1397,[1]INFO_LOCALES!$B:$I,8,FALSE),"")</f>
        <v/>
      </c>
      <c r="M1397" s="5" t="str">
        <f>IFERROR(VLOOKUP(I1397,[1]INFO_LOCALES!$B:$H,7,FALSE),"")</f>
        <v/>
      </c>
      <c r="N1397" s="5" t="str">
        <f>IFERROR(VLOOKUP(I1397,[1]INFO_LOCALES!$B:$E,4,FALSE),"")</f>
        <v/>
      </c>
      <c r="O1397" s="5" t="e">
        <f>VLOOKUP(Tabla2[[#This Row],[TIENDA]],[1]INFO_LOCALES!$B:$J,9,0)</f>
        <v>#N/A</v>
      </c>
      <c r="P1397" s="5" t="str">
        <f>IFERROR(VLOOKUP(I1397,[1]INFO_LOCALES!$B:$F,5,FALSE),"")</f>
        <v/>
      </c>
      <c r="S1397" s="6"/>
      <c r="T1397" s="5" t="str">
        <f>UPPER(IF(Tabla2[[#This Row],[FECHA DE MUESTREO ]]=0,"",TEXT(Tabla2[[#This Row],[FECHA DE MUESTREO ]],("MMMM"))))</f>
        <v/>
      </c>
      <c r="U1397" s="6"/>
      <c r="W13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7" s="7">
        <f t="shared" si="42"/>
        <v>1</v>
      </c>
    </row>
    <row r="1398" spans="10:24" x14ac:dyDescent="0.25">
      <c r="J1398" s="5" t="str">
        <f>IFERROR(VLOOKUP(I1398,[1]INFO_LOCALES!$B:$C,2,FALSE),"")</f>
        <v/>
      </c>
      <c r="K1398" s="5" t="str">
        <f>IFERROR(VLOOKUP(Tabla2[[#This Row],[TIENDA]],[1]INFO_LOCALES!$B:$D,3,FALSE),"")</f>
        <v/>
      </c>
      <c r="L1398" s="5" t="str">
        <f>IFERROR(VLOOKUP(I1398,[1]INFO_LOCALES!$B:$I,8,FALSE),"")</f>
        <v/>
      </c>
      <c r="M1398" s="5" t="str">
        <f>IFERROR(VLOOKUP(I1398,[1]INFO_LOCALES!$B:$H,7,FALSE),"")</f>
        <v/>
      </c>
      <c r="N1398" s="5" t="str">
        <f>IFERROR(VLOOKUP(I1398,[1]INFO_LOCALES!$B:$E,4,FALSE),"")</f>
        <v/>
      </c>
      <c r="O1398" s="5" t="e">
        <f>VLOOKUP(Tabla2[[#This Row],[TIENDA]],[1]INFO_LOCALES!$B:$J,9,0)</f>
        <v>#N/A</v>
      </c>
      <c r="P1398" s="5" t="str">
        <f>IFERROR(VLOOKUP(I1398,[1]INFO_LOCALES!$B:$F,5,FALSE),"")</f>
        <v/>
      </c>
      <c r="S1398" s="6"/>
      <c r="T1398" s="5" t="str">
        <f>UPPER(IF(Tabla2[[#This Row],[FECHA DE MUESTREO ]]=0,"",TEXT(Tabla2[[#This Row],[FECHA DE MUESTREO ]],("MMMM"))))</f>
        <v/>
      </c>
      <c r="U1398" s="6"/>
      <c r="W13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8" s="7">
        <f t="shared" si="42"/>
        <v>1</v>
      </c>
    </row>
    <row r="1399" spans="10:24" x14ac:dyDescent="0.25">
      <c r="J1399" s="5" t="str">
        <f>IFERROR(VLOOKUP(I1399,[1]INFO_LOCALES!$B:$C,2,FALSE),"")</f>
        <v/>
      </c>
      <c r="K1399" s="5" t="str">
        <f>IFERROR(VLOOKUP(Tabla2[[#This Row],[TIENDA]],[1]INFO_LOCALES!$B:$D,3,FALSE),"")</f>
        <v/>
      </c>
      <c r="L1399" s="5" t="str">
        <f>IFERROR(VLOOKUP(I1399,[1]INFO_LOCALES!$B:$I,8,FALSE),"")</f>
        <v/>
      </c>
      <c r="M1399" s="5" t="str">
        <f>IFERROR(VLOOKUP(I1399,[1]INFO_LOCALES!$B:$H,7,FALSE),"")</f>
        <v/>
      </c>
      <c r="N1399" s="5" t="str">
        <f>IFERROR(VLOOKUP(I1399,[1]INFO_LOCALES!$B:$E,4,FALSE),"")</f>
        <v/>
      </c>
      <c r="O1399" s="5" t="e">
        <f>VLOOKUP(Tabla2[[#This Row],[TIENDA]],[1]INFO_LOCALES!$B:$J,9,0)</f>
        <v>#N/A</v>
      </c>
      <c r="P1399" s="5" t="str">
        <f>IFERROR(VLOOKUP(I1399,[1]INFO_LOCALES!$B:$F,5,FALSE),"")</f>
        <v/>
      </c>
      <c r="S1399" s="6"/>
      <c r="T1399" s="5" t="str">
        <f>UPPER(IF(Tabla2[[#This Row],[FECHA DE MUESTREO ]]=0,"",TEXT(Tabla2[[#This Row],[FECHA DE MUESTREO ]],("MMMM"))))</f>
        <v/>
      </c>
      <c r="U1399" s="6"/>
      <c r="W13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399" s="7">
        <f t="shared" si="42"/>
        <v>1</v>
      </c>
    </row>
    <row r="1400" spans="10:24" x14ac:dyDescent="0.25">
      <c r="J1400" s="5" t="str">
        <f>IFERROR(VLOOKUP(I1400,[1]INFO_LOCALES!$B:$C,2,FALSE),"")</f>
        <v/>
      </c>
      <c r="K1400" s="5" t="str">
        <f>IFERROR(VLOOKUP(Tabla2[[#This Row],[TIENDA]],[1]INFO_LOCALES!$B:$D,3,FALSE),"")</f>
        <v/>
      </c>
      <c r="L1400" s="5" t="str">
        <f>IFERROR(VLOOKUP(I1400,[1]INFO_LOCALES!$B:$I,8,FALSE),"")</f>
        <v/>
      </c>
      <c r="M1400" s="5" t="str">
        <f>IFERROR(VLOOKUP(I1400,[1]INFO_LOCALES!$B:$H,7,FALSE),"")</f>
        <v/>
      </c>
      <c r="N1400" s="5" t="str">
        <f>IFERROR(VLOOKUP(I1400,[1]INFO_LOCALES!$B:$E,4,FALSE),"")</f>
        <v/>
      </c>
      <c r="O1400" s="5" t="e">
        <f>VLOOKUP(Tabla2[[#This Row],[TIENDA]],[1]INFO_LOCALES!$B:$J,9,0)</f>
        <v>#N/A</v>
      </c>
      <c r="P1400" s="5" t="str">
        <f>IFERROR(VLOOKUP(I1400,[1]INFO_LOCALES!$B:$F,5,FALSE),"")</f>
        <v/>
      </c>
      <c r="S1400" s="6"/>
      <c r="T1400" s="5" t="str">
        <f>UPPER(IF(Tabla2[[#This Row],[FECHA DE MUESTREO ]]=0,"",TEXT(Tabla2[[#This Row],[FECHA DE MUESTREO ]],("MMMM"))))</f>
        <v/>
      </c>
      <c r="U1400" s="6"/>
      <c r="W14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0" s="7">
        <f t="shared" si="42"/>
        <v>1</v>
      </c>
    </row>
    <row r="1401" spans="10:24" x14ac:dyDescent="0.25">
      <c r="J1401" s="5" t="str">
        <f>IFERROR(VLOOKUP(I1401,[1]INFO_LOCALES!$B:$C,2,FALSE),"")</f>
        <v/>
      </c>
      <c r="K1401" s="5" t="str">
        <f>IFERROR(VLOOKUP(Tabla2[[#This Row],[TIENDA]],[1]INFO_LOCALES!$B:$D,3,FALSE),"")</f>
        <v/>
      </c>
      <c r="L1401" s="5" t="str">
        <f>IFERROR(VLOOKUP(I1401,[1]INFO_LOCALES!$B:$I,8,FALSE),"")</f>
        <v/>
      </c>
      <c r="M1401" s="5" t="str">
        <f>IFERROR(VLOOKUP(I1401,[1]INFO_LOCALES!$B:$H,7,FALSE),"")</f>
        <v/>
      </c>
      <c r="N1401" s="5" t="str">
        <f>IFERROR(VLOOKUP(I1401,[1]INFO_LOCALES!$B:$E,4,FALSE),"")</f>
        <v/>
      </c>
      <c r="O1401" s="5" t="e">
        <f>VLOOKUP(Tabla2[[#This Row],[TIENDA]],[1]INFO_LOCALES!$B:$J,9,0)</f>
        <v>#N/A</v>
      </c>
      <c r="P1401" s="5" t="str">
        <f>IFERROR(VLOOKUP(I1401,[1]INFO_LOCALES!$B:$F,5,FALSE),"")</f>
        <v/>
      </c>
      <c r="S1401" s="6"/>
      <c r="T1401" s="5" t="str">
        <f>UPPER(IF(Tabla2[[#This Row],[FECHA DE MUESTREO ]]=0,"",TEXT(Tabla2[[#This Row],[FECHA DE MUESTREO ]],("MMMM"))))</f>
        <v/>
      </c>
      <c r="U1401" s="6"/>
      <c r="W14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1" s="7">
        <f t="shared" si="42"/>
        <v>1</v>
      </c>
    </row>
    <row r="1402" spans="10:24" x14ac:dyDescent="0.25">
      <c r="J1402" s="5" t="str">
        <f>IFERROR(VLOOKUP(I1402,[1]INFO_LOCALES!$B:$C,2,FALSE),"")</f>
        <v/>
      </c>
      <c r="K1402" s="5" t="str">
        <f>IFERROR(VLOOKUP(Tabla2[[#This Row],[TIENDA]],[1]INFO_LOCALES!$B:$D,3,FALSE),"")</f>
        <v/>
      </c>
      <c r="L1402" s="5" t="str">
        <f>IFERROR(VLOOKUP(I1402,[1]INFO_LOCALES!$B:$I,8,FALSE),"")</f>
        <v/>
      </c>
      <c r="M1402" s="5" t="str">
        <f>IFERROR(VLOOKUP(I1402,[1]INFO_LOCALES!$B:$H,7,FALSE),"")</f>
        <v/>
      </c>
      <c r="N1402" s="5" t="str">
        <f>IFERROR(VLOOKUP(I1402,[1]INFO_LOCALES!$B:$E,4,FALSE),"")</f>
        <v/>
      </c>
      <c r="O1402" s="5" t="e">
        <f>VLOOKUP(Tabla2[[#This Row],[TIENDA]],[1]INFO_LOCALES!$B:$J,9,0)</f>
        <v>#N/A</v>
      </c>
      <c r="P1402" s="5" t="str">
        <f>IFERROR(VLOOKUP(I1402,[1]INFO_LOCALES!$B:$F,5,FALSE),"")</f>
        <v/>
      </c>
      <c r="S1402" s="6"/>
      <c r="T1402" s="5" t="str">
        <f>UPPER(IF(Tabla2[[#This Row],[FECHA DE MUESTREO ]]=0,"",TEXT(Tabla2[[#This Row],[FECHA DE MUESTREO ]],("MMMM"))))</f>
        <v/>
      </c>
      <c r="U1402" s="6"/>
      <c r="W14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2" s="7">
        <f t="shared" si="42"/>
        <v>1</v>
      </c>
    </row>
    <row r="1403" spans="10:24" x14ac:dyDescent="0.25">
      <c r="J1403" s="5" t="str">
        <f>IFERROR(VLOOKUP(I1403,[1]INFO_LOCALES!$B:$C,2,FALSE),"")</f>
        <v/>
      </c>
      <c r="K1403" s="5" t="str">
        <f>IFERROR(VLOOKUP(Tabla2[[#This Row],[TIENDA]],[1]INFO_LOCALES!$B:$D,3,FALSE),"")</f>
        <v/>
      </c>
      <c r="L1403" s="5" t="str">
        <f>IFERROR(VLOOKUP(I1403,[1]INFO_LOCALES!$B:$I,8,FALSE),"")</f>
        <v/>
      </c>
      <c r="M1403" s="5" t="str">
        <f>IFERROR(VLOOKUP(I1403,[1]INFO_LOCALES!$B:$H,7,FALSE),"")</f>
        <v/>
      </c>
      <c r="N1403" s="5" t="str">
        <f>IFERROR(VLOOKUP(I1403,[1]INFO_LOCALES!$B:$E,4,FALSE),"")</f>
        <v/>
      </c>
      <c r="O1403" s="5" t="e">
        <f>VLOOKUP(Tabla2[[#This Row],[TIENDA]],[1]INFO_LOCALES!$B:$J,9,0)</f>
        <v>#N/A</v>
      </c>
      <c r="P1403" s="5" t="str">
        <f>IFERROR(VLOOKUP(I1403,[1]INFO_LOCALES!$B:$F,5,FALSE),"")</f>
        <v/>
      </c>
      <c r="S1403" s="6"/>
      <c r="T1403" s="5" t="str">
        <f>UPPER(IF(Tabla2[[#This Row],[FECHA DE MUESTREO ]]=0,"",TEXT(Tabla2[[#This Row],[FECHA DE MUESTREO ]],("MMMM"))))</f>
        <v/>
      </c>
      <c r="U1403" s="6"/>
      <c r="W14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3" s="7">
        <f t="shared" si="42"/>
        <v>1</v>
      </c>
    </row>
    <row r="1404" spans="10:24" x14ac:dyDescent="0.25">
      <c r="J1404" s="5" t="str">
        <f>IFERROR(VLOOKUP(I1404,[1]INFO_LOCALES!$B:$C,2,FALSE),"")</f>
        <v/>
      </c>
      <c r="K1404" s="5" t="str">
        <f>IFERROR(VLOOKUP(Tabla2[[#This Row],[TIENDA]],[1]INFO_LOCALES!$B:$D,3,FALSE),"")</f>
        <v/>
      </c>
      <c r="L1404" s="5" t="str">
        <f>IFERROR(VLOOKUP(I1404,[1]INFO_LOCALES!$B:$I,8,FALSE),"")</f>
        <v/>
      </c>
      <c r="M1404" s="5" t="str">
        <f>IFERROR(VLOOKUP(I1404,[1]INFO_LOCALES!$B:$H,7,FALSE),"")</f>
        <v/>
      </c>
      <c r="N1404" s="5" t="str">
        <f>IFERROR(VLOOKUP(I1404,[1]INFO_LOCALES!$B:$E,4,FALSE),"")</f>
        <v/>
      </c>
      <c r="O1404" s="5" t="e">
        <f>VLOOKUP(Tabla2[[#This Row],[TIENDA]],[1]INFO_LOCALES!$B:$J,9,0)</f>
        <v>#N/A</v>
      </c>
      <c r="P1404" s="5" t="str">
        <f>IFERROR(VLOOKUP(I1404,[1]INFO_LOCALES!$B:$F,5,FALSE),"")</f>
        <v/>
      </c>
      <c r="S1404" s="6"/>
      <c r="T1404" s="5" t="str">
        <f>UPPER(IF(Tabla2[[#This Row],[FECHA DE MUESTREO ]]=0,"",TEXT(Tabla2[[#This Row],[FECHA DE MUESTREO ]],("MMMM"))))</f>
        <v/>
      </c>
      <c r="U1404" s="6"/>
      <c r="W14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4" s="7">
        <f t="shared" si="42"/>
        <v>1</v>
      </c>
    </row>
    <row r="1405" spans="10:24" x14ac:dyDescent="0.25">
      <c r="J1405" s="5" t="str">
        <f>IFERROR(VLOOKUP(I1405,[1]INFO_LOCALES!$B:$C,2,FALSE),"")</f>
        <v/>
      </c>
      <c r="K1405" s="5" t="str">
        <f>IFERROR(VLOOKUP(Tabla2[[#This Row],[TIENDA]],[1]INFO_LOCALES!$B:$D,3,FALSE),"")</f>
        <v/>
      </c>
      <c r="L1405" s="5" t="str">
        <f>IFERROR(VLOOKUP(I1405,[1]INFO_LOCALES!$B:$I,8,FALSE),"")</f>
        <v/>
      </c>
      <c r="M1405" s="5" t="str">
        <f>IFERROR(VLOOKUP(I1405,[1]INFO_LOCALES!$B:$H,7,FALSE),"")</f>
        <v/>
      </c>
      <c r="N1405" s="5" t="str">
        <f>IFERROR(VLOOKUP(I1405,[1]INFO_LOCALES!$B:$E,4,FALSE),"")</f>
        <v/>
      </c>
      <c r="O1405" s="5" t="e">
        <f>VLOOKUP(Tabla2[[#This Row],[TIENDA]],[1]INFO_LOCALES!$B:$J,9,0)</f>
        <v>#N/A</v>
      </c>
      <c r="P1405" s="5" t="str">
        <f>IFERROR(VLOOKUP(I1405,[1]INFO_LOCALES!$B:$F,5,FALSE),"")</f>
        <v/>
      </c>
      <c r="S1405" s="6"/>
      <c r="T1405" s="5" t="str">
        <f>UPPER(IF(Tabla2[[#This Row],[FECHA DE MUESTREO ]]=0,"",TEXT(Tabla2[[#This Row],[FECHA DE MUESTREO ]],("MMMM"))))</f>
        <v/>
      </c>
      <c r="U1405" s="6"/>
      <c r="W14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5" s="7">
        <f t="shared" si="42"/>
        <v>1</v>
      </c>
    </row>
    <row r="1406" spans="10:24" x14ac:dyDescent="0.25">
      <c r="J1406" s="5" t="str">
        <f>IFERROR(VLOOKUP(I1406,[1]INFO_LOCALES!$B:$C,2,FALSE),"")</f>
        <v/>
      </c>
      <c r="K1406" s="5" t="str">
        <f>IFERROR(VLOOKUP(Tabla2[[#This Row],[TIENDA]],[1]INFO_LOCALES!$B:$D,3,FALSE),"")</f>
        <v/>
      </c>
      <c r="L1406" s="5" t="str">
        <f>IFERROR(VLOOKUP(I1406,[1]INFO_LOCALES!$B:$I,8,FALSE),"")</f>
        <v/>
      </c>
      <c r="M1406" s="5" t="str">
        <f>IFERROR(VLOOKUP(I1406,[1]INFO_LOCALES!$B:$H,7,FALSE),"")</f>
        <v/>
      </c>
      <c r="N1406" s="5" t="str">
        <f>IFERROR(VLOOKUP(I1406,[1]INFO_LOCALES!$B:$E,4,FALSE),"")</f>
        <v/>
      </c>
      <c r="O1406" s="5" t="e">
        <f>VLOOKUP(Tabla2[[#This Row],[TIENDA]],[1]INFO_LOCALES!$B:$J,9,0)</f>
        <v>#N/A</v>
      </c>
      <c r="P1406" s="5" t="str">
        <f>IFERROR(VLOOKUP(I1406,[1]INFO_LOCALES!$B:$F,5,FALSE),"")</f>
        <v/>
      </c>
      <c r="S1406" s="6"/>
      <c r="T1406" s="5" t="str">
        <f>UPPER(IF(Tabla2[[#This Row],[FECHA DE MUESTREO ]]=0,"",TEXT(Tabla2[[#This Row],[FECHA DE MUESTREO ]],("MMMM"))))</f>
        <v/>
      </c>
      <c r="U1406" s="6"/>
      <c r="W14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6" s="7">
        <f t="shared" si="42"/>
        <v>1</v>
      </c>
    </row>
    <row r="1407" spans="10:24" x14ac:dyDescent="0.25">
      <c r="J1407" s="5" t="str">
        <f>IFERROR(VLOOKUP(I1407,[1]INFO_LOCALES!$B:$C,2,FALSE),"")</f>
        <v/>
      </c>
      <c r="K1407" s="5" t="str">
        <f>IFERROR(VLOOKUP(Tabla2[[#This Row],[TIENDA]],[1]INFO_LOCALES!$B:$D,3,FALSE),"")</f>
        <v/>
      </c>
      <c r="L1407" s="5" t="str">
        <f>IFERROR(VLOOKUP(I1407,[1]INFO_LOCALES!$B:$I,8,FALSE),"")</f>
        <v/>
      </c>
      <c r="M1407" s="5" t="str">
        <f>IFERROR(VLOOKUP(I1407,[1]INFO_LOCALES!$B:$H,7,FALSE),"")</f>
        <v/>
      </c>
      <c r="N1407" s="5" t="str">
        <f>IFERROR(VLOOKUP(I1407,[1]INFO_LOCALES!$B:$E,4,FALSE),"")</f>
        <v/>
      </c>
      <c r="O1407" s="5" t="e">
        <f>VLOOKUP(Tabla2[[#This Row],[TIENDA]],[1]INFO_LOCALES!$B:$J,9,0)</f>
        <v>#N/A</v>
      </c>
      <c r="P1407" s="5" t="str">
        <f>IFERROR(VLOOKUP(I1407,[1]INFO_LOCALES!$B:$F,5,FALSE),"")</f>
        <v/>
      </c>
      <c r="S1407" s="6"/>
      <c r="T1407" s="5" t="str">
        <f>UPPER(IF(Tabla2[[#This Row],[FECHA DE MUESTREO ]]=0,"",TEXT(Tabla2[[#This Row],[FECHA DE MUESTREO ]],("MMMM"))))</f>
        <v/>
      </c>
      <c r="U1407" s="6"/>
      <c r="W14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7" s="7">
        <f t="shared" si="42"/>
        <v>1</v>
      </c>
    </row>
    <row r="1408" spans="10:24" x14ac:dyDescent="0.25">
      <c r="J1408" s="5" t="str">
        <f>IFERROR(VLOOKUP(I1408,[1]INFO_LOCALES!$B:$C,2,FALSE),"")</f>
        <v/>
      </c>
      <c r="K1408" s="5" t="str">
        <f>IFERROR(VLOOKUP(Tabla2[[#This Row],[TIENDA]],[1]INFO_LOCALES!$B:$D,3,FALSE),"")</f>
        <v/>
      </c>
      <c r="L1408" s="5" t="str">
        <f>IFERROR(VLOOKUP(I1408,[1]INFO_LOCALES!$B:$I,8,FALSE),"")</f>
        <v/>
      </c>
      <c r="M1408" s="5" t="str">
        <f>IFERROR(VLOOKUP(I1408,[1]INFO_LOCALES!$B:$H,7,FALSE),"")</f>
        <v/>
      </c>
      <c r="N1408" s="5" t="str">
        <f>IFERROR(VLOOKUP(I1408,[1]INFO_LOCALES!$B:$E,4,FALSE),"")</f>
        <v/>
      </c>
      <c r="O1408" s="5" t="e">
        <f>VLOOKUP(Tabla2[[#This Row],[TIENDA]],[1]INFO_LOCALES!$B:$J,9,0)</f>
        <v>#N/A</v>
      </c>
      <c r="P1408" s="5" t="str">
        <f>IFERROR(VLOOKUP(I1408,[1]INFO_LOCALES!$B:$F,5,FALSE),"")</f>
        <v/>
      </c>
      <c r="S1408" s="6"/>
      <c r="T1408" s="5" t="str">
        <f>UPPER(IF(Tabla2[[#This Row],[FECHA DE MUESTREO ]]=0,"",TEXT(Tabla2[[#This Row],[FECHA DE MUESTREO ]],("MMMM"))))</f>
        <v/>
      </c>
      <c r="U1408" s="6"/>
      <c r="W14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8" s="7">
        <f t="shared" si="42"/>
        <v>1</v>
      </c>
    </row>
    <row r="1409" spans="10:24" x14ac:dyDescent="0.25">
      <c r="J1409" s="5" t="str">
        <f>IFERROR(VLOOKUP(I1409,[1]INFO_LOCALES!$B:$C,2,FALSE),"")</f>
        <v/>
      </c>
      <c r="K1409" s="5" t="str">
        <f>IFERROR(VLOOKUP(Tabla2[[#This Row],[TIENDA]],[1]INFO_LOCALES!$B:$D,3,FALSE),"")</f>
        <v/>
      </c>
      <c r="L1409" s="5" t="str">
        <f>IFERROR(VLOOKUP(I1409,[1]INFO_LOCALES!$B:$I,8,FALSE),"")</f>
        <v/>
      </c>
      <c r="M1409" s="5" t="str">
        <f>IFERROR(VLOOKUP(I1409,[1]INFO_LOCALES!$B:$H,7,FALSE),"")</f>
        <v/>
      </c>
      <c r="N1409" s="5" t="str">
        <f>IFERROR(VLOOKUP(I1409,[1]INFO_LOCALES!$B:$E,4,FALSE),"")</f>
        <v/>
      </c>
      <c r="O1409" s="5" t="e">
        <f>VLOOKUP(Tabla2[[#This Row],[TIENDA]],[1]INFO_LOCALES!$B:$J,9,0)</f>
        <v>#N/A</v>
      </c>
      <c r="P1409" s="5" t="str">
        <f>IFERROR(VLOOKUP(I1409,[1]INFO_LOCALES!$B:$F,5,FALSE),"")</f>
        <v/>
      </c>
      <c r="S1409" s="6"/>
      <c r="T1409" s="5" t="str">
        <f>UPPER(IF(Tabla2[[#This Row],[FECHA DE MUESTREO ]]=0,"",TEXT(Tabla2[[#This Row],[FECHA DE MUESTREO ]],("MMMM"))))</f>
        <v/>
      </c>
      <c r="U1409" s="6"/>
      <c r="W14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09" s="7">
        <f t="shared" si="42"/>
        <v>1</v>
      </c>
    </row>
    <row r="1410" spans="10:24" x14ac:dyDescent="0.25">
      <c r="J1410" s="5" t="str">
        <f>IFERROR(VLOOKUP(I1410,[1]INFO_LOCALES!$B:$C,2,FALSE),"")</f>
        <v/>
      </c>
      <c r="K1410" s="5" t="str">
        <f>IFERROR(VLOOKUP(Tabla2[[#This Row],[TIENDA]],[1]INFO_LOCALES!$B:$D,3,FALSE),"")</f>
        <v/>
      </c>
      <c r="L1410" s="5" t="str">
        <f>IFERROR(VLOOKUP(I1410,[1]INFO_LOCALES!$B:$I,8,FALSE),"")</f>
        <v/>
      </c>
      <c r="M1410" s="5" t="str">
        <f>IFERROR(VLOOKUP(I1410,[1]INFO_LOCALES!$B:$H,7,FALSE),"")</f>
        <v/>
      </c>
      <c r="N1410" s="5" t="str">
        <f>IFERROR(VLOOKUP(I1410,[1]INFO_LOCALES!$B:$E,4,FALSE),"")</f>
        <v/>
      </c>
      <c r="O1410" s="5" t="e">
        <f>VLOOKUP(Tabla2[[#This Row],[TIENDA]],[1]INFO_LOCALES!$B:$J,9,0)</f>
        <v>#N/A</v>
      </c>
      <c r="P1410" s="5" t="str">
        <f>IFERROR(VLOOKUP(I1410,[1]INFO_LOCALES!$B:$F,5,FALSE),"")</f>
        <v/>
      </c>
      <c r="S1410" s="6"/>
      <c r="T1410" s="5" t="str">
        <f>UPPER(IF(Tabla2[[#This Row],[FECHA DE MUESTREO ]]=0,"",TEXT(Tabla2[[#This Row],[FECHA DE MUESTREO ]],("MMMM"))))</f>
        <v/>
      </c>
      <c r="U1410" s="6"/>
      <c r="W14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0" s="7">
        <f t="shared" si="42"/>
        <v>1</v>
      </c>
    </row>
    <row r="1411" spans="10:24" x14ac:dyDescent="0.25">
      <c r="J1411" s="5" t="str">
        <f>IFERROR(VLOOKUP(I1411,[1]INFO_LOCALES!$B:$C,2,FALSE),"")</f>
        <v/>
      </c>
      <c r="K1411" s="5" t="str">
        <f>IFERROR(VLOOKUP(Tabla2[[#This Row],[TIENDA]],[1]INFO_LOCALES!$B:$D,3,FALSE),"")</f>
        <v/>
      </c>
      <c r="L1411" s="5" t="str">
        <f>IFERROR(VLOOKUP(I1411,[1]INFO_LOCALES!$B:$I,8,FALSE),"")</f>
        <v/>
      </c>
      <c r="M1411" s="5" t="str">
        <f>IFERROR(VLOOKUP(I1411,[1]INFO_LOCALES!$B:$H,7,FALSE),"")</f>
        <v/>
      </c>
      <c r="N1411" s="5" t="str">
        <f>IFERROR(VLOOKUP(I1411,[1]INFO_LOCALES!$B:$E,4,FALSE),"")</f>
        <v/>
      </c>
      <c r="O1411" s="5" t="e">
        <f>VLOOKUP(Tabla2[[#This Row],[TIENDA]],[1]INFO_LOCALES!$B:$J,9,0)</f>
        <v>#N/A</v>
      </c>
      <c r="P1411" s="5" t="str">
        <f>IFERROR(VLOOKUP(I1411,[1]INFO_LOCALES!$B:$F,5,FALSE),"")</f>
        <v/>
      </c>
      <c r="S1411" s="6"/>
      <c r="T1411" s="5" t="str">
        <f>UPPER(IF(Tabla2[[#This Row],[FECHA DE MUESTREO ]]=0,"",TEXT(Tabla2[[#This Row],[FECHA DE MUESTREO ]],("MMMM"))))</f>
        <v/>
      </c>
      <c r="U1411" s="6"/>
      <c r="W14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1" s="7">
        <f t="shared" si="42"/>
        <v>1</v>
      </c>
    </row>
    <row r="1412" spans="10:24" x14ac:dyDescent="0.25">
      <c r="J1412" s="5" t="str">
        <f>IFERROR(VLOOKUP(I1412,[1]INFO_LOCALES!$B:$C,2,FALSE),"")</f>
        <v/>
      </c>
      <c r="K1412" s="5" t="str">
        <f>IFERROR(VLOOKUP(Tabla2[[#This Row],[TIENDA]],[1]INFO_LOCALES!$B:$D,3,FALSE),"")</f>
        <v/>
      </c>
      <c r="L1412" s="5" t="str">
        <f>IFERROR(VLOOKUP(I1412,[1]INFO_LOCALES!$B:$I,8,FALSE),"")</f>
        <v/>
      </c>
      <c r="M1412" s="5" t="str">
        <f>IFERROR(VLOOKUP(I1412,[1]INFO_LOCALES!$B:$H,7,FALSE),"")</f>
        <v/>
      </c>
      <c r="N1412" s="5" t="str">
        <f>IFERROR(VLOOKUP(I1412,[1]INFO_LOCALES!$B:$E,4,FALSE),"")</f>
        <v/>
      </c>
      <c r="O1412" s="5" t="e">
        <f>VLOOKUP(Tabla2[[#This Row],[TIENDA]],[1]INFO_LOCALES!$B:$J,9,0)</f>
        <v>#N/A</v>
      </c>
      <c r="P1412" s="5" t="str">
        <f>IFERROR(VLOOKUP(I1412,[1]INFO_LOCALES!$B:$F,5,FALSE),"")</f>
        <v/>
      </c>
      <c r="S1412" s="6"/>
      <c r="T1412" s="5" t="str">
        <f>UPPER(IF(Tabla2[[#This Row],[FECHA DE MUESTREO ]]=0,"",TEXT(Tabla2[[#This Row],[FECHA DE MUESTREO ]],("MMMM"))))</f>
        <v/>
      </c>
      <c r="U1412" s="6"/>
      <c r="W14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2" s="7">
        <f t="shared" si="42"/>
        <v>1</v>
      </c>
    </row>
    <row r="1413" spans="10:24" x14ac:dyDescent="0.25">
      <c r="J1413" s="5" t="str">
        <f>IFERROR(VLOOKUP(I1413,[1]INFO_LOCALES!$B:$C,2,FALSE),"")</f>
        <v/>
      </c>
      <c r="K1413" s="5" t="str">
        <f>IFERROR(VLOOKUP(Tabla2[[#This Row],[TIENDA]],[1]INFO_LOCALES!$B:$D,3,FALSE),"")</f>
        <v/>
      </c>
      <c r="L1413" s="5" t="str">
        <f>IFERROR(VLOOKUP(I1413,[1]INFO_LOCALES!$B:$I,8,FALSE),"")</f>
        <v/>
      </c>
      <c r="M1413" s="5" t="str">
        <f>IFERROR(VLOOKUP(I1413,[1]INFO_LOCALES!$B:$H,7,FALSE),"")</f>
        <v/>
      </c>
      <c r="N1413" s="5" t="str">
        <f>IFERROR(VLOOKUP(I1413,[1]INFO_LOCALES!$B:$E,4,FALSE),"")</f>
        <v/>
      </c>
      <c r="O1413" s="5" t="e">
        <f>VLOOKUP(Tabla2[[#This Row],[TIENDA]],[1]INFO_LOCALES!$B:$J,9,0)</f>
        <v>#N/A</v>
      </c>
      <c r="P1413" s="5" t="str">
        <f>IFERROR(VLOOKUP(I1413,[1]INFO_LOCALES!$B:$F,5,FALSE),"")</f>
        <v/>
      </c>
      <c r="S1413" s="6"/>
      <c r="T1413" s="5" t="str">
        <f>UPPER(IF(Tabla2[[#This Row],[FECHA DE MUESTREO ]]=0,"",TEXT(Tabla2[[#This Row],[FECHA DE MUESTREO ]],("MMMM"))))</f>
        <v/>
      </c>
      <c r="U1413" s="6"/>
      <c r="W14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3" s="7">
        <f t="shared" si="42"/>
        <v>1</v>
      </c>
    </row>
    <row r="1414" spans="10:24" x14ac:dyDescent="0.25">
      <c r="J1414" s="5" t="str">
        <f>IFERROR(VLOOKUP(I1414,[1]INFO_LOCALES!$B:$C,2,FALSE),"")</f>
        <v/>
      </c>
      <c r="K1414" s="5" t="str">
        <f>IFERROR(VLOOKUP(Tabla2[[#This Row],[TIENDA]],[1]INFO_LOCALES!$B:$D,3,FALSE),"")</f>
        <v/>
      </c>
      <c r="L1414" s="5" t="str">
        <f>IFERROR(VLOOKUP(I1414,[1]INFO_LOCALES!$B:$I,8,FALSE),"")</f>
        <v/>
      </c>
      <c r="M1414" s="5" t="str">
        <f>IFERROR(VLOOKUP(I1414,[1]INFO_LOCALES!$B:$H,7,FALSE),"")</f>
        <v/>
      </c>
      <c r="N1414" s="5" t="str">
        <f>IFERROR(VLOOKUP(I1414,[1]INFO_LOCALES!$B:$E,4,FALSE),"")</f>
        <v/>
      </c>
      <c r="O1414" s="5" t="e">
        <f>VLOOKUP(Tabla2[[#This Row],[TIENDA]],[1]INFO_LOCALES!$B:$J,9,0)</f>
        <v>#N/A</v>
      </c>
      <c r="P1414" s="5" t="str">
        <f>IFERROR(VLOOKUP(I1414,[1]INFO_LOCALES!$B:$F,5,FALSE),"")</f>
        <v/>
      </c>
      <c r="S1414" s="6"/>
      <c r="T1414" s="5" t="str">
        <f>UPPER(IF(Tabla2[[#This Row],[FECHA DE MUESTREO ]]=0,"",TEXT(Tabla2[[#This Row],[FECHA DE MUESTREO ]],("MMMM"))))</f>
        <v/>
      </c>
      <c r="U1414" s="6"/>
      <c r="W14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4" s="7">
        <f t="shared" si="42"/>
        <v>1</v>
      </c>
    </row>
    <row r="1415" spans="10:24" x14ac:dyDescent="0.25">
      <c r="J1415" s="5" t="str">
        <f>IFERROR(VLOOKUP(I1415,[1]INFO_LOCALES!$B:$C,2,FALSE),"")</f>
        <v/>
      </c>
      <c r="K1415" s="5" t="str">
        <f>IFERROR(VLOOKUP(Tabla2[[#This Row],[TIENDA]],[1]INFO_LOCALES!$B:$D,3,FALSE),"")</f>
        <v/>
      </c>
      <c r="L1415" s="5" t="str">
        <f>IFERROR(VLOOKUP(I1415,[1]INFO_LOCALES!$B:$I,8,FALSE),"")</f>
        <v/>
      </c>
      <c r="M1415" s="5" t="str">
        <f>IFERROR(VLOOKUP(I1415,[1]INFO_LOCALES!$B:$H,7,FALSE),"")</f>
        <v/>
      </c>
      <c r="N1415" s="5" t="str">
        <f>IFERROR(VLOOKUP(I1415,[1]INFO_LOCALES!$B:$E,4,FALSE),"")</f>
        <v/>
      </c>
      <c r="O1415" s="5" t="e">
        <f>VLOOKUP(Tabla2[[#This Row],[TIENDA]],[1]INFO_LOCALES!$B:$J,9,0)</f>
        <v>#N/A</v>
      </c>
      <c r="P1415" s="5" t="str">
        <f>IFERROR(VLOOKUP(I1415,[1]INFO_LOCALES!$B:$F,5,FALSE),"")</f>
        <v/>
      </c>
      <c r="S1415" s="6"/>
      <c r="T1415" s="5" t="str">
        <f>UPPER(IF(Tabla2[[#This Row],[FECHA DE MUESTREO ]]=0,"",TEXT(Tabla2[[#This Row],[FECHA DE MUESTREO ]],("MMMM"))))</f>
        <v/>
      </c>
      <c r="U1415" s="6"/>
      <c r="W14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5" s="7">
        <f t="shared" si="42"/>
        <v>1</v>
      </c>
    </row>
    <row r="1416" spans="10:24" x14ac:dyDescent="0.25">
      <c r="J1416" s="5" t="str">
        <f>IFERROR(VLOOKUP(I1416,[1]INFO_LOCALES!$B:$C,2,FALSE),"")</f>
        <v/>
      </c>
      <c r="K1416" s="5" t="str">
        <f>IFERROR(VLOOKUP(Tabla2[[#This Row],[TIENDA]],[1]INFO_LOCALES!$B:$D,3,FALSE),"")</f>
        <v/>
      </c>
      <c r="L1416" s="5" t="str">
        <f>IFERROR(VLOOKUP(I1416,[1]INFO_LOCALES!$B:$I,8,FALSE),"")</f>
        <v/>
      </c>
      <c r="M1416" s="5" t="str">
        <f>IFERROR(VLOOKUP(I1416,[1]INFO_LOCALES!$B:$H,7,FALSE),"")</f>
        <v/>
      </c>
      <c r="N1416" s="5" t="str">
        <f>IFERROR(VLOOKUP(I1416,[1]INFO_LOCALES!$B:$E,4,FALSE),"")</f>
        <v/>
      </c>
      <c r="O1416" s="5" t="e">
        <f>VLOOKUP(Tabla2[[#This Row],[TIENDA]],[1]INFO_LOCALES!$B:$J,9,0)</f>
        <v>#N/A</v>
      </c>
      <c r="P1416" s="5" t="str">
        <f>IFERROR(VLOOKUP(I1416,[1]INFO_LOCALES!$B:$F,5,FALSE),"")</f>
        <v/>
      </c>
      <c r="S1416" s="6"/>
      <c r="T1416" s="5" t="str">
        <f>UPPER(IF(Tabla2[[#This Row],[FECHA DE MUESTREO ]]=0,"",TEXT(Tabla2[[#This Row],[FECHA DE MUESTREO ]],("MMMM"))))</f>
        <v/>
      </c>
      <c r="U1416" s="6"/>
      <c r="W14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6" s="7">
        <f t="shared" si="42"/>
        <v>1</v>
      </c>
    </row>
    <row r="1417" spans="10:24" x14ac:dyDescent="0.25">
      <c r="J1417" s="5" t="str">
        <f>IFERROR(VLOOKUP(I1417,[1]INFO_LOCALES!$B:$C,2,FALSE),"")</f>
        <v/>
      </c>
      <c r="K1417" s="5" t="str">
        <f>IFERROR(VLOOKUP(Tabla2[[#This Row],[TIENDA]],[1]INFO_LOCALES!$B:$D,3,FALSE),"")</f>
        <v/>
      </c>
      <c r="L1417" s="5" t="str">
        <f>IFERROR(VLOOKUP(I1417,[1]INFO_LOCALES!$B:$I,8,FALSE),"")</f>
        <v/>
      </c>
      <c r="M1417" s="5" t="str">
        <f>IFERROR(VLOOKUP(I1417,[1]INFO_LOCALES!$B:$H,7,FALSE),"")</f>
        <v/>
      </c>
      <c r="N1417" s="5" t="str">
        <f>IFERROR(VLOOKUP(I1417,[1]INFO_LOCALES!$B:$E,4,FALSE),"")</f>
        <v/>
      </c>
      <c r="O1417" s="5" t="e">
        <f>VLOOKUP(Tabla2[[#This Row],[TIENDA]],[1]INFO_LOCALES!$B:$J,9,0)</f>
        <v>#N/A</v>
      </c>
      <c r="P1417" s="5" t="str">
        <f>IFERROR(VLOOKUP(I1417,[1]INFO_LOCALES!$B:$F,5,FALSE),"")</f>
        <v/>
      </c>
      <c r="S1417" s="6"/>
      <c r="T1417" s="5" t="str">
        <f>UPPER(IF(Tabla2[[#This Row],[FECHA DE MUESTREO ]]=0,"",TEXT(Tabla2[[#This Row],[FECHA DE MUESTREO ]],("MMMM"))))</f>
        <v/>
      </c>
      <c r="U1417" s="6"/>
      <c r="W14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7" s="7">
        <f t="shared" si="42"/>
        <v>1</v>
      </c>
    </row>
    <row r="1418" spans="10:24" x14ac:dyDescent="0.25">
      <c r="J1418" s="5" t="str">
        <f>IFERROR(VLOOKUP(I1418,[1]INFO_LOCALES!$B:$C,2,FALSE),"")</f>
        <v/>
      </c>
      <c r="K1418" s="5" t="str">
        <f>IFERROR(VLOOKUP(Tabla2[[#This Row],[TIENDA]],[1]INFO_LOCALES!$B:$D,3,FALSE),"")</f>
        <v/>
      </c>
      <c r="L1418" s="5" t="str">
        <f>IFERROR(VLOOKUP(I1418,[1]INFO_LOCALES!$B:$I,8,FALSE),"")</f>
        <v/>
      </c>
      <c r="M1418" s="5" t="str">
        <f>IFERROR(VLOOKUP(I1418,[1]INFO_LOCALES!$B:$H,7,FALSE),"")</f>
        <v/>
      </c>
      <c r="N1418" s="5" t="str">
        <f>IFERROR(VLOOKUP(I1418,[1]INFO_LOCALES!$B:$E,4,FALSE),"")</f>
        <v/>
      </c>
      <c r="O1418" s="5" t="e">
        <f>VLOOKUP(Tabla2[[#This Row],[TIENDA]],[1]INFO_LOCALES!$B:$J,9,0)</f>
        <v>#N/A</v>
      </c>
      <c r="P1418" s="5" t="str">
        <f>IFERROR(VLOOKUP(I1418,[1]INFO_LOCALES!$B:$F,5,FALSE),"")</f>
        <v/>
      </c>
      <c r="S1418" s="6"/>
      <c r="T1418" s="5" t="str">
        <f>UPPER(IF(Tabla2[[#This Row],[FECHA DE MUESTREO ]]=0,"",TEXT(Tabla2[[#This Row],[FECHA DE MUESTREO ]],("MMMM"))))</f>
        <v/>
      </c>
      <c r="U1418" s="6"/>
      <c r="W14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8" s="7">
        <f t="shared" si="42"/>
        <v>1</v>
      </c>
    </row>
    <row r="1419" spans="10:24" x14ac:dyDescent="0.25">
      <c r="J1419" s="5" t="str">
        <f>IFERROR(VLOOKUP(I1419,[1]INFO_LOCALES!$B:$C,2,FALSE),"")</f>
        <v/>
      </c>
      <c r="K1419" s="5" t="str">
        <f>IFERROR(VLOOKUP(Tabla2[[#This Row],[TIENDA]],[1]INFO_LOCALES!$B:$D,3,FALSE),"")</f>
        <v/>
      </c>
      <c r="L1419" s="5" t="str">
        <f>IFERROR(VLOOKUP(I1419,[1]INFO_LOCALES!$B:$I,8,FALSE),"")</f>
        <v/>
      </c>
      <c r="M1419" s="5" t="str">
        <f>IFERROR(VLOOKUP(I1419,[1]INFO_LOCALES!$B:$H,7,FALSE),"")</f>
        <v/>
      </c>
      <c r="N1419" s="5" t="str">
        <f>IFERROR(VLOOKUP(I1419,[1]INFO_LOCALES!$B:$E,4,FALSE),"")</f>
        <v/>
      </c>
      <c r="O1419" s="5" t="e">
        <f>VLOOKUP(Tabla2[[#This Row],[TIENDA]],[1]INFO_LOCALES!$B:$J,9,0)</f>
        <v>#N/A</v>
      </c>
      <c r="P1419" s="5" t="str">
        <f>IFERROR(VLOOKUP(I1419,[1]INFO_LOCALES!$B:$F,5,FALSE),"")</f>
        <v/>
      </c>
      <c r="S1419" s="6"/>
      <c r="T1419" s="5" t="str">
        <f>UPPER(IF(Tabla2[[#This Row],[FECHA DE MUESTREO ]]=0,"",TEXT(Tabla2[[#This Row],[FECHA DE MUESTREO ]],("MMMM"))))</f>
        <v/>
      </c>
      <c r="U1419" s="6"/>
      <c r="W14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19" s="7">
        <f t="shared" si="42"/>
        <v>1</v>
      </c>
    </row>
    <row r="1420" spans="10:24" x14ac:dyDescent="0.25">
      <c r="J1420" s="5" t="str">
        <f>IFERROR(VLOOKUP(I1420,[1]INFO_LOCALES!$B:$C,2,FALSE),"")</f>
        <v/>
      </c>
      <c r="K1420" s="5" t="str">
        <f>IFERROR(VLOOKUP(Tabla2[[#This Row],[TIENDA]],[1]INFO_LOCALES!$B:$D,3,FALSE),"")</f>
        <v/>
      </c>
      <c r="L1420" s="5" t="str">
        <f>IFERROR(VLOOKUP(I1420,[1]INFO_LOCALES!$B:$I,8,FALSE),"")</f>
        <v/>
      </c>
      <c r="M1420" s="5" t="str">
        <f>IFERROR(VLOOKUP(I1420,[1]INFO_LOCALES!$B:$H,7,FALSE),"")</f>
        <v/>
      </c>
      <c r="N1420" s="5" t="str">
        <f>IFERROR(VLOOKUP(I1420,[1]INFO_LOCALES!$B:$E,4,FALSE),"")</f>
        <v/>
      </c>
      <c r="O1420" s="5" t="e">
        <f>VLOOKUP(Tabla2[[#This Row],[TIENDA]],[1]INFO_LOCALES!$B:$J,9,0)</f>
        <v>#N/A</v>
      </c>
      <c r="P1420" s="5" t="str">
        <f>IFERROR(VLOOKUP(I1420,[1]INFO_LOCALES!$B:$F,5,FALSE),"")</f>
        <v/>
      </c>
      <c r="S1420" s="6"/>
      <c r="T1420" s="5" t="str">
        <f>UPPER(IF(Tabla2[[#This Row],[FECHA DE MUESTREO ]]=0,"",TEXT(Tabla2[[#This Row],[FECHA DE MUESTREO ]],("MMMM"))))</f>
        <v/>
      </c>
      <c r="U1420" s="6"/>
      <c r="W14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0" s="7">
        <f t="shared" si="42"/>
        <v>1</v>
      </c>
    </row>
    <row r="1421" spans="10:24" x14ac:dyDescent="0.25">
      <c r="J1421" s="5" t="str">
        <f>IFERROR(VLOOKUP(I1421,[1]INFO_LOCALES!$B:$C,2,FALSE),"")</f>
        <v/>
      </c>
      <c r="K1421" s="5" t="str">
        <f>IFERROR(VLOOKUP(Tabla2[[#This Row],[TIENDA]],[1]INFO_LOCALES!$B:$D,3,FALSE),"")</f>
        <v/>
      </c>
      <c r="L1421" s="5" t="str">
        <f>IFERROR(VLOOKUP(I1421,[1]INFO_LOCALES!$B:$I,8,FALSE),"")</f>
        <v/>
      </c>
      <c r="M1421" s="5" t="str">
        <f>IFERROR(VLOOKUP(I1421,[1]INFO_LOCALES!$B:$H,7,FALSE),"")</f>
        <v/>
      </c>
      <c r="N1421" s="5" t="str">
        <f>IFERROR(VLOOKUP(I1421,[1]INFO_LOCALES!$B:$E,4,FALSE),"")</f>
        <v/>
      </c>
      <c r="O1421" s="5" t="e">
        <f>VLOOKUP(Tabla2[[#This Row],[TIENDA]],[1]INFO_LOCALES!$B:$J,9,0)</f>
        <v>#N/A</v>
      </c>
      <c r="P1421" s="5" t="str">
        <f>IFERROR(VLOOKUP(I1421,[1]INFO_LOCALES!$B:$F,5,FALSE),"")</f>
        <v/>
      </c>
      <c r="S1421" s="6"/>
      <c r="T1421" s="5" t="str">
        <f>UPPER(IF(Tabla2[[#This Row],[FECHA DE MUESTREO ]]=0,"",TEXT(Tabla2[[#This Row],[FECHA DE MUESTREO ]],("MMMM"))))</f>
        <v/>
      </c>
      <c r="U1421" s="6"/>
      <c r="W14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1" s="7">
        <f t="shared" si="42"/>
        <v>1</v>
      </c>
    </row>
    <row r="1422" spans="10:24" x14ac:dyDescent="0.25">
      <c r="J1422" s="5" t="str">
        <f>IFERROR(VLOOKUP(I1422,[1]INFO_LOCALES!$B:$C,2,FALSE),"")</f>
        <v/>
      </c>
      <c r="K1422" s="5" t="str">
        <f>IFERROR(VLOOKUP(Tabla2[[#This Row],[TIENDA]],[1]INFO_LOCALES!$B:$D,3,FALSE),"")</f>
        <v/>
      </c>
      <c r="L1422" s="5" t="str">
        <f>IFERROR(VLOOKUP(I1422,[1]INFO_LOCALES!$B:$I,8,FALSE),"")</f>
        <v/>
      </c>
      <c r="M1422" s="5" t="str">
        <f>IFERROR(VLOOKUP(I1422,[1]INFO_LOCALES!$B:$H,7,FALSE),"")</f>
        <v/>
      </c>
      <c r="N1422" s="5" t="str">
        <f>IFERROR(VLOOKUP(I1422,[1]INFO_LOCALES!$B:$E,4,FALSE),"")</f>
        <v/>
      </c>
      <c r="O1422" s="5" t="e">
        <f>VLOOKUP(Tabla2[[#This Row],[TIENDA]],[1]INFO_LOCALES!$B:$J,9,0)</f>
        <v>#N/A</v>
      </c>
      <c r="P1422" s="5" t="str">
        <f>IFERROR(VLOOKUP(I1422,[1]INFO_LOCALES!$B:$F,5,FALSE),"")</f>
        <v/>
      </c>
      <c r="S1422" s="6"/>
      <c r="T1422" s="5" t="str">
        <f>UPPER(IF(Tabla2[[#This Row],[FECHA DE MUESTREO ]]=0,"",TEXT(Tabla2[[#This Row],[FECHA DE MUESTREO ]],("MMMM"))))</f>
        <v/>
      </c>
      <c r="U1422" s="6"/>
      <c r="W14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2" s="7">
        <f t="shared" si="42"/>
        <v>1</v>
      </c>
    </row>
    <row r="1423" spans="10:24" x14ac:dyDescent="0.25">
      <c r="J1423" s="5" t="str">
        <f>IFERROR(VLOOKUP(I1423,[1]INFO_LOCALES!$B:$C,2,FALSE),"")</f>
        <v/>
      </c>
      <c r="K1423" s="5" t="str">
        <f>IFERROR(VLOOKUP(Tabla2[[#This Row],[TIENDA]],[1]INFO_LOCALES!$B:$D,3,FALSE),"")</f>
        <v/>
      </c>
      <c r="L1423" s="5" t="str">
        <f>IFERROR(VLOOKUP(I1423,[1]INFO_LOCALES!$B:$I,8,FALSE),"")</f>
        <v/>
      </c>
      <c r="M1423" s="5" t="str">
        <f>IFERROR(VLOOKUP(I1423,[1]INFO_LOCALES!$B:$H,7,FALSE),"")</f>
        <v/>
      </c>
      <c r="N1423" s="5" t="str">
        <f>IFERROR(VLOOKUP(I1423,[1]INFO_LOCALES!$B:$E,4,FALSE),"")</f>
        <v/>
      </c>
      <c r="O1423" s="5" t="e">
        <f>VLOOKUP(Tabla2[[#This Row],[TIENDA]],[1]INFO_LOCALES!$B:$J,9,0)</f>
        <v>#N/A</v>
      </c>
      <c r="P1423" s="5" t="str">
        <f>IFERROR(VLOOKUP(I1423,[1]INFO_LOCALES!$B:$F,5,FALSE),"")</f>
        <v/>
      </c>
      <c r="S1423" s="6"/>
      <c r="T1423" s="5" t="str">
        <f>UPPER(IF(Tabla2[[#This Row],[FECHA DE MUESTREO ]]=0,"",TEXT(Tabla2[[#This Row],[FECHA DE MUESTREO ]],("MMMM"))))</f>
        <v/>
      </c>
      <c r="U1423" s="6"/>
      <c r="W14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3" s="7">
        <f t="shared" si="42"/>
        <v>1</v>
      </c>
    </row>
    <row r="1424" spans="10:24" x14ac:dyDescent="0.25">
      <c r="J1424" s="5" t="str">
        <f>IFERROR(VLOOKUP(I1424,[1]INFO_LOCALES!$B:$C,2,FALSE),"")</f>
        <v/>
      </c>
      <c r="K1424" s="5" t="str">
        <f>IFERROR(VLOOKUP(Tabla2[[#This Row],[TIENDA]],[1]INFO_LOCALES!$B:$D,3,FALSE),"")</f>
        <v/>
      </c>
      <c r="L1424" s="5" t="str">
        <f>IFERROR(VLOOKUP(I1424,[1]INFO_LOCALES!$B:$I,8,FALSE),"")</f>
        <v/>
      </c>
      <c r="M1424" s="5" t="str">
        <f>IFERROR(VLOOKUP(I1424,[1]INFO_LOCALES!$B:$H,7,FALSE),"")</f>
        <v/>
      </c>
      <c r="N1424" s="5" t="str">
        <f>IFERROR(VLOOKUP(I1424,[1]INFO_LOCALES!$B:$E,4,FALSE),"")</f>
        <v/>
      </c>
      <c r="O1424" s="5" t="e">
        <f>VLOOKUP(Tabla2[[#This Row],[TIENDA]],[1]INFO_LOCALES!$B:$J,9,0)</f>
        <v>#N/A</v>
      </c>
      <c r="P1424" s="5" t="str">
        <f>IFERROR(VLOOKUP(I1424,[1]INFO_LOCALES!$B:$F,5,FALSE),"")</f>
        <v/>
      </c>
      <c r="S1424" s="6"/>
      <c r="T1424" s="5" t="str">
        <f>UPPER(IF(Tabla2[[#This Row],[FECHA DE MUESTREO ]]=0,"",TEXT(Tabla2[[#This Row],[FECHA DE MUESTREO ]],("MMMM"))))</f>
        <v/>
      </c>
      <c r="U1424" s="6"/>
      <c r="W14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4" s="7">
        <f t="shared" si="42"/>
        <v>1</v>
      </c>
    </row>
    <row r="1425" spans="10:24" x14ac:dyDescent="0.25">
      <c r="J1425" s="5" t="str">
        <f>IFERROR(VLOOKUP(I1425,[1]INFO_LOCALES!$B:$C,2,FALSE),"")</f>
        <v/>
      </c>
      <c r="K1425" s="5" t="str">
        <f>IFERROR(VLOOKUP(Tabla2[[#This Row],[TIENDA]],[1]INFO_LOCALES!$B:$D,3,FALSE),"")</f>
        <v/>
      </c>
      <c r="L1425" s="5" t="str">
        <f>IFERROR(VLOOKUP(I1425,[1]INFO_LOCALES!$B:$I,8,FALSE),"")</f>
        <v/>
      </c>
      <c r="M1425" s="5" t="str">
        <f>IFERROR(VLOOKUP(I1425,[1]INFO_LOCALES!$B:$H,7,FALSE),"")</f>
        <v/>
      </c>
      <c r="N1425" s="5" t="str">
        <f>IFERROR(VLOOKUP(I1425,[1]INFO_LOCALES!$B:$E,4,FALSE),"")</f>
        <v/>
      </c>
      <c r="O1425" s="5" t="e">
        <f>VLOOKUP(Tabla2[[#This Row],[TIENDA]],[1]INFO_LOCALES!$B:$J,9,0)</f>
        <v>#N/A</v>
      </c>
      <c r="P1425" s="5" t="str">
        <f>IFERROR(VLOOKUP(I1425,[1]INFO_LOCALES!$B:$F,5,FALSE),"")</f>
        <v/>
      </c>
      <c r="S1425" s="6"/>
      <c r="T1425" s="5" t="str">
        <f>UPPER(IF(Tabla2[[#This Row],[FECHA DE MUESTREO ]]=0,"",TEXT(Tabla2[[#This Row],[FECHA DE MUESTREO ]],("MMMM"))))</f>
        <v/>
      </c>
      <c r="U1425" s="6"/>
      <c r="W14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5" s="7">
        <f t="shared" si="42"/>
        <v>1</v>
      </c>
    </row>
    <row r="1426" spans="10:24" x14ac:dyDescent="0.25">
      <c r="J1426" s="5" t="str">
        <f>IFERROR(VLOOKUP(I1426,[1]INFO_LOCALES!$B:$C,2,FALSE),"")</f>
        <v/>
      </c>
      <c r="K1426" s="5" t="str">
        <f>IFERROR(VLOOKUP(Tabla2[[#This Row],[TIENDA]],[1]INFO_LOCALES!$B:$D,3,FALSE),"")</f>
        <v/>
      </c>
      <c r="L1426" s="5" t="str">
        <f>IFERROR(VLOOKUP(I1426,[1]INFO_LOCALES!$B:$I,8,FALSE),"")</f>
        <v/>
      </c>
      <c r="M1426" s="5" t="str">
        <f>IFERROR(VLOOKUP(I1426,[1]INFO_LOCALES!$B:$H,7,FALSE),"")</f>
        <v/>
      </c>
      <c r="N1426" s="5" t="str">
        <f>IFERROR(VLOOKUP(I1426,[1]INFO_LOCALES!$B:$E,4,FALSE),"")</f>
        <v/>
      </c>
      <c r="O1426" s="5" t="e">
        <f>VLOOKUP(Tabla2[[#This Row],[TIENDA]],[1]INFO_LOCALES!$B:$J,9,0)</f>
        <v>#N/A</v>
      </c>
      <c r="P1426" s="5" t="str">
        <f>IFERROR(VLOOKUP(I1426,[1]INFO_LOCALES!$B:$F,5,FALSE),"")</f>
        <v/>
      </c>
      <c r="S1426" s="6"/>
      <c r="T1426" s="5" t="str">
        <f>UPPER(IF(Tabla2[[#This Row],[FECHA DE MUESTREO ]]=0,"",TEXT(Tabla2[[#This Row],[FECHA DE MUESTREO ]],("MMMM"))))</f>
        <v/>
      </c>
      <c r="U1426" s="6"/>
      <c r="W14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6" s="7">
        <f t="shared" si="42"/>
        <v>1</v>
      </c>
    </row>
    <row r="1427" spans="10:24" x14ac:dyDescent="0.25">
      <c r="J1427" s="5" t="str">
        <f>IFERROR(VLOOKUP(I1427,[1]INFO_LOCALES!$B:$C,2,FALSE),"")</f>
        <v/>
      </c>
      <c r="K1427" s="5" t="str">
        <f>IFERROR(VLOOKUP(Tabla2[[#This Row],[TIENDA]],[1]INFO_LOCALES!$B:$D,3,FALSE),"")</f>
        <v/>
      </c>
      <c r="L1427" s="5" t="str">
        <f>IFERROR(VLOOKUP(I1427,[1]INFO_LOCALES!$B:$I,8,FALSE),"")</f>
        <v/>
      </c>
      <c r="M1427" s="5" t="str">
        <f>IFERROR(VLOOKUP(I1427,[1]INFO_LOCALES!$B:$H,7,FALSE),"")</f>
        <v/>
      </c>
      <c r="N1427" s="5" t="str">
        <f>IFERROR(VLOOKUP(I1427,[1]INFO_LOCALES!$B:$E,4,FALSE),"")</f>
        <v/>
      </c>
      <c r="O1427" s="5" t="e">
        <f>VLOOKUP(Tabla2[[#This Row],[TIENDA]],[1]INFO_LOCALES!$B:$J,9,0)</f>
        <v>#N/A</v>
      </c>
      <c r="P1427" s="5" t="str">
        <f>IFERROR(VLOOKUP(I1427,[1]INFO_LOCALES!$B:$F,5,FALSE),"")</f>
        <v/>
      </c>
      <c r="S1427" s="6"/>
      <c r="T1427" s="5" t="str">
        <f>UPPER(IF(Tabla2[[#This Row],[FECHA DE MUESTREO ]]=0,"",TEXT(Tabla2[[#This Row],[FECHA DE MUESTREO ]],("MMMM"))))</f>
        <v/>
      </c>
      <c r="U1427" s="6"/>
      <c r="W14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7" s="7">
        <f t="shared" si="42"/>
        <v>1</v>
      </c>
    </row>
    <row r="1428" spans="10:24" x14ac:dyDescent="0.25">
      <c r="J1428" s="5" t="str">
        <f>IFERROR(VLOOKUP(I1428,[1]INFO_LOCALES!$B:$C,2,FALSE),"")</f>
        <v/>
      </c>
      <c r="K1428" s="5" t="str">
        <f>IFERROR(VLOOKUP(Tabla2[[#This Row],[TIENDA]],[1]INFO_LOCALES!$B:$D,3,FALSE),"")</f>
        <v/>
      </c>
      <c r="L1428" s="5" t="str">
        <f>IFERROR(VLOOKUP(I1428,[1]INFO_LOCALES!$B:$I,8,FALSE),"")</f>
        <v/>
      </c>
      <c r="M1428" s="5" t="str">
        <f>IFERROR(VLOOKUP(I1428,[1]INFO_LOCALES!$B:$H,7,FALSE),"")</f>
        <v/>
      </c>
      <c r="N1428" s="5" t="str">
        <f>IFERROR(VLOOKUP(I1428,[1]INFO_LOCALES!$B:$E,4,FALSE),"")</f>
        <v/>
      </c>
      <c r="O1428" s="5" t="e">
        <f>VLOOKUP(Tabla2[[#This Row],[TIENDA]],[1]INFO_LOCALES!$B:$J,9,0)</f>
        <v>#N/A</v>
      </c>
      <c r="P1428" s="5" t="str">
        <f>IFERROR(VLOOKUP(I1428,[1]INFO_LOCALES!$B:$F,5,FALSE),"")</f>
        <v/>
      </c>
      <c r="S1428" s="6"/>
      <c r="T1428" s="5" t="str">
        <f>UPPER(IF(Tabla2[[#This Row],[FECHA DE MUESTREO ]]=0,"",TEXT(Tabla2[[#This Row],[FECHA DE MUESTREO ]],("MMMM"))))</f>
        <v/>
      </c>
      <c r="U1428" s="6"/>
      <c r="W14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8" s="7">
        <f t="shared" si="42"/>
        <v>1</v>
      </c>
    </row>
    <row r="1429" spans="10:24" x14ac:dyDescent="0.25">
      <c r="J1429" s="5" t="str">
        <f>IFERROR(VLOOKUP(I1429,[1]INFO_LOCALES!$B:$C,2,FALSE),"")</f>
        <v/>
      </c>
      <c r="K1429" s="5" t="str">
        <f>IFERROR(VLOOKUP(Tabla2[[#This Row],[TIENDA]],[1]INFO_LOCALES!$B:$D,3,FALSE),"")</f>
        <v/>
      </c>
      <c r="L1429" s="5" t="str">
        <f>IFERROR(VLOOKUP(I1429,[1]INFO_LOCALES!$B:$I,8,FALSE),"")</f>
        <v/>
      </c>
      <c r="M1429" s="5" t="str">
        <f>IFERROR(VLOOKUP(I1429,[1]INFO_LOCALES!$B:$H,7,FALSE),"")</f>
        <v/>
      </c>
      <c r="N1429" s="5" t="str">
        <f>IFERROR(VLOOKUP(I1429,[1]INFO_LOCALES!$B:$E,4,FALSE),"")</f>
        <v/>
      </c>
      <c r="O1429" s="5" t="e">
        <f>VLOOKUP(Tabla2[[#This Row],[TIENDA]],[1]INFO_LOCALES!$B:$J,9,0)</f>
        <v>#N/A</v>
      </c>
      <c r="P1429" s="5" t="str">
        <f>IFERROR(VLOOKUP(I1429,[1]INFO_LOCALES!$B:$F,5,FALSE),"")</f>
        <v/>
      </c>
      <c r="S1429" s="6"/>
      <c r="T1429" s="5" t="str">
        <f>UPPER(IF(Tabla2[[#This Row],[FECHA DE MUESTREO ]]=0,"",TEXT(Tabla2[[#This Row],[FECHA DE MUESTREO ]],("MMMM"))))</f>
        <v/>
      </c>
      <c r="U1429" s="6"/>
      <c r="W14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29" s="7">
        <f t="shared" si="42"/>
        <v>1</v>
      </c>
    </row>
    <row r="1430" spans="10:24" x14ac:dyDescent="0.25">
      <c r="J1430" s="5" t="str">
        <f>IFERROR(VLOOKUP(I1430,[1]INFO_LOCALES!$B:$C,2,FALSE),"")</f>
        <v/>
      </c>
      <c r="K1430" s="5" t="str">
        <f>IFERROR(VLOOKUP(Tabla2[[#This Row],[TIENDA]],[1]INFO_LOCALES!$B:$D,3,FALSE),"")</f>
        <v/>
      </c>
      <c r="L1430" s="5" t="str">
        <f>IFERROR(VLOOKUP(I1430,[1]INFO_LOCALES!$B:$I,8,FALSE),"")</f>
        <v/>
      </c>
      <c r="M1430" s="5" t="str">
        <f>IFERROR(VLOOKUP(I1430,[1]INFO_LOCALES!$B:$H,7,FALSE),"")</f>
        <v/>
      </c>
      <c r="N1430" s="5" t="str">
        <f>IFERROR(VLOOKUP(I1430,[1]INFO_LOCALES!$B:$E,4,FALSE),"")</f>
        <v/>
      </c>
      <c r="O1430" s="5" t="e">
        <f>VLOOKUP(Tabla2[[#This Row],[TIENDA]],[1]INFO_LOCALES!$B:$J,9,0)</f>
        <v>#N/A</v>
      </c>
      <c r="P1430" s="5" t="str">
        <f>IFERROR(VLOOKUP(I1430,[1]INFO_LOCALES!$B:$F,5,FALSE),"")</f>
        <v/>
      </c>
      <c r="S1430" s="6"/>
      <c r="T1430" s="5" t="str">
        <f>UPPER(IF(Tabla2[[#This Row],[FECHA DE MUESTREO ]]=0,"",TEXT(Tabla2[[#This Row],[FECHA DE MUESTREO ]],("MMMM"))))</f>
        <v/>
      </c>
      <c r="U1430" s="6"/>
      <c r="W14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0" s="7">
        <f t="shared" si="42"/>
        <v>1</v>
      </c>
    </row>
    <row r="1431" spans="10:24" x14ac:dyDescent="0.25">
      <c r="J1431" s="5" t="str">
        <f>IFERROR(VLOOKUP(I1431,[1]INFO_LOCALES!$B:$C,2,FALSE),"")</f>
        <v/>
      </c>
      <c r="K1431" s="5" t="str">
        <f>IFERROR(VLOOKUP(Tabla2[[#This Row],[TIENDA]],[1]INFO_LOCALES!$B:$D,3,FALSE),"")</f>
        <v/>
      </c>
      <c r="L1431" s="5" t="str">
        <f>IFERROR(VLOOKUP(I1431,[1]INFO_LOCALES!$B:$I,8,FALSE),"")</f>
        <v/>
      </c>
      <c r="M1431" s="5" t="str">
        <f>IFERROR(VLOOKUP(I1431,[1]INFO_LOCALES!$B:$H,7,FALSE),"")</f>
        <v/>
      </c>
      <c r="N1431" s="5" t="str">
        <f>IFERROR(VLOOKUP(I1431,[1]INFO_LOCALES!$B:$E,4,FALSE),"")</f>
        <v/>
      </c>
      <c r="O1431" s="5" t="e">
        <f>VLOOKUP(Tabla2[[#This Row],[TIENDA]],[1]INFO_LOCALES!$B:$J,9,0)</f>
        <v>#N/A</v>
      </c>
      <c r="P1431" s="5" t="str">
        <f>IFERROR(VLOOKUP(I1431,[1]INFO_LOCALES!$B:$F,5,FALSE),"")</f>
        <v/>
      </c>
      <c r="S1431" s="6"/>
      <c r="T1431" s="5" t="str">
        <f>UPPER(IF(Tabla2[[#This Row],[FECHA DE MUESTREO ]]=0,"",TEXT(Tabla2[[#This Row],[FECHA DE MUESTREO ]],("MMMM"))))</f>
        <v/>
      </c>
      <c r="U1431" s="6"/>
      <c r="W14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1" s="7">
        <f t="shared" si="42"/>
        <v>1</v>
      </c>
    </row>
    <row r="1432" spans="10:24" x14ac:dyDescent="0.25">
      <c r="J1432" s="5" t="str">
        <f>IFERROR(VLOOKUP(I1432,[1]INFO_LOCALES!$B:$C,2,FALSE),"")</f>
        <v/>
      </c>
      <c r="K1432" s="5" t="str">
        <f>IFERROR(VLOOKUP(Tabla2[[#This Row],[TIENDA]],[1]INFO_LOCALES!$B:$D,3,FALSE),"")</f>
        <v/>
      </c>
      <c r="L1432" s="5" t="str">
        <f>IFERROR(VLOOKUP(I1432,[1]INFO_LOCALES!$B:$I,8,FALSE),"")</f>
        <v/>
      </c>
      <c r="M1432" s="5" t="str">
        <f>IFERROR(VLOOKUP(I1432,[1]INFO_LOCALES!$B:$H,7,FALSE),"")</f>
        <v/>
      </c>
      <c r="N1432" s="5" t="str">
        <f>IFERROR(VLOOKUP(I1432,[1]INFO_LOCALES!$B:$E,4,FALSE),"")</f>
        <v/>
      </c>
      <c r="O1432" s="5" t="e">
        <f>VLOOKUP(Tabla2[[#This Row],[TIENDA]],[1]INFO_LOCALES!$B:$J,9,0)</f>
        <v>#N/A</v>
      </c>
      <c r="P1432" s="5" t="str">
        <f>IFERROR(VLOOKUP(I1432,[1]INFO_LOCALES!$B:$F,5,FALSE),"")</f>
        <v/>
      </c>
      <c r="S1432" s="6"/>
      <c r="T1432" s="5" t="str">
        <f>UPPER(IF(Tabla2[[#This Row],[FECHA DE MUESTREO ]]=0,"",TEXT(Tabla2[[#This Row],[FECHA DE MUESTREO ]],("MMMM"))))</f>
        <v/>
      </c>
      <c r="U1432" s="6"/>
      <c r="W14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2" s="7">
        <f t="shared" si="42"/>
        <v>1</v>
      </c>
    </row>
    <row r="1433" spans="10:24" x14ac:dyDescent="0.25">
      <c r="J1433" s="5" t="str">
        <f>IFERROR(VLOOKUP(I1433,[1]INFO_LOCALES!$B:$C,2,FALSE),"")</f>
        <v/>
      </c>
      <c r="K1433" s="5" t="str">
        <f>IFERROR(VLOOKUP(Tabla2[[#This Row],[TIENDA]],[1]INFO_LOCALES!$B:$D,3,FALSE),"")</f>
        <v/>
      </c>
      <c r="L1433" s="5" t="str">
        <f>IFERROR(VLOOKUP(I1433,[1]INFO_LOCALES!$B:$I,8,FALSE),"")</f>
        <v/>
      </c>
      <c r="M1433" s="5" t="str">
        <f>IFERROR(VLOOKUP(I1433,[1]INFO_LOCALES!$B:$H,7,FALSE),"")</f>
        <v/>
      </c>
      <c r="N1433" s="5" t="str">
        <f>IFERROR(VLOOKUP(I1433,[1]INFO_LOCALES!$B:$E,4,FALSE),"")</f>
        <v/>
      </c>
      <c r="O1433" s="5" t="e">
        <f>VLOOKUP(Tabla2[[#This Row],[TIENDA]],[1]INFO_LOCALES!$B:$J,9,0)</f>
        <v>#N/A</v>
      </c>
      <c r="P1433" s="5" t="str">
        <f>IFERROR(VLOOKUP(I1433,[1]INFO_LOCALES!$B:$F,5,FALSE),"")</f>
        <v/>
      </c>
      <c r="S1433" s="6"/>
      <c r="T1433" s="5" t="str">
        <f>UPPER(IF(Tabla2[[#This Row],[FECHA DE MUESTREO ]]=0,"",TEXT(Tabla2[[#This Row],[FECHA DE MUESTREO ]],("MMMM"))))</f>
        <v/>
      </c>
      <c r="U1433" s="6"/>
      <c r="W14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3" s="7">
        <f t="shared" si="42"/>
        <v>1</v>
      </c>
    </row>
    <row r="1434" spans="10:24" x14ac:dyDescent="0.25">
      <c r="J1434" s="5" t="str">
        <f>IFERROR(VLOOKUP(I1434,[1]INFO_LOCALES!$B:$C,2,FALSE),"")</f>
        <v/>
      </c>
      <c r="K1434" s="5" t="str">
        <f>IFERROR(VLOOKUP(Tabla2[[#This Row],[TIENDA]],[1]INFO_LOCALES!$B:$D,3,FALSE),"")</f>
        <v/>
      </c>
      <c r="L1434" s="5" t="str">
        <f>IFERROR(VLOOKUP(I1434,[1]INFO_LOCALES!$B:$I,8,FALSE),"")</f>
        <v/>
      </c>
      <c r="M1434" s="5" t="str">
        <f>IFERROR(VLOOKUP(I1434,[1]INFO_LOCALES!$B:$H,7,FALSE),"")</f>
        <v/>
      </c>
      <c r="N1434" s="5" t="str">
        <f>IFERROR(VLOOKUP(I1434,[1]INFO_LOCALES!$B:$E,4,FALSE),"")</f>
        <v/>
      </c>
      <c r="O1434" s="5" t="e">
        <f>VLOOKUP(Tabla2[[#This Row],[TIENDA]],[1]INFO_LOCALES!$B:$J,9,0)</f>
        <v>#N/A</v>
      </c>
      <c r="P1434" s="5" t="str">
        <f>IFERROR(VLOOKUP(I1434,[1]INFO_LOCALES!$B:$F,5,FALSE),"")</f>
        <v/>
      </c>
      <c r="S1434" s="6"/>
      <c r="T1434" s="5" t="str">
        <f>UPPER(IF(Tabla2[[#This Row],[FECHA DE MUESTREO ]]=0,"",TEXT(Tabla2[[#This Row],[FECHA DE MUESTREO ]],("MMMM"))))</f>
        <v/>
      </c>
      <c r="U1434" s="6"/>
      <c r="W14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4" s="7">
        <f t="shared" si="42"/>
        <v>1</v>
      </c>
    </row>
    <row r="1435" spans="10:24" x14ac:dyDescent="0.25">
      <c r="J1435" s="5" t="str">
        <f>IFERROR(VLOOKUP(I1435,[1]INFO_LOCALES!$B:$C,2,FALSE),"")</f>
        <v/>
      </c>
      <c r="K1435" s="5" t="str">
        <f>IFERROR(VLOOKUP(Tabla2[[#This Row],[TIENDA]],[1]INFO_LOCALES!$B:$D,3,FALSE),"")</f>
        <v/>
      </c>
      <c r="L1435" s="5" t="str">
        <f>IFERROR(VLOOKUP(I1435,[1]INFO_LOCALES!$B:$I,8,FALSE),"")</f>
        <v/>
      </c>
      <c r="M1435" s="5" t="str">
        <f>IFERROR(VLOOKUP(I1435,[1]INFO_LOCALES!$B:$H,7,FALSE),"")</f>
        <v/>
      </c>
      <c r="N1435" s="5" t="str">
        <f>IFERROR(VLOOKUP(I1435,[1]INFO_LOCALES!$B:$E,4,FALSE),"")</f>
        <v/>
      </c>
      <c r="O1435" s="5" t="e">
        <f>VLOOKUP(Tabla2[[#This Row],[TIENDA]],[1]INFO_LOCALES!$B:$J,9,0)</f>
        <v>#N/A</v>
      </c>
      <c r="P1435" s="5" t="str">
        <f>IFERROR(VLOOKUP(I1435,[1]INFO_LOCALES!$B:$F,5,FALSE),"")</f>
        <v/>
      </c>
      <c r="S1435" s="6"/>
      <c r="T1435" s="5" t="str">
        <f>UPPER(IF(Tabla2[[#This Row],[FECHA DE MUESTREO ]]=0,"",TEXT(Tabla2[[#This Row],[FECHA DE MUESTREO ]],("MMMM"))))</f>
        <v/>
      </c>
      <c r="U1435" s="6"/>
      <c r="W14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5" s="7">
        <f t="shared" si="42"/>
        <v>1</v>
      </c>
    </row>
    <row r="1436" spans="10:24" x14ac:dyDescent="0.25">
      <c r="J1436" s="5" t="str">
        <f>IFERROR(VLOOKUP(I1436,[1]INFO_LOCALES!$B:$C,2,FALSE),"")</f>
        <v/>
      </c>
      <c r="K1436" s="5" t="str">
        <f>IFERROR(VLOOKUP(Tabla2[[#This Row],[TIENDA]],[1]INFO_LOCALES!$B:$D,3,FALSE),"")</f>
        <v/>
      </c>
      <c r="L1436" s="5" t="str">
        <f>IFERROR(VLOOKUP(I1436,[1]INFO_LOCALES!$B:$I,8,FALSE),"")</f>
        <v/>
      </c>
      <c r="M1436" s="5" t="str">
        <f>IFERROR(VLOOKUP(I1436,[1]INFO_LOCALES!$B:$H,7,FALSE),"")</f>
        <v/>
      </c>
      <c r="N1436" s="5" t="str">
        <f>IFERROR(VLOOKUP(I1436,[1]INFO_LOCALES!$B:$E,4,FALSE),"")</f>
        <v/>
      </c>
      <c r="O1436" s="5" t="e">
        <f>VLOOKUP(Tabla2[[#This Row],[TIENDA]],[1]INFO_LOCALES!$B:$J,9,0)</f>
        <v>#N/A</v>
      </c>
      <c r="P1436" s="5" t="str">
        <f>IFERROR(VLOOKUP(I1436,[1]INFO_LOCALES!$B:$F,5,FALSE),"")</f>
        <v/>
      </c>
      <c r="S1436" s="6"/>
      <c r="T1436" s="5" t="str">
        <f>UPPER(IF(Tabla2[[#This Row],[FECHA DE MUESTREO ]]=0,"",TEXT(Tabla2[[#This Row],[FECHA DE MUESTREO ]],("MMMM"))))</f>
        <v/>
      </c>
      <c r="U1436" s="6"/>
      <c r="W14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6" s="7">
        <f t="shared" si="42"/>
        <v>1</v>
      </c>
    </row>
    <row r="1437" spans="10:24" x14ac:dyDescent="0.25">
      <c r="J1437" s="5" t="str">
        <f>IFERROR(VLOOKUP(I1437,[1]INFO_LOCALES!$B:$C,2,FALSE),"")</f>
        <v/>
      </c>
      <c r="K1437" s="5" t="str">
        <f>IFERROR(VLOOKUP(Tabla2[[#This Row],[TIENDA]],[1]INFO_LOCALES!$B:$D,3,FALSE),"")</f>
        <v/>
      </c>
      <c r="L1437" s="5" t="str">
        <f>IFERROR(VLOOKUP(I1437,[1]INFO_LOCALES!$B:$I,8,FALSE),"")</f>
        <v/>
      </c>
      <c r="M1437" s="5" t="str">
        <f>IFERROR(VLOOKUP(I1437,[1]INFO_LOCALES!$B:$H,7,FALSE),"")</f>
        <v/>
      </c>
      <c r="N1437" s="5" t="str">
        <f>IFERROR(VLOOKUP(I1437,[1]INFO_LOCALES!$B:$E,4,FALSE),"")</f>
        <v/>
      </c>
      <c r="O1437" s="5" t="e">
        <f>VLOOKUP(Tabla2[[#This Row],[TIENDA]],[1]INFO_LOCALES!$B:$J,9,0)</f>
        <v>#N/A</v>
      </c>
      <c r="P1437" s="5" t="str">
        <f>IFERROR(VLOOKUP(I1437,[1]INFO_LOCALES!$B:$F,5,FALSE),"")</f>
        <v/>
      </c>
      <c r="S1437" s="6"/>
      <c r="T1437" s="5" t="str">
        <f>UPPER(IF(Tabla2[[#This Row],[FECHA DE MUESTREO ]]=0,"",TEXT(Tabla2[[#This Row],[FECHA DE MUESTREO ]],("MMMM"))))</f>
        <v/>
      </c>
      <c r="U1437" s="6"/>
      <c r="W14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7" s="7">
        <f t="shared" si="42"/>
        <v>1</v>
      </c>
    </row>
    <row r="1438" spans="10:24" x14ac:dyDescent="0.25">
      <c r="J1438" s="5" t="str">
        <f>IFERROR(VLOOKUP(I1438,[1]INFO_LOCALES!$B:$C,2,FALSE),"")</f>
        <v/>
      </c>
      <c r="K1438" s="5" t="str">
        <f>IFERROR(VLOOKUP(Tabla2[[#This Row],[TIENDA]],[1]INFO_LOCALES!$B:$D,3,FALSE),"")</f>
        <v/>
      </c>
      <c r="L1438" s="5" t="str">
        <f>IFERROR(VLOOKUP(I1438,[1]INFO_LOCALES!$B:$I,8,FALSE),"")</f>
        <v/>
      </c>
      <c r="M1438" s="5" t="str">
        <f>IFERROR(VLOOKUP(I1438,[1]INFO_LOCALES!$B:$H,7,FALSE),"")</f>
        <v/>
      </c>
      <c r="N1438" s="5" t="str">
        <f>IFERROR(VLOOKUP(I1438,[1]INFO_LOCALES!$B:$E,4,FALSE),"")</f>
        <v/>
      </c>
      <c r="O1438" s="5" t="e">
        <f>VLOOKUP(Tabla2[[#This Row],[TIENDA]],[1]INFO_LOCALES!$B:$J,9,0)</f>
        <v>#N/A</v>
      </c>
      <c r="P1438" s="5" t="str">
        <f>IFERROR(VLOOKUP(I1438,[1]INFO_LOCALES!$B:$F,5,FALSE),"")</f>
        <v/>
      </c>
      <c r="S1438" s="6"/>
      <c r="T1438" s="5" t="str">
        <f>UPPER(IF(Tabla2[[#This Row],[FECHA DE MUESTREO ]]=0,"",TEXT(Tabla2[[#This Row],[FECHA DE MUESTREO ]],("MMMM"))))</f>
        <v/>
      </c>
      <c r="U1438" s="6"/>
      <c r="W14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8" s="7">
        <f t="shared" si="42"/>
        <v>1</v>
      </c>
    </row>
    <row r="1439" spans="10:24" x14ac:dyDescent="0.25">
      <c r="J1439" s="5" t="str">
        <f>IFERROR(VLOOKUP(I1439,[1]INFO_LOCALES!$B:$C,2,FALSE),"")</f>
        <v/>
      </c>
      <c r="K1439" s="5" t="str">
        <f>IFERROR(VLOOKUP(Tabla2[[#This Row],[TIENDA]],[1]INFO_LOCALES!$B:$D,3,FALSE),"")</f>
        <v/>
      </c>
      <c r="L1439" s="5" t="str">
        <f>IFERROR(VLOOKUP(I1439,[1]INFO_LOCALES!$B:$I,8,FALSE),"")</f>
        <v/>
      </c>
      <c r="M1439" s="5" t="str">
        <f>IFERROR(VLOOKUP(I1439,[1]INFO_LOCALES!$B:$H,7,FALSE),"")</f>
        <v/>
      </c>
      <c r="N1439" s="5" t="str">
        <f>IFERROR(VLOOKUP(I1439,[1]INFO_LOCALES!$B:$E,4,FALSE),"")</f>
        <v/>
      </c>
      <c r="O1439" s="5" t="e">
        <f>VLOOKUP(Tabla2[[#This Row],[TIENDA]],[1]INFO_LOCALES!$B:$J,9,0)</f>
        <v>#N/A</v>
      </c>
      <c r="P1439" s="5" t="str">
        <f>IFERROR(VLOOKUP(I1439,[1]INFO_LOCALES!$B:$F,5,FALSE),"")</f>
        <v/>
      </c>
      <c r="S1439" s="6"/>
      <c r="T1439" s="5" t="str">
        <f>UPPER(IF(Tabla2[[#This Row],[FECHA DE MUESTREO ]]=0,"",TEXT(Tabla2[[#This Row],[FECHA DE MUESTREO ]],("MMMM"))))</f>
        <v/>
      </c>
      <c r="U1439" s="6"/>
      <c r="W14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39" s="7">
        <f t="shared" si="42"/>
        <v>1</v>
      </c>
    </row>
    <row r="1440" spans="10:24" x14ac:dyDescent="0.25">
      <c r="J1440" s="5" t="str">
        <f>IFERROR(VLOOKUP(I1440,[1]INFO_LOCALES!$B:$C,2,FALSE),"")</f>
        <v/>
      </c>
      <c r="K1440" s="5" t="str">
        <f>IFERROR(VLOOKUP(Tabla2[[#This Row],[TIENDA]],[1]INFO_LOCALES!$B:$D,3,FALSE),"")</f>
        <v/>
      </c>
      <c r="L1440" s="5" t="str">
        <f>IFERROR(VLOOKUP(I1440,[1]INFO_LOCALES!$B:$I,8,FALSE),"")</f>
        <v/>
      </c>
      <c r="M1440" s="5" t="str">
        <f>IFERROR(VLOOKUP(I1440,[1]INFO_LOCALES!$B:$H,7,FALSE),"")</f>
        <v/>
      </c>
      <c r="N1440" s="5" t="str">
        <f>IFERROR(VLOOKUP(I1440,[1]INFO_LOCALES!$B:$E,4,FALSE),"")</f>
        <v/>
      </c>
      <c r="O1440" s="5" t="e">
        <f>VLOOKUP(Tabla2[[#This Row],[TIENDA]],[1]INFO_LOCALES!$B:$J,9,0)</f>
        <v>#N/A</v>
      </c>
      <c r="P1440" s="5" t="str">
        <f>IFERROR(VLOOKUP(I1440,[1]INFO_LOCALES!$B:$F,5,FALSE),"")</f>
        <v/>
      </c>
      <c r="S1440" s="6"/>
      <c r="T1440" s="5" t="str">
        <f>UPPER(IF(Tabla2[[#This Row],[FECHA DE MUESTREO ]]=0,"",TEXT(Tabla2[[#This Row],[FECHA DE MUESTREO ]],("MMMM"))))</f>
        <v/>
      </c>
      <c r="U1440" s="6"/>
      <c r="W14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0" s="7">
        <f t="shared" si="42"/>
        <v>1</v>
      </c>
    </row>
    <row r="1441" spans="10:24" x14ac:dyDescent="0.25">
      <c r="J1441" s="5" t="str">
        <f>IFERROR(VLOOKUP(I1441,[1]INFO_LOCALES!$B:$C,2,FALSE),"")</f>
        <v/>
      </c>
      <c r="K1441" s="5" t="str">
        <f>IFERROR(VLOOKUP(Tabla2[[#This Row],[TIENDA]],[1]INFO_LOCALES!$B:$D,3,FALSE),"")</f>
        <v/>
      </c>
      <c r="L1441" s="5" t="str">
        <f>IFERROR(VLOOKUP(I1441,[1]INFO_LOCALES!$B:$I,8,FALSE),"")</f>
        <v/>
      </c>
      <c r="M1441" s="5" t="str">
        <f>IFERROR(VLOOKUP(I1441,[1]INFO_LOCALES!$B:$H,7,FALSE),"")</f>
        <v/>
      </c>
      <c r="N1441" s="5" t="str">
        <f>IFERROR(VLOOKUP(I1441,[1]INFO_LOCALES!$B:$E,4,FALSE),"")</f>
        <v/>
      </c>
      <c r="O1441" s="5" t="e">
        <f>VLOOKUP(Tabla2[[#This Row],[TIENDA]],[1]INFO_LOCALES!$B:$J,9,0)</f>
        <v>#N/A</v>
      </c>
      <c r="P1441" s="5" t="str">
        <f>IFERROR(VLOOKUP(I1441,[1]INFO_LOCALES!$B:$F,5,FALSE),"")</f>
        <v/>
      </c>
      <c r="S1441" s="6"/>
      <c r="T1441" s="5" t="str">
        <f>UPPER(IF(Tabla2[[#This Row],[FECHA DE MUESTREO ]]=0,"",TEXT(Tabla2[[#This Row],[FECHA DE MUESTREO ]],("MMMM"))))</f>
        <v/>
      </c>
      <c r="U1441" s="6"/>
      <c r="W14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1" s="7">
        <f t="shared" si="42"/>
        <v>1</v>
      </c>
    </row>
    <row r="1442" spans="10:24" x14ac:dyDescent="0.25">
      <c r="J1442" s="5" t="str">
        <f>IFERROR(VLOOKUP(I1442,[1]INFO_LOCALES!$B:$C,2,FALSE),"")</f>
        <v/>
      </c>
      <c r="K1442" s="5" t="str">
        <f>IFERROR(VLOOKUP(Tabla2[[#This Row],[TIENDA]],[1]INFO_LOCALES!$B:$D,3,FALSE),"")</f>
        <v/>
      </c>
      <c r="L1442" s="5" t="str">
        <f>IFERROR(VLOOKUP(I1442,[1]INFO_LOCALES!$B:$I,8,FALSE),"")</f>
        <v/>
      </c>
      <c r="M1442" s="5" t="str">
        <f>IFERROR(VLOOKUP(I1442,[1]INFO_LOCALES!$B:$H,7,FALSE),"")</f>
        <v/>
      </c>
      <c r="N1442" s="5" t="str">
        <f>IFERROR(VLOOKUP(I1442,[1]INFO_LOCALES!$B:$E,4,FALSE),"")</f>
        <v/>
      </c>
      <c r="O1442" s="5" t="e">
        <f>VLOOKUP(Tabla2[[#This Row],[TIENDA]],[1]INFO_LOCALES!$B:$J,9,0)</f>
        <v>#N/A</v>
      </c>
      <c r="P1442" s="5" t="str">
        <f>IFERROR(VLOOKUP(I1442,[1]INFO_LOCALES!$B:$F,5,FALSE),"")</f>
        <v/>
      </c>
      <c r="S1442" s="6"/>
      <c r="T1442" s="5" t="str">
        <f>UPPER(IF(Tabla2[[#This Row],[FECHA DE MUESTREO ]]=0,"",TEXT(Tabla2[[#This Row],[FECHA DE MUESTREO ]],("MMMM"))))</f>
        <v/>
      </c>
      <c r="U1442" s="6"/>
      <c r="W14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2" s="7">
        <f t="shared" si="42"/>
        <v>1</v>
      </c>
    </row>
    <row r="1443" spans="10:24" x14ac:dyDescent="0.25">
      <c r="J1443" s="5" t="str">
        <f>IFERROR(VLOOKUP(I1443,[1]INFO_LOCALES!$B:$C,2,FALSE),"")</f>
        <v/>
      </c>
      <c r="K1443" s="5" t="str">
        <f>IFERROR(VLOOKUP(Tabla2[[#This Row],[TIENDA]],[1]INFO_LOCALES!$B:$D,3,FALSE),"")</f>
        <v/>
      </c>
      <c r="L1443" s="5" t="str">
        <f>IFERROR(VLOOKUP(I1443,[1]INFO_LOCALES!$B:$I,8,FALSE),"")</f>
        <v/>
      </c>
      <c r="M1443" s="5" t="str">
        <f>IFERROR(VLOOKUP(I1443,[1]INFO_LOCALES!$B:$H,7,FALSE),"")</f>
        <v/>
      </c>
      <c r="N1443" s="5" t="str">
        <f>IFERROR(VLOOKUP(I1443,[1]INFO_LOCALES!$B:$E,4,FALSE),"")</f>
        <v/>
      </c>
      <c r="O1443" s="5" t="e">
        <f>VLOOKUP(Tabla2[[#This Row],[TIENDA]],[1]INFO_LOCALES!$B:$J,9,0)</f>
        <v>#N/A</v>
      </c>
      <c r="P1443" s="5" t="str">
        <f>IFERROR(VLOOKUP(I1443,[1]INFO_LOCALES!$B:$F,5,FALSE),"")</f>
        <v/>
      </c>
      <c r="S1443" s="6"/>
      <c r="T1443" s="5" t="str">
        <f>UPPER(IF(Tabla2[[#This Row],[FECHA DE MUESTREO ]]=0,"",TEXT(Tabla2[[#This Row],[FECHA DE MUESTREO ]],("MMMM"))))</f>
        <v/>
      </c>
      <c r="U1443" s="6"/>
      <c r="W14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3" s="7">
        <f t="shared" si="42"/>
        <v>1</v>
      </c>
    </row>
    <row r="1444" spans="10:24" x14ac:dyDescent="0.25">
      <c r="J1444" s="5" t="str">
        <f>IFERROR(VLOOKUP(I1444,[1]INFO_LOCALES!$B:$C,2,FALSE),"")</f>
        <v/>
      </c>
      <c r="K1444" s="5" t="str">
        <f>IFERROR(VLOOKUP(Tabla2[[#This Row],[TIENDA]],[1]INFO_LOCALES!$B:$D,3,FALSE),"")</f>
        <v/>
      </c>
      <c r="L1444" s="5" t="str">
        <f>IFERROR(VLOOKUP(I1444,[1]INFO_LOCALES!$B:$I,8,FALSE),"")</f>
        <v/>
      </c>
      <c r="M1444" s="5" t="str">
        <f>IFERROR(VLOOKUP(I1444,[1]INFO_LOCALES!$B:$H,7,FALSE),"")</f>
        <v/>
      </c>
      <c r="N1444" s="5" t="str">
        <f>IFERROR(VLOOKUP(I1444,[1]INFO_LOCALES!$B:$E,4,FALSE),"")</f>
        <v/>
      </c>
      <c r="O1444" s="5" t="e">
        <f>VLOOKUP(Tabla2[[#This Row],[TIENDA]],[1]INFO_LOCALES!$B:$J,9,0)</f>
        <v>#N/A</v>
      </c>
      <c r="P1444" s="5" t="str">
        <f>IFERROR(VLOOKUP(I1444,[1]INFO_LOCALES!$B:$F,5,FALSE),"")</f>
        <v/>
      </c>
      <c r="S1444" s="6"/>
      <c r="T1444" s="5" t="str">
        <f>UPPER(IF(Tabla2[[#This Row],[FECHA DE MUESTREO ]]=0,"",TEXT(Tabla2[[#This Row],[FECHA DE MUESTREO ]],("MMMM"))))</f>
        <v/>
      </c>
      <c r="U1444" s="6"/>
      <c r="W14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4" s="7">
        <f t="shared" si="42"/>
        <v>1</v>
      </c>
    </row>
    <row r="1445" spans="10:24" x14ac:dyDescent="0.25">
      <c r="J1445" s="5" t="str">
        <f>IFERROR(VLOOKUP(I1445,[1]INFO_LOCALES!$B:$C,2,FALSE),"")</f>
        <v/>
      </c>
      <c r="K1445" s="5" t="str">
        <f>IFERROR(VLOOKUP(Tabla2[[#This Row],[TIENDA]],[1]INFO_LOCALES!$B:$D,3,FALSE),"")</f>
        <v/>
      </c>
      <c r="L1445" s="5" t="str">
        <f>IFERROR(VLOOKUP(I1445,[1]INFO_LOCALES!$B:$I,8,FALSE),"")</f>
        <v/>
      </c>
      <c r="M1445" s="5" t="str">
        <f>IFERROR(VLOOKUP(I1445,[1]INFO_LOCALES!$B:$H,7,FALSE),"")</f>
        <v/>
      </c>
      <c r="N1445" s="5" t="str">
        <f>IFERROR(VLOOKUP(I1445,[1]INFO_LOCALES!$B:$E,4,FALSE),"")</f>
        <v/>
      </c>
      <c r="O1445" s="5" t="e">
        <f>VLOOKUP(Tabla2[[#This Row],[TIENDA]],[1]INFO_LOCALES!$B:$J,9,0)</f>
        <v>#N/A</v>
      </c>
      <c r="P1445" s="5" t="str">
        <f>IFERROR(VLOOKUP(I1445,[1]INFO_LOCALES!$B:$F,5,FALSE),"")</f>
        <v/>
      </c>
      <c r="S1445" s="6"/>
      <c r="T1445" s="5" t="str">
        <f>UPPER(IF(Tabla2[[#This Row],[FECHA DE MUESTREO ]]=0,"",TEXT(Tabla2[[#This Row],[FECHA DE MUESTREO ]],("MMMM"))))</f>
        <v/>
      </c>
      <c r="U1445" s="6"/>
      <c r="W14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5" s="7">
        <f t="shared" si="42"/>
        <v>1</v>
      </c>
    </row>
    <row r="1446" spans="10:24" x14ac:dyDescent="0.25">
      <c r="J1446" s="5" t="str">
        <f>IFERROR(VLOOKUP(I1446,[1]INFO_LOCALES!$B:$C,2,FALSE),"")</f>
        <v/>
      </c>
      <c r="K1446" s="5" t="str">
        <f>IFERROR(VLOOKUP(Tabla2[[#This Row],[TIENDA]],[1]INFO_LOCALES!$B:$D,3,FALSE),"")</f>
        <v/>
      </c>
      <c r="L1446" s="5" t="str">
        <f>IFERROR(VLOOKUP(I1446,[1]INFO_LOCALES!$B:$I,8,FALSE),"")</f>
        <v/>
      </c>
      <c r="M1446" s="5" t="str">
        <f>IFERROR(VLOOKUP(I1446,[1]INFO_LOCALES!$B:$H,7,FALSE),"")</f>
        <v/>
      </c>
      <c r="N1446" s="5" t="str">
        <f>IFERROR(VLOOKUP(I1446,[1]INFO_LOCALES!$B:$E,4,FALSE),"")</f>
        <v/>
      </c>
      <c r="O1446" s="5" t="e">
        <f>VLOOKUP(Tabla2[[#This Row],[TIENDA]],[1]INFO_LOCALES!$B:$J,9,0)</f>
        <v>#N/A</v>
      </c>
      <c r="P1446" s="5" t="str">
        <f>IFERROR(VLOOKUP(I1446,[1]INFO_LOCALES!$B:$F,5,FALSE),"")</f>
        <v/>
      </c>
      <c r="S1446" s="6"/>
      <c r="T1446" s="5" t="str">
        <f>UPPER(IF(Tabla2[[#This Row],[FECHA DE MUESTREO ]]=0,"",TEXT(Tabla2[[#This Row],[FECHA DE MUESTREO ]],("MMMM"))))</f>
        <v/>
      </c>
      <c r="U1446" s="6"/>
      <c r="W14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6" s="7">
        <f t="shared" ref="X1446:X1509" si="43">IF(W1446="CUMPLE",1,IF(W1446="CUMPLE CON TOLERANCIA",2,IF(W1446="NO CUMPLE",3)))</f>
        <v>1</v>
      </c>
    </row>
    <row r="1447" spans="10:24" x14ac:dyDescent="0.25">
      <c r="J1447" s="5" t="str">
        <f>IFERROR(VLOOKUP(I1447,[1]INFO_LOCALES!$B:$C,2,FALSE),"")</f>
        <v/>
      </c>
      <c r="K1447" s="5" t="str">
        <f>IFERROR(VLOOKUP(Tabla2[[#This Row],[TIENDA]],[1]INFO_LOCALES!$B:$D,3,FALSE),"")</f>
        <v/>
      </c>
      <c r="L1447" s="5" t="str">
        <f>IFERROR(VLOOKUP(I1447,[1]INFO_LOCALES!$B:$I,8,FALSE),"")</f>
        <v/>
      </c>
      <c r="M1447" s="5" t="str">
        <f>IFERROR(VLOOKUP(I1447,[1]INFO_LOCALES!$B:$H,7,FALSE),"")</f>
        <v/>
      </c>
      <c r="N1447" s="5" t="str">
        <f>IFERROR(VLOOKUP(I1447,[1]INFO_LOCALES!$B:$E,4,FALSE),"")</f>
        <v/>
      </c>
      <c r="O1447" s="5" t="e">
        <f>VLOOKUP(Tabla2[[#This Row],[TIENDA]],[1]INFO_LOCALES!$B:$J,9,0)</f>
        <v>#N/A</v>
      </c>
      <c r="P1447" s="5" t="str">
        <f>IFERROR(VLOOKUP(I1447,[1]INFO_LOCALES!$B:$F,5,FALSE),"")</f>
        <v/>
      </c>
      <c r="S1447" s="6"/>
      <c r="T1447" s="5" t="str">
        <f>UPPER(IF(Tabla2[[#This Row],[FECHA DE MUESTREO ]]=0,"",TEXT(Tabla2[[#This Row],[FECHA DE MUESTREO ]],("MMMM"))))</f>
        <v/>
      </c>
      <c r="U1447" s="6"/>
      <c r="W14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7" s="7">
        <f t="shared" si="43"/>
        <v>1</v>
      </c>
    </row>
    <row r="1448" spans="10:24" x14ac:dyDescent="0.25">
      <c r="J1448" s="5" t="str">
        <f>IFERROR(VLOOKUP(I1448,[1]INFO_LOCALES!$B:$C,2,FALSE),"")</f>
        <v/>
      </c>
      <c r="K1448" s="5" t="str">
        <f>IFERROR(VLOOKUP(Tabla2[[#This Row],[TIENDA]],[1]INFO_LOCALES!$B:$D,3,FALSE),"")</f>
        <v/>
      </c>
      <c r="L1448" s="5" t="str">
        <f>IFERROR(VLOOKUP(I1448,[1]INFO_LOCALES!$B:$I,8,FALSE),"")</f>
        <v/>
      </c>
      <c r="M1448" s="5" t="str">
        <f>IFERROR(VLOOKUP(I1448,[1]INFO_LOCALES!$B:$H,7,FALSE),"")</f>
        <v/>
      </c>
      <c r="N1448" s="5" t="str">
        <f>IFERROR(VLOOKUP(I1448,[1]INFO_LOCALES!$B:$E,4,FALSE),"")</f>
        <v/>
      </c>
      <c r="O1448" s="5" t="e">
        <f>VLOOKUP(Tabla2[[#This Row],[TIENDA]],[1]INFO_LOCALES!$B:$J,9,0)</f>
        <v>#N/A</v>
      </c>
      <c r="P1448" s="5" t="str">
        <f>IFERROR(VLOOKUP(I1448,[1]INFO_LOCALES!$B:$F,5,FALSE),"")</f>
        <v/>
      </c>
      <c r="S1448" s="6"/>
      <c r="T1448" s="5" t="str">
        <f>UPPER(IF(Tabla2[[#This Row],[FECHA DE MUESTREO ]]=0,"",TEXT(Tabla2[[#This Row],[FECHA DE MUESTREO ]],("MMMM"))))</f>
        <v/>
      </c>
      <c r="U1448" s="6"/>
      <c r="W14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8" s="7">
        <f t="shared" si="43"/>
        <v>1</v>
      </c>
    </row>
    <row r="1449" spans="10:24" x14ac:dyDescent="0.25">
      <c r="J1449" s="5" t="str">
        <f>IFERROR(VLOOKUP(I1449,[1]INFO_LOCALES!$B:$C,2,FALSE),"")</f>
        <v/>
      </c>
      <c r="K1449" s="5" t="str">
        <f>IFERROR(VLOOKUP(Tabla2[[#This Row],[TIENDA]],[1]INFO_LOCALES!$B:$D,3,FALSE),"")</f>
        <v/>
      </c>
      <c r="L1449" s="5" t="str">
        <f>IFERROR(VLOOKUP(I1449,[1]INFO_LOCALES!$B:$I,8,FALSE),"")</f>
        <v/>
      </c>
      <c r="M1449" s="5" t="str">
        <f>IFERROR(VLOOKUP(I1449,[1]INFO_LOCALES!$B:$H,7,FALSE),"")</f>
        <v/>
      </c>
      <c r="N1449" s="5" t="str">
        <f>IFERROR(VLOOKUP(I1449,[1]INFO_LOCALES!$B:$E,4,FALSE),"")</f>
        <v/>
      </c>
      <c r="O1449" s="5" t="e">
        <f>VLOOKUP(Tabla2[[#This Row],[TIENDA]],[1]INFO_LOCALES!$B:$J,9,0)</f>
        <v>#N/A</v>
      </c>
      <c r="P1449" s="5" t="str">
        <f>IFERROR(VLOOKUP(I1449,[1]INFO_LOCALES!$B:$F,5,FALSE),"")</f>
        <v/>
      </c>
      <c r="S1449" s="6"/>
      <c r="T1449" s="5" t="str">
        <f>UPPER(IF(Tabla2[[#This Row],[FECHA DE MUESTREO ]]=0,"",TEXT(Tabla2[[#This Row],[FECHA DE MUESTREO ]],("MMMM"))))</f>
        <v/>
      </c>
      <c r="U1449" s="6"/>
      <c r="W14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49" s="7">
        <f t="shared" si="43"/>
        <v>1</v>
      </c>
    </row>
    <row r="1450" spans="10:24" x14ac:dyDescent="0.25">
      <c r="J1450" s="5" t="str">
        <f>IFERROR(VLOOKUP(I1450,[1]INFO_LOCALES!$B:$C,2,FALSE),"")</f>
        <v/>
      </c>
      <c r="K1450" s="5" t="str">
        <f>IFERROR(VLOOKUP(Tabla2[[#This Row],[TIENDA]],[1]INFO_LOCALES!$B:$D,3,FALSE),"")</f>
        <v/>
      </c>
      <c r="L1450" s="5" t="str">
        <f>IFERROR(VLOOKUP(I1450,[1]INFO_LOCALES!$B:$I,8,FALSE),"")</f>
        <v/>
      </c>
      <c r="M1450" s="5" t="str">
        <f>IFERROR(VLOOKUP(I1450,[1]INFO_LOCALES!$B:$H,7,FALSE),"")</f>
        <v/>
      </c>
      <c r="N1450" s="5" t="str">
        <f>IFERROR(VLOOKUP(I1450,[1]INFO_LOCALES!$B:$E,4,FALSE),"")</f>
        <v/>
      </c>
      <c r="O1450" s="5" t="e">
        <f>VLOOKUP(Tabla2[[#This Row],[TIENDA]],[1]INFO_LOCALES!$B:$J,9,0)</f>
        <v>#N/A</v>
      </c>
      <c r="P1450" s="5" t="str">
        <f>IFERROR(VLOOKUP(I1450,[1]INFO_LOCALES!$B:$F,5,FALSE),"")</f>
        <v/>
      </c>
      <c r="S1450" s="6"/>
      <c r="T1450" s="5" t="str">
        <f>UPPER(IF(Tabla2[[#This Row],[FECHA DE MUESTREO ]]=0,"",TEXT(Tabla2[[#This Row],[FECHA DE MUESTREO ]],("MMMM"))))</f>
        <v/>
      </c>
      <c r="U1450" s="6"/>
      <c r="W14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0" s="7">
        <f t="shared" si="43"/>
        <v>1</v>
      </c>
    </row>
    <row r="1451" spans="10:24" x14ac:dyDescent="0.25">
      <c r="J1451" s="5" t="str">
        <f>IFERROR(VLOOKUP(I1451,[1]INFO_LOCALES!$B:$C,2,FALSE),"")</f>
        <v/>
      </c>
      <c r="K1451" s="5" t="str">
        <f>IFERROR(VLOOKUP(Tabla2[[#This Row],[TIENDA]],[1]INFO_LOCALES!$B:$D,3,FALSE),"")</f>
        <v/>
      </c>
      <c r="L1451" s="5" t="str">
        <f>IFERROR(VLOOKUP(I1451,[1]INFO_LOCALES!$B:$I,8,FALSE),"")</f>
        <v/>
      </c>
      <c r="M1451" s="5" t="str">
        <f>IFERROR(VLOOKUP(I1451,[1]INFO_LOCALES!$B:$H,7,FALSE),"")</f>
        <v/>
      </c>
      <c r="N1451" s="5" t="str">
        <f>IFERROR(VLOOKUP(I1451,[1]INFO_LOCALES!$B:$E,4,FALSE),"")</f>
        <v/>
      </c>
      <c r="O1451" s="5" t="e">
        <f>VLOOKUP(Tabla2[[#This Row],[TIENDA]],[1]INFO_LOCALES!$B:$J,9,0)</f>
        <v>#N/A</v>
      </c>
      <c r="P1451" s="5" t="str">
        <f>IFERROR(VLOOKUP(I1451,[1]INFO_LOCALES!$B:$F,5,FALSE),"")</f>
        <v/>
      </c>
      <c r="S1451" s="6"/>
      <c r="T1451" s="5" t="str">
        <f>UPPER(IF(Tabla2[[#This Row],[FECHA DE MUESTREO ]]=0,"",TEXT(Tabla2[[#This Row],[FECHA DE MUESTREO ]],("MMMM"))))</f>
        <v/>
      </c>
      <c r="U1451" s="6"/>
      <c r="W14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1" s="7">
        <f t="shared" si="43"/>
        <v>1</v>
      </c>
    </row>
    <row r="1452" spans="10:24" x14ac:dyDescent="0.25">
      <c r="J1452" s="5" t="str">
        <f>IFERROR(VLOOKUP(I1452,[1]INFO_LOCALES!$B:$C,2,FALSE),"")</f>
        <v/>
      </c>
      <c r="K1452" s="5" t="str">
        <f>IFERROR(VLOOKUP(Tabla2[[#This Row],[TIENDA]],[1]INFO_LOCALES!$B:$D,3,FALSE),"")</f>
        <v/>
      </c>
      <c r="L1452" s="5" t="str">
        <f>IFERROR(VLOOKUP(I1452,[1]INFO_LOCALES!$B:$I,8,FALSE),"")</f>
        <v/>
      </c>
      <c r="M1452" s="5" t="str">
        <f>IFERROR(VLOOKUP(I1452,[1]INFO_LOCALES!$B:$H,7,FALSE),"")</f>
        <v/>
      </c>
      <c r="N1452" s="5" t="str">
        <f>IFERROR(VLOOKUP(I1452,[1]INFO_LOCALES!$B:$E,4,FALSE),"")</f>
        <v/>
      </c>
      <c r="O1452" s="5" t="e">
        <f>VLOOKUP(Tabla2[[#This Row],[TIENDA]],[1]INFO_LOCALES!$B:$J,9,0)</f>
        <v>#N/A</v>
      </c>
      <c r="P1452" s="5" t="str">
        <f>IFERROR(VLOOKUP(I1452,[1]INFO_LOCALES!$B:$F,5,FALSE),"")</f>
        <v/>
      </c>
      <c r="S1452" s="6"/>
      <c r="T1452" s="5" t="str">
        <f>UPPER(IF(Tabla2[[#This Row],[FECHA DE MUESTREO ]]=0,"",TEXT(Tabla2[[#This Row],[FECHA DE MUESTREO ]],("MMMM"))))</f>
        <v/>
      </c>
      <c r="U1452" s="6"/>
      <c r="W14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2" s="7">
        <f t="shared" si="43"/>
        <v>1</v>
      </c>
    </row>
    <row r="1453" spans="10:24" x14ac:dyDescent="0.25">
      <c r="J1453" s="5" t="str">
        <f>IFERROR(VLOOKUP(I1453,[1]INFO_LOCALES!$B:$C,2,FALSE),"")</f>
        <v/>
      </c>
      <c r="K1453" s="5" t="str">
        <f>IFERROR(VLOOKUP(Tabla2[[#This Row],[TIENDA]],[1]INFO_LOCALES!$B:$D,3,FALSE),"")</f>
        <v/>
      </c>
      <c r="L1453" s="5" t="str">
        <f>IFERROR(VLOOKUP(I1453,[1]INFO_LOCALES!$B:$I,8,FALSE),"")</f>
        <v/>
      </c>
      <c r="M1453" s="5" t="str">
        <f>IFERROR(VLOOKUP(I1453,[1]INFO_LOCALES!$B:$H,7,FALSE),"")</f>
        <v/>
      </c>
      <c r="N1453" s="5" t="str">
        <f>IFERROR(VLOOKUP(I1453,[1]INFO_LOCALES!$B:$E,4,FALSE),"")</f>
        <v/>
      </c>
      <c r="O1453" s="5" t="e">
        <f>VLOOKUP(Tabla2[[#This Row],[TIENDA]],[1]INFO_LOCALES!$B:$J,9,0)</f>
        <v>#N/A</v>
      </c>
      <c r="P1453" s="5" t="str">
        <f>IFERROR(VLOOKUP(I1453,[1]INFO_LOCALES!$B:$F,5,FALSE),"")</f>
        <v/>
      </c>
      <c r="S1453" s="6"/>
      <c r="T1453" s="5" t="str">
        <f>UPPER(IF(Tabla2[[#This Row],[FECHA DE MUESTREO ]]=0,"",TEXT(Tabla2[[#This Row],[FECHA DE MUESTREO ]],("MMMM"))))</f>
        <v/>
      </c>
      <c r="U1453" s="6"/>
      <c r="W14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3" s="7">
        <f t="shared" si="43"/>
        <v>1</v>
      </c>
    </row>
    <row r="1454" spans="10:24" x14ac:dyDescent="0.25">
      <c r="J1454" s="5" t="str">
        <f>IFERROR(VLOOKUP(I1454,[1]INFO_LOCALES!$B:$C,2,FALSE),"")</f>
        <v/>
      </c>
      <c r="K1454" s="5" t="str">
        <f>IFERROR(VLOOKUP(Tabla2[[#This Row],[TIENDA]],[1]INFO_LOCALES!$B:$D,3,FALSE),"")</f>
        <v/>
      </c>
      <c r="L1454" s="5" t="str">
        <f>IFERROR(VLOOKUP(I1454,[1]INFO_LOCALES!$B:$I,8,FALSE),"")</f>
        <v/>
      </c>
      <c r="M1454" s="5" t="str">
        <f>IFERROR(VLOOKUP(I1454,[1]INFO_LOCALES!$B:$H,7,FALSE),"")</f>
        <v/>
      </c>
      <c r="N1454" s="5" t="str">
        <f>IFERROR(VLOOKUP(I1454,[1]INFO_LOCALES!$B:$E,4,FALSE),"")</f>
        <v/>
      </c>
      <c r="O1454" s="5" t="e">
        <f>VLOOKUP(Tabla2[[#This Row],[TIENDA]],[1]INFO_LOCALES!$B:$J,9,0)</f>
        <v>#N/A</v>
      </c>
      <c r="P1454" s="5" t="str">
        <f>IFERROR(VLOOKUP(I1454,[1]INFO_LOCALES!$B:$F,5,FALSE),"")</f>
        <v/>
      </c>
      <c r="S1454" s="6"/>
      <c r="T1454" s="5" t="str">
        <f>UPPER(IF(Tabla2[[#This Row],[FECHA DE MUESTREO ]]=0,"",TEXT(Tabla2[[#This Row],[FECHA DE MUESTREO ]],("MMMM"))))</f>
        <v/>
      </c>
      <c r="U1454" s="6"/>
      <c r="W14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4" s="7">
        <f t="shared" si="43"/>
        <v>1</v>
      </c>
    </row>
    <row r="1455" spans="10:24" x14ac:dyDescent="0.25">
      <c r="J1455" s="5" t="str">
        <f>IFERROR(VLOOKUP(I1455,[1]INFO_LOCALES!$B:$C,2,FALSE),"")</f>
        <v/>
      </c>
      <c r="K1455" s="5" t="str">
        <f>IFERROR(VLOOKUP(Tabla2[[#This Row],[TIENDA]],[1]INFO_LOCALES!$B:$D,3,FALSE),"")</f>
        <v/>
      </c>
      <c r="L1455" s="5" t="str">
        <f>IFERROR(VLOOKUP(I1455,[1]INFO_LOCALES!$B:$I,8,FALSE),"")</f>
        <v/>
      </c>
      <c r="M1455" s="5" t="str">
        <f>IFERROR(VLOOKUP(I1455,[1]INFO_LOCALES!$B:$H,7,FALSE),"")</f>
        <v/>
      </c>
      <c r="N1455" s="5" t="str">
        <f>IFERROR(VLOOKUP(I1455,[1]INFO_LOCALES!$B:$E,4,FALSE),"")</f>
        <v/>
      </c>
      <c r="O1455" s="5" t="e">
        <f>VLOOKUP(Tabla2[[#This Row],[TIENDA]],[1]INFO_LOCALES!$B:$J,9,0)</f>
        <v>#N/A</v>
      </c>
      <c r="P1455" s="5" t="str">
        <f>IFERROR(VLOOKUP(I1455,[1]INFO_LOCALES!$B:$F,5,FALSE),"")</f>
        <v/>
      </c>
      <c r="S1455" s="6"/>
      <c r="T1455" s="5" t="str">
        <f>UPPER(IF(Tabla2[[#This Row],[FECHA DE MUESTREO ]]=0,"",TEXT(Tabla2[[#This Row],[FECHA DE MUESTREO ]],("MMMM"))))</f>
        <v/>
      </c>
      <c r="U1455" s="6"/>
      <c r="W14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5" s="7">
        <f t="shared" si="43"/>
        <v>1</v>
      </c>
    </row>
    <row r="1456" spans="10:24" x14ac:dyDescent="0.25">
      <c r="J1456" s="5" t="str">
        <f>IFERROR(VLOOKUP(I1456,[1]INFO_LOCALES!$B:$C,2,FALSE),"")</f>
        <v/>
      </c>
      <c r="K1456" s="5" t="str">
        <f>IFERROR(VLOOKUP(Tabla2[[#This Row],[TIENDA]],[1]INFO_LOCALES!$B:$D,3,FALSE),"")</f>
        <v/>
      </c>
      <c r="L1456" s="5" t="str">
        <f>IFERROR(VLOOKUP(I1456,[1]INFO_LOCALES!$B:$I,8,FALSE),"")</f>
        <v/>
      </c>
      <c r="M1456" s="5" t="str">
        <f>IFERROR(VLOOKUP(I1456,[1]INFO_LOCALES!$B:$H,7,FALSE),"")</f>
        <v/>
      </c>
      <c r="N1456" s="5" t="str">
        <f>IFERROR(VLOOKUP(I1456,[1]INFO_LOCALES!$B:$E,4,FALSE),"")</f>
        <v/>
      </c>
      <c r="O1456" s="5" t="e">
        <f>VLOOKUP(Tabla2[[#This Row],[TIENDA]],[1]INFO_LOCALES!$B:$J,9,0)</f>
        <v>#N/A</v>
      </c>
      <c r="P1456" s="5" t="str">
        <f>IFERROR(VLOOKUP(I1456,[1]INFO_LOCALES!$B:$F,5,FALSE),"")</f>
        <v/>
      </c>
      <c r="S1456" s="6"/>
      <c r="T1456" s="5" t="str">
        <f>UPPER(IF(Tabla2[[#This Row],[FECHA DE MUESTREO ]]=0,"",TEXT(Tabla2[[#This Row],[FECHA DE MUESTREO ]],("MMMM"))))</f>
        <v/>
      </c>
      <c r="U1456" s="6"/>
      <c r="W14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6" s="7">
        <f t="shared" si="43"/>
        <v>1</v>
      </c>
    </row>
    <row r="1457" spans="10:24" x14ac:dyDescent="0.25">
      <c r="J1457" s="5" t="str">
        <f>IFERROR(VLOOKUP(I1457,[1]INFO_LOCALES!$B:$C,2,FALSE),"")</f>
        <v/>
      </c>
      <c r="K1457" s="5" t="str">
        <f>IFERROR(VLOOKUP(Tabla2[[#This Row],[TIENDA]],[1]INFO_LOCALES!$B:$D,3,FALSE),"")</f>
        <v/>
      </c>
      <c r="L1457" s="5" t="str">
        <f>IFERROR(VLOOKUP(I1457,[1]INFO_LOCALES!$B:$I,8,FALSE),"")</f>
        <v/>
      </c>
      <c r="M1457" s="5" t="str">
        <f>IFERROR(VLOOKUP(I1457,[1]INFO_LOCALES!$B:$H,7,FALSE),"")</f>
        <v/>
      </c>
      <c r="N1457" s="5" t="str">
        <f>IFERROR(VLOOKUP(I1457,[1]INFO_LOCALES!$B:$E,4,FALSE),"")</f>
        <v/>
      </c>
      <c r="O1457" s="5" t="e">
        <f>VLOOKUP(Tabla2[[#This Row],[TIENDA]],[1]INFO_LOCALES!$B:$J,9,0)</f>
        <v>#N/A</v>
      </c>
      <c r="P1457" s="5" t="str">
        <f>IFERROR(VLOOKUP(I1457,[1]INFO_LOCALES!$B:$F,5,FALSE),"")</f>
        <v/>
      </c>
      <c r="S1457" s="6"/>
      <c r="T1457" s="5" t="str">
        <f>UPPER(IF(Tabla2[[#This Row],[FECHA DE MUESTREO ]]=0,"",TEXT(Tabla2[[#This Row],[FECHA DE MUESTREO ]],("MMMM"))))</f>
        <v/>
      </c>
      <c r="U1457" s="6"/>
      <c r="W14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7" s="7">
        <f t="shared" si="43"/>
        <v>1</v>
      </c>
    </row>
    <row r="1458" spans="10:24" x14ac:dyDescent="0.25">
      <c r="J1458" s="5" t="str">
        <f>IFERROR(VLOOKUP(I1458,[1]INFO_LOCALES!$B:$C,2,FALSE),"")</f>
        <v/>
      </c>
      <c r="K1458" s="5" t="str">
        <f>IFERROR(VLOOKUP(Tabla2[[#This Row],[TIENDA]],[1]INFO_LOCALES!$B:$D,3,FALSE),"")</f>
        <v/>
      </c>
      <c r="L1458" s="5" t="str">
        <f>IFERROR(VLOOKUP(I1458,[1]INFO_LOCALES!$B:$I,8,FALSE),"")</f>
        <v/>
      </c>
      <c r="M1458" s="5" t="str">
        <f>IFERROR(VLOOKUP(I1458,[1]INFO_LOCALES!$B:$H,7,FALSE),"")</f>
        <v/>
      </c>
      <c r="N1458" s="5" t="str">
        <f>IFERROR(VLOOKUP(I1458,[1]INFO_LOCALES!$B:$E,4,FALSE),"")</f>
        <v/>
      </c>
      <c r="O1458" s="5" t="e">
        <f>VLOOKUP(Tabla2[[#This Row],[TIENDA]],[1]INFO_LOCALES!$B:$J,9,0)</f>
        <v>#N/A</v>
      </c>
      <c r="P1458" s="5" t="str">
        <f>IFERROR(VLOOKUP(I1458,[1]INFO_LOCALES!$B:$F,5,FALSE),"")</f>
        <v/>
      </c>
      <c r="S1458" s="6"/>
      <c r="T1458" s="5" t="str">
        <f>UPPER(IF(Tabla2[[#This Row],[FECHA DE MUESTREO ]]=0,"",TEXT(Tabla2[[#This Row],[FECHA DE MUESTREO ]],("MMMM"))))</f>
        <v/>
      </c>
      <c r="U1458" s="6"/>
      <c r="W14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8" s="7">
        <f t="shared" si="43"/>
        <v>1</v>
      </c>
    </row>
    <row r="1459" spans="10:24" x14ac:dyDescent="0.25">
      <c r="J1459" s="5" t="str">
        <f>IFERROR(VLOOKUP(I1459,[1]INFO_LOCALES!$B:$C,2,FALSE),"")</f>
        <v/>
      </c>
      <c r="K1459" s="5" t="str">
        <f>IFERROR(VLOOKUP(Tabla2[[#This Row],[TIENDA]],[1]INFO_LOCALES!$B:$D,3,FALSE),"")</f>
        <v/>
      </c>
      <c r="L1459" s="5" t="str">
        <f>IFERROR(VLOOKUP(I1459,[1]INFO_LOCALES!$B:$I,8,FALSE),"")</f>
        <v/>
      </c>
      <c r="M1459" s="5" t="str">
        <f>IFERROR(VLOOKUP(I1459,[1]INFO_LOCALES!$B:$H,7,FALSE),"")</f>
        <v/>
      </c>
      <c r="N1459" s="5" t="str">
        <f>IFERROR(VLOOKUP(I1459,[1]INFO_LOCALES!$B:$E,4,FALSE),"")</f>
        <v/>
      </c>
      <c r="O1459" s="5" t="e">
        <f>VLOOKUP(Tabla2[[#This Row],[TIENDA]],[1]INFO_LOCALES!$B:$J,9,0)</f>
        <v>#N/A</v>
      </c>
      <c r="P1459" s="5" t="str">
        <f>IFERROR(VLOOKUP(I1459,[1]INFO_LOCALES!$B:$F,5,FALSE),"")</f>
        <v/>
      </c>
      <c r="S1459" s="6"/>
      <c r="T1459" s="5" t="str">
        <f>UPPER(IF(Tabla2[[#This Row],[FECHA DE MUESTREO ]]=0,"",TEXT(Tabla2[[#This Row],[FECHA DE MUESTREO ]],("MMMM"))))</f>
        <v/>
      </c>
      <c r="U1459" s="6"/>
      <c r="W14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59" s="7">
        <f t="shared" si="43"/>
        <v>1</v>
      </c>
    </row>
    <row r="1460" spans="10:24" x14ac:dyDescent="0.25">
      <c r="J1460" s="5" t="str">
        <f>IFERROR(VLOOKUP(I1460,[1]INFO_LOCALES!$B:$C,2,FALSE),"")</f>
        <v/>
      </c>
      <c r="K1460" s="5" t="str">
        <f>IFERROR(VLOOKUP(Tabla2[[#This Row],[TIENDA]],[1]INFO_LOCALES!$B:$D,3,FALSE),"")</f>
        <v/>
      </c>
      <c r="L1460" s="5" t="str">
        <f>IFERROR(VLOOKUP(I1460,[1]INFO_LOCALES!$B:$I,8,FALSE),"")</f>
        <v/>
      </c>
      <c r="M1460" s="5" t="str">
        <f>IFERROR(VLOOKUP(I1460,[1]INFO_LOCALES!$B:$H,7,FALSE),"")</f>
        <v/>
      </c>
      <c r="N1460" s="5" t="str">
        <f>IFERROR(VLOOKUP(I1460,[1]INFO_LOCALES!$B:$E,4,FALSE),"")</f>
        <v/>
      </c>
      <c r="O1460" s="5" t="e">
        <f>VLOOKUP(Tabla2[[#This Row],[TIENDA]],[1]INFO_LOCALES!$B:$J,9,0)</f>
        <v>#N/A</v>
      </c>
      <c r="P1460" s="5" t="str">
        <f>IFERROR(VLOOKUP(I1460,[1]INFO_LOCALES!$B:$F,5,FALSE),"")</f>
        <v/>
      </c>
      <c r="S1460" s="6"/>
      <c r="T1460" s="5" t="str">
        <f>UPPER(IF(Tabla2[[#This Row],[FECHA DE MUESTREO ]]=0,"",TEXT(Tabla2[[#This Row],[FECHA DE MUESTREO ]],("MMMM"))))</f>
        <v/>
      </c>
      <c r="U1460" s="6"/>
      <c r="W14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0" s="7">
        <f t="shared" si="43"/>
        <v>1</v>
      </c>
    </row>
    <row r="1461" spans="10:24" x14ac:dyDescent="0.25">
      <c r="J1461" s="5" t="str">
        <f>IFERROR(VLOOKUP(I1461,[1]INFO_LOCALES!$B:$C,2,FALSE),"")</f>
        <v/>
      </c>
      <c r="K1461" s="5" t="str">
        <f>IFERROR(VLOOKUP(Tabla2[[#This Row],[TIENDA]],[1]INFO_LOCALES!$B:$D,3,FALSE),"")</f>
        <v/>
      </c>
      <c r="L1461" s="5" t="str">
        <f>IFERROR(VLOOKUP(I1461,[1]INFO_LOCALES!$B:$I,8,FALSE),"")</f>
        <v/>
      </c>
      <c r="M1461" s="5" t="str">
        <f>IFERROR(VLOOKUP(I1461,[1]INFO_LOCALES!$B:$H,7,FALSE),"")</f>
        <v/>
      </c>
      <c r="N1461" s="5" t="str">
        <f>IFERROR(VLOOKUP(I1461,[1]INFO_LOCALES!$B:$E,4,FALSE),"")</f>
        <v/>
      </c>
      <c r="O1461" s="5" t="e">
        <f>VLOOKUP(Tabla2[[#This Row],[TIENDA]],[1]INFO_LOCALES!$B:$J,9,0)</f>
        <v>#N/A</v>
      </c>
      <c r="P1461" s="5" t="str">
        <f>IFERROR(VLOOKUP(I1461,[1]INFO_LOCALES!$B:$F,5,FALSE),"")</f>
        <v/>
      </c>
      <c r="S1461" s="6"/>
      <c r="T1461" s="5" t="str">
        <f>UPPER(IF(Tabla2[[#This Row],[FECHA DE MUESTREO ]]=0,"",TEXT(Tabla2[[#This Row],[FECHA DE MUESTREO ]],("MMMM"))))</f>
        <v/>
      </c>
      <c r="U1461" s="6"/>
      <c r="W14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1" s="7">
        <f t="shared" si="43"/>
        <v>1</v>
      </c>
    </row>
    <row r="1462" spans="10:24" x14ac:dyDescent="0.25">
      <c r="J1462" s="5" t="str">
        <f>IFERROR(VLOOKUP(I1462,[1]INFO_LOCALES!$B:$C,2,FALSE),"")</f>
        <v/>
      </c>
      <c r="K1462" s="5" t="str">
        <f>IFERROR(VLOOKUP(Tabla2[[#This Row],[TIENDA]],[1]INFO_LOCALES!$B:$D,3,FALSE),"")</f>
        <v/>
      </c>
      <c r="L1462" s="5" t="str">
        <f>IFERROR(VLOOKUP(I1462,[1]INFO_LOCALES!$B:$I,8,FALSE),"")</f>
        <v/>
      </c>
      <c r="M1462" s="5" t="str">
        <f>IFERROR(VLOOKUP(I1462,[1]INFO_LOCALES!$B:$H,7,FALSE),"")</f>
        <v/>
      </c>
      <c r="N1462" s="5" t="str">
        <f>IFERROR(VLOOKUP(I1462,[1]INFO_LOCALES!$B:$E,4,FALSE),"")</f>
        <v/>
      </c>
      <c r="O1462" s="5" t="e">
        <f>VLOOKUP(Tabla2[[#This Row],[TIENDA]],[1]INFO_LOCALES!$B:$J,9,0)</f>
        <v>#N/A</v>
      </c>
      <c r="P1462" s="5" t="str">
        <f>IFERROR(VLOOKUP(I1462,[1]INFO_LOCALES!$B:$F,5,FALSE),"")</f>
        <v/>
      </c>
      <c r="S1462" s="6"/>
      <c r="T1462" s="5" t="str">
        <f>UPPER(IF(Tabla2[[#This Row],[FECHA DE MUESTREO ]]=0,"",TEXT(Tabla2[[#This Row],[FECHA DE MUESTREO ]],("MMMM"))))</f>
        <v/>
      </c>
      <c r="U1462" s="6"/>
      <c r="W14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2" s="7">
        <f t="shared" si="43"/>
        <v>1</v>
      </c>
    </row>
    <row r="1463" spans="10:24" x14ac:dyDescent="0.25">
      <c r="J1463" s="5" t="str">
        <f>IFERROR(VLOOKUP(I1463,[1]INFO_LOCALES!$B:$C,2,FALSE),"")</f>
        <v/>
      </c>
      <c r="K1463" s="5" t="str">
        <f>IFERROR(VLOOKUP(Tabla2[[#This Row],[TIENDA]],[1]INFO_LOCALES!$B:$D,3,FALSE),"")</f>
        <v/>
      </c>
      <c r="L1463" s="5" t="str">
        <f>IFERROR(VLOOKUP(I1463,[1]INFO_LOCALES!$B:$I,8,FALSE),"")</f>
        <v/>
      </c>
      <c r="M1463" s="5" t="str">
        <f>IFERROR(VLOOKUP(I1463,[1]INFO_LOCALES!$B:$H,7,FALSE),"")</f>
        <v/>
      </c>
      <c r="N1463" s="5" t="str">
        <f>IFERROR(VLOOKUP(I1463,[1]INFO_LOCALES!$B:$E,4,FALSE),"")</f>
        <v/>
      </c>
      <c r="O1463" s="5" t="e">
        <f>VLOOKUP(Tabla2[[#This Row],[TIENDA]],[1]INFO_LOCALES!$B:$J,9,0)</f>
        <v>#N/A</v>
      </c>
      <c r="P1463" s="5" t="str">
        <f>IFERROR(VLOOKUP(I1463,[1]INFO_LOCALES!$B:$F,5,FALSE),"")</f>
        <v/>
      </c>
      <c r="S1463" s="6"/>
      <c r="T1463" s="5" t="str">
        <f>UPPER(IF(Tabla2[[#This Row],[FECHA DE MUESTREO ]]=0,"",TEXT(Tabla2[[#This Row],[FECHA DE MUESTREO ]],("MMMM"))))</f>
        <v/>
      </c>
      <c r="U1463" s="6"/>
      <c r="W14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3" s="7">
        <f t="shared" si="43"/>
        <v>1</v>
      </c>
    </row>
    <row r="1464" spans="10:24" x14ac:dyDescent="0.25">
      <c r="J1464" s="5" t="str">
        <f>IFERROR(VLOOKUP(I1464,[1]INFO_LOCALES!$B:$C,2,FALSE),"")</f>
        <v/>
      </c>
      <c r="K1464" s="5" t="str">
        <f>IFERROR(VLOOKUP(Tabla2[[#This Row],[TIENDA]],[1]INFO_LOCALES!$B:$D,3,FALSE),"")</f>
        <v/>
      </c>
      <c r="L1464" s="5" t="str">
        <f>IFERROR(VLOOKUP(I1464,[1]INFO_LOCALES!$B:$I,8,FALSE),"")</f>
        <v/>
      </c>
      <c r="M1464" s="5" t="str">
        <f>IFERROR(VLOOKUP(I1464,[1]INFO_LOCALES!$B:$H,7,FALSE),"")</f>
        <v/>
      </c>
      <c r="N1464" s="5" t="str">
        <f>IFERROR(VLOOKUP(I1464,[1]INFO_LOCALES!$B:$E,4,FALSE),"")</f>
        <v/>
      </c>
      <c r="O1464" s="5" t="e">
        <f>VLOOKUP(Tabla2[[#This Row],[TIENDA]],[1]INFO_LOCALES!$B:$J,9,0)</f>
        <v>#N/A</v>
      </c>
      <c r="P1464" s="5" t="str">
        <f>IFERROR(VLOOKUP(I1464,[1]INFO_LOCALES!$B:$F,5,FALSE),"")</f>
        <v/>
      </c>
      <c r="S1464" s="6"/>
      <c r="T1464" s="5" t="str">
        <f>UPPER(IF(Tabla2[[#This Row],[FECHA DE MUESTREO ]]=0,"",TEXT(Tabla2[[#This Row],[FECHA DE MUESTREO ]],("MMMM"))))</f>
        <v/>
      </c>
      <c r="U1464" s="6"/>
      <c r="W14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4" s="7">
        <f t="shared" si="43"/>
        <v>1</v>
      </c>
    </row>
    <row r="1465" spans="10:24" x14ac:dyDescent="0.25">
      <c r="J1465" s="5" t="str">
        <f>IFERROR(VLOOKUP(I1465,[1]INFO_LOCALES!$B:$C,2,FALSE),"")</f>
        <v/>
      </c>
      <c r="K1465" s="5" t="str">
        <f>IFERROR(VLOOKUP(Tabla2[[#This Row],[TIENDA]],[1]INFO_LOCALES!$B:$D,3,FALSE),"")</f>
        <v/>
      </c>
      <c r="L1465" s="5" t="str">
        <f>IFERROR(VLOOKUP(I1465,[1]INFO_LOCALES!$B:$I,8,FALSE),"")</f>
        <v/>
      </c>
      <c r="M1465" s="5" t="str">
        <f>IFERROR(VLOOKUP(I1465,[1]INFO_LOCALES!$B:$H,7,FALSE),"")</f>
        <v/>
      </c>
      <c r="N1465" s="5" t="str">
        <f>IFERROR(VLOOKUP(I1465,[1]INFO_LOCALES!$B:$E,4,FALSE),"")</f>
        <v/>
      </c>
      <c r="O1465" s="5" t="e">
        <f>VLOOKUP(Tabla2[[#This Row],[TIENDA]],[1]INFO_LOCALES!$B:$J,9,0)</f>
        <v>#N/A</v>
      </c>
      <c r="P1465" s="5" t="str">
        <f>IFERROR(VLOOKUP(I1465,[1]INFO_LOCALES!$B:$F,5,FALSE),"")</f>
        <v/>
      </c>
      <c r="S1465" s="6"/>
      <c r="T1465" s="5" t="str">
        <f>UPPER(IF(Tabla2[[#This Row],[FECHA DE MUESTREO ]]=0,"",TEXT(Tabla2[[#This Row],[FECHA DE MUESTREO ]],("MMMM"))))</f>
        <v/>
      </c>
      <c r="U1465" s="6"/>
      <c r="W14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5" s="7">
        <f t="shared" si="43"/>
        <v>1</v>
      </c>
    </row>
    <row r="1466" spans="10:24" x14ac:dyDescent="0.25">
      <c r="J1466" s="5" t="str">
        <f>IFERROR(VLOOKUP(I1466,[1]INFO_LOCALES!$B:$C,2,FALSE),"")</f>
        <v/>
      </c>
      <c r="K1466" s="5" t="str">
        <f>IFERROR(VLOOKUP(Tabla2[[#This Row],[TIENDA]],[1]INFO_LOCALES!$B:$D,3,FALSE),"")</f>
        <v/>
      </c>
      <c r="L1466" s="5" t="str">
        <f>IFERROR(VLOOKUP(I1466,[1]INFO_LOCALES!$B:$I,8,FALSE),"")</f>
        <v/>
      </c>
      <c r="M1466" s="5" t="str">
        <f>IFERROR(VLOOKUP(I1466,[1]INFO_LOCALES!$B:$H,7,FALSE),"")</f>
        <v/>
      </c>
      <c r="N1466" s="5" t="str">
        <f>IFERROR(VLOOKUP(I1466,[1]INFO_LOCALES!$B:$E,4,FALSE),"")</f>
        <v/>
      </c>
      <c r="O1466" s="5" t="e">
        <f>VLOOKUP(Tabla2[[#This Row],[TIENDA]],[1]INFO_LOCALES!$B:$J,9,0)</f>
        <v>#N/A</v>
      </c>
      <c r="P1466" s="5" t="str">
        <f>IFERROR(VLOOKUP(I1466,[1]INFO_LOCALES!$B:$F,5,FALSE),"")</f>
        <v/>
      </c>
      <c r="S1466" s="6"/>
      <c r="T1466" s="5" t="str">
        <f>UPPER(IF(Tabla2[[#This Row],[FECHA DE MUESTREO ]]=0,"",TEXT(Tabla2[[#This Row],[FECHA DE MUESTREO ]],("MMMM"))))</f>
        <v/>
      </c>
      <c r="U1466" s="6"/>
      <c r="W14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6" s="7">
        <f t="shared" si="43"/>
        <v>1</v>
      </c>
    </row>
    <row r="1467" spans="10:24" x14ac:dyDescent="0.25">
      <c r="J1467" s="5" t="str">
        <f>IFERROR(VLOOKUP(I1467,[1]INFO_LOCALES!$B:$C,2,FALSE),"")</f>
        <v/>
      </c>
      <c r="K1467" s="5" t="str">
        <f>IFERROR(VLOOKUP(Tabla2[[#This Row],[TIENDA]],[1]INFO_LOCALES!$B:$D,3,FALSE),"")</f>
        <v/>
      </c>
      <c r="L1467" s="5" t="str">
        <f>IFERROR(VLOOKUP(I1467,[1]INFO_LOCALES!$B:$I,8,FALSE),"")</f>
        <v/>
      </c>
      <c r="M1467" s="5" t="str">
        <f>IFERROR(VLOOKUP(I1467,[1]INFO_LOCALES!$B:$H,7,FALSE),"")</f>
        <v/>
      </c>
      <c r="N1467" s="5" t="str">
        <f>IFERROR(VLOOKUP(I1467,[1]INFO_LOCALES!$B:$E,4,FALSE),"")</f>
        <v/>
      </c>
      <c r="O1467" s="5" t="e">
        <f>VLOOKUP(Tabla2[[#This Row],[TIENDA]],[1]INFO_LOCALES!$B:$J,9,0)</f>
        <v>#N/A</v>
      </c>
      <c r="P1467" s="5" t="str">
        <f>IFERROR(VLOOKUP(I1467,[1]INFO_LOCALES!$B:$F,5,FALSE),"")</f>
        <v/>
      </c>
      <c r="S1467" s="6"/>
      <c r="T1467" s="5" t="str">
        <f>UPPER(IF(Tabla2[[#This Row],[FECHA DE MUESTREO ]]=0,"",TEXT(Tabla2[[#This Row],[FECHA DE MUESTREO ]],("MMMM"))))</f>
        <v/>
      </c>
      <c r="U1467" s="6"/>
      <c r="W14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7" s="7">
        <f t="shared" si="43"/>
        <v>1</v>
      </c>
    </row>
    <row r="1468" spans="10:24" x14ac:dyDescent="0.25">
      <c r="J1468" s="5" t="str">
        <f>IFERROR(VLOOKUP(I1468,[1]INFO_LOCALES!$B:$C,2,FALSE),"")</f>
        <v/>
      </c>
      <c r="K1468" s="5" t="str">
        <f>IFERROR(VLOOKUP(Tabla2[[#This Row],[TIENDA]],[1]INFO_LOCALES!$B:$D,3,FALSE),"")</f>
        <v/>
      </c>
      <c r="L1468" s="5" t="str">
        <f>IFERROR(VLOOKUP(I1468,[1]INFO_LOCALES!$B:$I,8,FALSE),"")</f>
        <v/>
      </c>
      <c r="M1468" s="5" t="str">
        <f>IFERROR(VLOOKUP(I1468,[1]INFO_LOCALES!$B:$H,7,FALSE),"")</f>
        <v/>
      </c>
      <c r="N1468" s="5" t="str">
        <f>IFERROR(VLOOKUP(I1468,[1]INFO_LOCALES!$B:$E,4,FALSE),"")</f>
        <v/>
      </c>
      <c r="O1468" s="5" t="e">
        <f>VLOOKUP(Tabla2[[#This Row],[TIENDA]],[1]INFO_LOCALES!$B:$J,9,0)</f>
        <v>#N/A</v>
      </c>
      <c r="P1468" s="5" t="str">
        <f>IFERROR(VLOOKUP(I1468,[1]INFO_LOCALES!$B:$F,5,FALSE),"")</f>
        <v/>
      </c>
      <c r="S1468" s="6"/>
      <c r="T1468" s="5" t="str">
        <f>UPPER(IF(Tabla2[[#This Row],[FECHA DE MUESTREO ]]=0,"",TEXT(Tabla2[[#This Row],[FECHA DE MUESTREO ]],("MMMM"))))</f>
        <v/>
      </c>
      <c r="U1468" s="6"/>
      <c r="W14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8" s="7">
        <f t="shared" si="43"/>
        <v>1</v>
      </c>
    </row>
    <row r="1469" spans="10:24" x14ac:dyDescent="0.25">
      <c r="J1469" s="5" t="str">
        <f>IFERROR(VLOOKUP(I1469,[1]INFO_LOCALES!$B:$C,2,FALSE),"")</f>
        <v/>
      </c>
      <c r="K1469" s="5" t="str">
        <f>IFERROR(VLOOKUP(Tabla2[[#This Row],[TIENDA]],[1]INFO_LOCALES!$B:$D,3,FALSE),"")</f>
        <v/>
      </c>
      <c r="L1469" s="5" t="str">
        <f>IFERROR(VLOOKUP(I1469,[1]INFO_LOCALES!$B:$I,8,FALSE),"")</f>
        <v/>
      </c>
      <c r="M1469" s="5" t="str">
        <f>IFERROR(VLOOKUP(I1469,[1]INFO_LOCALES!$B:$H,7,FALSE),"")</f>
        <v/>
      </c>
      <c r="N1469" s="5" t="str">
        <f>IFERROR(VLOOKUP(I1469,[1]INFO_LOCALES!$B:$E,4,FALSE),"")</f>
        <v/>
      </c>
      <c r="O1469" s="5" t="e">
        <f>VLOOKUP(Tabla2[[#This Row],[TIENDA]],[1]INFO_LOCALES!$B:$J,9,0)</f>
        <v>#N/A</v>
      </c>
      <c r="P1469" s="5" t="str">
        <f>IFERROR(VLOOKUP(I1469,[1]INFO_LOCALES!$B:$F,5,FALSE),"")</f>
        <v/>
      </c>
      <c r="S1469" s="6"/>
      <c r="T1469" s="5" t="str">
        <f>UPPER(IF(Tabla2[[#This Row],[FECHA DE MUESTREO ]]=0,"",TEXT(Tabla2[[#This Row],[FECHA DE MUESTREO ]],("MMMM"))))</f>
        <v/>
      </c>
      <c r="U1469" s="6"/>
      <c r="W14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69" s="7">
        <f t="shared" si="43"/>
        <v>1</v>
      </c>
    </row>
    <row r="1470" spans="10:24" x14ac:dyDescent="0.25">
      <c r="J1470" s="5" t="str">
        <f>IFERROR(VLOOKUP(I1470,[1]INFO_LOCALES!$B:$C,2,FALSE),"")</f>
        <v/>
      </c>
      <c r="K1470" s="5" t="str">
        <f>IFERROR(VLOOKUP(Tabla2[[#This Row],[TIENDA]],[1]INFO_LOCALES!$B:$D,3,FALSE),"")</f>
        <v/>
      </c>
      <c r="L1470" s="5" t="str">
        <f>IFERROR(VLOOKUP(I1470,[1]INFO_LOCALES!$B:$I,8,FALSE),"")</f>
        <v/>
      </c>
      <c r="M1470" s="5" t="str">
        <f>IFERROR(VLOOKUP(I1470,[1]INFO_LOCALES!$B:$H,7,FALSE),"")</f>
        <v/>
      </c>
      <c r="N1470" s="5" t="str">
        <f>IFERROR(VLOOKUP(I1470,[1]INFO_LOCALES!$B:$E,4,FALSE),"")</f>
        <v/>
      </c>
      <c r="O1470" s="5" t="e">
        <f>VLOOKUP(Tabla2[[#This Row],[TIENDA]],[1]INFO_LOCALES!$B:$J,9,0)</f>
        <v>#N/A</v>
      </c>
      <c r="P1470" s="5" t="str">
        <f>IFERROR(VLOOKUP(I1470,[1]INFO_LOCALES!$B:$F,5,FALSE),"")</f>
        <v/>
      </c>
      <c r="S1470" s="6"/>
      <c r="T1470" s="5" t="str">
        <f>UPPER(IF(Tabla2[[#This Row],[FECHA DE MUESTREO ]]=0,"",TEXT(Tabla2[[#This Row],[FECHA DE MUESTREO ]],("MMMM"))))</f>
        <v/>
      </c>
      <c r="U1470" s="6"/>
      <c r="W14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0" s="7">
        <f t="shared" si="43"/>
        <v>1</v>
      </c>
    </row>
    <row r="1471" spans="10:24" x14ac:dyDescent="0.25">
      <c r="J1471" s="5" t="str">
        <f>IFERROR(VLOOKUP(I1471,[1]INFO_LOCALES!$B:$C,2,FALSE),"")</f>
        <v/>
      </c>
      <c r="K1471" s="5" t="str">
        <f>IFERROR(VLOOKUP(Tabla2[[#This Row],[TIENDA]],[1]INFO_LOCALES!$B:$D,3,FALSE),"")</f>
        <v/>
      </c>
      <c r="L1471" s="5" t="str">
        <f>IFERROR(VLOOKUP(I1471,[1]INFO_LOCALES!$B:$I,8,FALSE),"")</f>
        <v/>
      </c>
      <c r="M1471" s="5" t="str">
        <f>IFERROR(VLOOKUP(I1471,[1]INFO_LOCALES!$B:$H,7,FALSE),"")</f>
        <v/>
      </c>
      <c r="N1471" s="5" t="str">
        <f>IFERROR(VLOOKUP(I1471,[1]INFO_LOCALES!$B:$E,4,FALSE),"")</f>
        <v/>
      </c>
      <c r="O1471" s="5" t="e">
        <f>VLOOKUP(Tabla2[[#This Row],[TIENDA]],[1]INFO_LOCALES!$B:$J,9,0)</f>
        <v>#N/A</v>
      </c>
      <c r="P1471" s="5" t="str">
        <f>IFERROR(VLOOKUP(I1471,[1]INFO_LOCALES!$B:$F,5,FALSE),"")</f>
        <v/>
      </c>
      <c r="S1471" s="6"/>
      <c r="T1471" s="5" t="str">
        <f>UPPER(IF(Tabla2[[#This Row],[FECHA DE MUESTREO ]]=0,"",TEXT(Tabla2[[#This Row],[FECHA DE MUESTREO ]],("MMMM"))))</f>
        <v/>
      </c>
      <c r="U1471" s="6"/>
      <c r="W14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1" s="7">
        <f t="shared" si="43"/>
        <v>1</v>
      </c>
    </row>
    <row r="1472" spans="10:24" x14ac:dyDescent="0.25">
      <c r="J1472" s="5" t="str">
        <f>IFERROR(VLOOKUP(I1472,[1]INFO_LOCALES!$B:$C,2,FALSE),"")</f>
        <v/>
      </c>
      <c r="K1472" s="5" t="str">
        <f>IFERROR(VLOOKUP(Tabla2[[#This Row],[TIENDA]],[1]INFO_LOCALES!$B:$D,3,FALSE),"")</f>
        <v/>
      </c>
      <c r="L1472" s="5" t="str">
        <f>IFERROR(VLOOKUP(I1472,[1]INFO_LOCALES!$B:$I,8,FALSE),"")</f>
        <v/>
      </c>
      <c r="M1472" s="5" t="str">
        <f>IFERROR(VLOOKUP(I1472,[1]INFO_LOCALES!$B:$H,7,FALSE),"")</f>
        <v/>
      </c>
      <c r="N1472" s="5" t="str">
        <f>IFERROR(VLOOKUP(I1472,[1]INFO_LOCALES!$B:$E,4,FALSE),"")</f>
        <v/>
      </c>
      <c r="O1472" s="5" t="e">
        <f>VLOOKUP(Tabla2[[#This Row],[TIENDA]],[1]INFO_LOCALES!$B:$J,9,0)</f>
        <v>#N/A</v>
      </c>
      <c r="P1472" s="5" t="str">
        <f>IFERROR(VLOOKUP(I1472,[1]INFO_LOCALES!$B:$F,5,FALSE),"")</f>
        <v/>
      </c>
      <c r="S1472" s="6"/>
      <c r="T1472" s="5" t="str">
        <f>UPPER(IF(Tabla2[[#This Row],[FECHA DE MUESTREO ]]=0,"",TEXT(Tabla2[[#This Row],[FECHA DE MUESTREO ]],("MMMM"))))</f>
        <v/>
      </c>
      <c r="U1472" s="6"/>
      <c r="W14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2" s="7">
        <f t="shared" si="43"/>
        <v>1</v>
      </c>
    </row>
    <row r="1473" spans="10:24" x14ac:dyDescent="0.25">
      <c r="J1473" s="5" t="str">
        <f>IFERROR(VLOOKUP(I1473,[1]INFO_LOCALES!$B:$C,2,FALSE),"")</f>
        <v/>
      </c>
      <c r="K1473" s="5" t="str">
        <f>IFERROR(VLOOKUP(Tabla2[[#This Row],[TIENDA]],[1]INFO_LOCALES!$B:$D,3,FALSE),"")</f>
        <v/>
      </c>
      <c r="L1473" s="5" t="str">
        <f>IFERROR(VLOOKUP(I1473,[1]INFO_LOCALES!$B:$I,8,FALSE),"")</f>
        <v/>
      </c>
      <c r="M1473" s="5" t="str">
        <f>IFERROR(VLOOKUP(I1473,[1]INFO_LOCALES!$B:$H,7,FALSE),"")</f>
        <v/>
      </c>
      <c r="N1473" s="5" t="str">
        <f>IFERROR(VLOOKUP(I1473,[1]INFO_LOCALES!$B:$E,4,FALSE),"")</f>
        <v/>
      </c>
      <c r="O1473" s="5" t="e">
        <f>VLOOKUP(Tabla2[[#This Row],[TIENDA]],[1]INFO_LOCALES!$B:$J,9,0)</f>
        <v>#N/A</v>
      </c>
      <c r="P1473" s="5" t="str">
        <f>IFERROR(VLOOKUP(I1473,[1]INFO_LOCALES!$B:$F,5,FALSE),"")</f>
        <v/>
      </c>
      <c r="S1473" s="6"/>
      <c r="T1473" s="5" t="str">
        <f>UPPER(IF(Tabla2[[#This Row],[FECHA DE MUESTREO ]]=0,"",TEXT(Tabla2[[#This Row],[FECHA DE MUESTREO ]],("MMMM"))))</f>
        <v/>
      </c>
      <c r="U1473" s="6"/>
      <c r="W14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3" s="7">
        <f t="shared" si="43"/>
        <v>1</v>
      </c>
    </row>
    <row r="1474" spans="10:24" x14ac:dyDescent="0.25">
      <c r="J1474" s="5" t="str">
        <f>IFERROR(VLOOKUP(I1474,[1]INFO_LOCALES!$B:$C,2,FALSE),"")</f>
        <v/>
      </c>
      <c r="K1474" s="5" t="str">
        <f>IFERROR(VLOOKUP(Tabla2[[#This Row],[TIENDA]],[1]INFO_LOCALES!$B:$D,3,FALSE),"")</f>
        <v/>
      </c>
      <c r="L1474" s="5" t="str">
        <f>IFERROR(VLOOKUP(I1474,[1]INFO_LOCALES!$B:$I,8,FALSE),"")</f>
        <v/>
      </c>
      <c r="M1474" s="5" t="str">
        <f>IFERROR(VLOOKUP(I1474,[1]INFO_LOCALES!$B:$H,7,FALSE),"")</f>
        <v/>
      </c>
      <c r="N1474" s="5" t="str">
        <f>IFERROR(VLOOKUP(I1474,[1]INFO_LOCALES!$B:$E,4,FALSE),"")</f>
        <v/>
      </c>
      <c r="O1474" s="5" t="e">
        <f>VLOOKUP(Tabla2[[#This Row],[TIENDA]],[1]INFO_LOCALES!$B:$J,9,0)</f>
        <v>#N/A</v>
      </c>
      <c r="P1474" s="5" t="str">
        <f>IFERROR(VLOOKUP(I1474,[1]INFO_LOCALES!$B:$F,5,FALSE),"")</f>
        <v/>
      </c>
      <c r="S1474" s="6"/>
      <c r="T1474" s="5" t="str">
        <f>UPPER(IF(Tabla2[[#This Row],[FECHA DE MUESTREO ]]=0,"",TEXT(Tabla2[[#This Row],[FECHA DE MUESTREO ]],("MMMM"))))</f>
        <v/>
      </c>
      <c r="U1474" s="6"/>
      <c r="W14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4" s="7">
        <f t="shared" si="43"/>
        <v>1</v>
      </c>
    </row>
    <row r="1475" spans="10:24" x14ac:dyDescent="0.25">
      <c r="J1475" s="5" t="str">
        <f>IFERROR(VLOOKUP(I1475,[1]INFO_LOCALES!$B:$C,2,FALSE),"")</f>
        <v/>
      </c>
      <c r="K1475" s="5" t="str">
        <f>IFERROR(VLOOKUP(Tabla2[[#This Row],[TIENDA]],[1]INFO_LOCALES!$B:$D,3,FALSE),"")</f>
        <v/>
      </c>
      <c r="L1475" s="5" t="str">
        <f>IFERROR(VLOOKUP(I1475,[1]INFO_LOCALES!$B:$I,8,FALSE),"")</f>
        <v/>
      </c>
      <c r="M1475" s="5" t="str">
        <f>IFERROR(VLOOKUP(I1475,[1]INFO_LOCALES!$B:$H,7,FALSE),"")</f>
        <v/>
      </c>
      <c r="N1475" s="5" t="str">
        <f>IFERROR(VLOOKUP(I1475,[1]INFO_LOCALES!$B:$E,4,FALSE),"")</f>
        <v/>
      </c>
      <c r="O1475" s="5" t="e">
        <f>VLOOKUP(Tabla2[[#This Row],[TIENDA]],[1]INFO_LOCALES!$B:$J,9,0)</f>
        <v>#N/A</v>
      </c>
      <c r="P1475" s="5" t="str">
        <f>IFERROR(VLOOKUP(I1475,[1]INFO_LOCALES!$B:$F,5,FALSE),"")</f>
        <v/>
      </c>
      <c r="S1475" s="6"/>
      <c r="T1475" s="5" t="str">
        <f>UPPER(IF(Tabla2[[#This Row],[FECHA DE MUESTREO ]]=0,"",TEXT(Tabla2[[#This Row],[FECHA DE MUESTREO ]],("MMMM"))))</f>
        <v/>
      </c>
      <c r="U1475" s="6"/>
      <c r="W14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5" s="7">
        <f t="shared" si="43"/>
        <v>1</v>
      </c>
    </row>
    <row r="1476" spans="10:24" x14ac:dyDescent="0.25">
      <c r="J1476" s="5" t="str">
        <f>IFERROR(VLOOKUP(I1476,[1]INFO_LOCALES!$B:$C,2,FALSE),"")</f>
        <v/>
      </c>
      <c r="K1476" s="5" t="str">
        <f>IFERROR(VLOOKUP(Tabla2[[#This Row],[TIENDA]],[1]INFO_LOCALES!$B:$D,3,FALSE),"")</f>
        <v/>
      </c>
      <c r="L1476" s="5" t="str">
        <f>IFERROR(VLOOKUP(I1476,[1]INFO_LOCALES!$B:$I,8,FALSE),"")</f>
        <v/>
      </c>
      <c r="M1476" s="5" t="str">
        <f>IFERROR(VLOOKUP(I1476,[1]INFO_LOCALES!$B:$H,7,FALSE),"")</f>
        <v/>
      </c>
      <c r="N1476" s="5" t="str">
        <f>IFERROR(VLOOKUP(I1476,[1]INFO_LOCALES!$B:$E,4,FALSE),"")</f>
        <v/>
      </c>
      <c r="O1476" s="5" t="e">
        <f>VLOOKUP(Tabla2[[#This Row],[TIENDA]],[1]INFO_LOCALES!$B:$J,9,0)</f>
        <v>#N/A</v>
      </c>
      <c r="P1476" s="5" t="str">
        <f>IFERROR(VLOOKUP(I1476,[1]INFO_LOCALES!$B:$F,5,FALSE),"")</f>
        <v/>
      </c>
      <c r="S1476" s="6"/>
      <c r="T1476" s="5" t="str">
        <f>UPPER(IF(Tabla2[[#This Row],[FECHA DE MUESTREO ]]=0,"",TEXT(Tabla2[[#This Row],[FECHA DE MUESTREO ]],("MMMM"))))</f>
        <v/>
      </c>
      <c r="U1476" s="6"/>
      <c r="W14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6" s="7">
        <f t="shared" si="43"/>
        <v>1</v>
      </c>
    </row>
    <row r="1477" spans="10:24" x14ac:dyDescent="0.25">
      <c r="J1477" s="5" t="str">
        <f>IFERROR(VLOOKUP(I1477,[1]INFO_LOCALES!$B:$C,2,FALSE),"")</f>
        <v/>
      </c>
      <c r="K1477" s="5" t="str">
        <f>IFERROR(VLOOKUP(Tabla2[[#This Row],[TIENDA]],[1]INFO_LOCALES!$B:$D,3,FALSE),"")</f>
        <v/>
      </c>
      <c r="L1477" s="5" t="str">
        <f>IFERROR(VLOOKUP(I1477,[1]INFO_LOCALES!$B:$I,8,FALSE),"")</f>
        <v/>
      </c>
      <c r="M1477" s="5" t="str">
        <f>IFERROR(VLOOKUP(I1477,[1]INFO_LOCALES!$B:$H,7,FALSE),"")</f>
        <v/>
      </c>
      <c r="N1477" s="5" t="str">
        <f>IFERROR(VLOOKUP(I1477,[1]INFO_LOCALES!$B:$E,4,FALSE),"")</f>
        <v/>
      </c>
      <c r="O1477" s="5" t="e">
        <f>VLOOKUP(Tabla2[[#This Row],[TIENDA]],[1]INFO_LOCALES!$B:$J,9,0)</f>
        <v>#N/A</v>
      </c>
      <c r="P1477" s="5" t="str">
        <f>IFERROR(VLOOKUP(I1477,[1]INFO_LOCALES!$B:$F,5,FALSE),"")</f>
        <v/>
      </c>
      <c r="S1477" s="6"/>
      <c r="T1477" s="5" t="str">
        <f>UPPER(IF(Tabla2[[#This Row],[FECHA DE MUESTREO ]]=0,"",TEXT(Tabla2[[#This Row],[FECHA DE MUESTREO ]],("MMMM"))))</f>
        <v/>
      </c>
      <c r="U1477" s="6"/>
      <c r="W14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7" s="7">
        <f t="shared" si="43"/>
        <v>1</v>
      </c>
    </row>
    <row r="1478" spans="10:24" x14ac:dyDescent="0.25">
      <c r="J1478" s="5" t="str">
        <f>IFERROR(VLOOKUP(I1478,[1]INFO_LOCALES!$B:$C,2,FALSE),"")</f>
        <v/>
      </c>
      <c r="K1478" s="5" t="str">
        <f>IFERROR(VLOOKUP(Tabla2[[#This Row],[TIENDA]],[1]INFO_LOCALES!$B:$D,3,FALSE),"")</f>
        <v/>
      </c>
      <c r="L1478" s="5" t="str">
        <f>IFERROR(VLOOKUP(I1478,[1]INFO_LOCALES!$B:$I,8,FALSE),"")</f>
        <v/>
      </c>
      <c r="M1478" s="5" t="str">
        <f>IFERROR(VLOOKUP(I1478,[1]INFO_LOCALES!$B:$H,7,FALSE),"")</f>
        <v/>
      </c>
      <c r="N1478" s="5" t="str">
        <f>IFERROR(VLOOKUP(I1478,[1]INFO_LOCALES!$B:$E,4,FALSE),"")</f>
        <v/>
      </c>
      <c r="O1478" s="5" t="e">
        <f>VLOOKUP(Tabla2[[#This Row],[TIENDA]],[1]INFO_LOCALES!$B:$J,9,0)</f>
        <v>#N/A</v>
      </c>
      <c r="P1478" s="5" t="str">
        <f>IFERROR(VLOOKUP(I1478,[1]INFO_LOCALES!$B:$F,5,FALSE),"")</f>
        <v/>
      </c>
      <c r="S1478" s="6"/>
      <c r="T1478" s="5" t="str">
        <f>UPPER(IF(Tabla2[[#This Row],[FECHA DE MUESTREO ]]=0,"",TEXT(Tabla2[[#This Row],[FECHA DE MUESTREO ]],("MMMM"))))</f>
        <v/>
      </c>
      <c r="U1478" s="6"/>
      <c r="W14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8" s="7">
        <f t="shared" si="43"/>
        <v>1</v>
      </c>
    </row>
    <row r="1479" spans="10:24" x14ac:dyDescent="0.25">
      <c r="J1479" s="5" t="str">
        <f>IFERROR(VLOOKUP(I1479,[1]INFO_LOCALES!$B:$C,2,FALSE),"")</f>
        <v/>
      </c>
      <c r="K1479" s="5" t="str">
        <f>IFERROR(VLOOKUP(Tabla2[[#This Row],[TIENDA]],[1]INFO_LOCALES!$B:$D,3,FALSE),"")</f>
        <v/>
      </c>
      <c r="L1479" s="5" t="str">
        <f>IFERROR(VLOOKUP(I1479,[1]INFO_LOCALES!$B:$I,8,FALSE),"")</f>
        <v/>
      </c>
      <c r="M1479" s="5" t="str">
        <f>IFERROR(VLOOKUP(I1479,[1]INFO_LOCALES!$B:$H,7,FALSE),"")</f>
        <v/>
      </c>
      <c r="N1479" s="5" t="str">
        <f>IFERROR(VLOOKUP(I1479,[1]INFO_LOCALES!$B:$E,4,FALSE),"")</f>
        <v/>
      </c>
      <c r="O1479" s="5" t="e">
        <f>VLOOKUP(Tabla2[[#This Row],[TIENDA]],[1]INFO_LOCALES!$B:$J,9,0)</f>
        <v>#N/A</v>
      </c>
      <c r="P1479" s="5" t="str">
        <f>IFERROR(VLOOKUP(I1479,[1]INFO_LOCALES!$B:$F,5,FALSE),"")</f>
        <v/>
      </c>
      <c r="S1479" s="6"/>
      <c r="T1479" s="5" t="str">
        <f>UPPER(IF(Tabla2[[#This Row],[FECHA DE MUESTREO ]]=0,"",TEXT(Tabla2[[#This Row],[FECHA DE MUESTREO ]],("MMMM"))))</f>
        <v/>
      </c>
      <c r="U1479" s="6"/>
      <c r="W14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79" s="7">
        <f t="shared" si="43"/>
        <v>1</v>
      </c>
    </row>
    <row r="1480" spans="10:24" x14ac:dyDescent="0.25">
      <c r="J1480" s="5" t="str">
        <f>IFERROR(VLOOKUP(I1480,[1]INFO_LOCALES!$B:$C,2,FALSE),"")</f>
        <v/>
      </c>
      <c r="K1480" s="5" t="str">
        <f>IFERROR(VLOOKUP(Tabla2[[#This Row],[TIENDA]],[1]INFO_LOCALES!$B:$D,3,FALSE),"")</f>
        <v/>
      </c>
      <c r="L1480" s="5" t="str">
        <f>IFERROR(VLOOKUP(I1480,[1]INFO_LOCALES!$B:$I,8,FALSE),"")</f>
        <v/>
      </c>
      <c r="M1480" s="5" t="str">
        <f>IFERROR(VLOOKUP(I1480,[1]INFO_LOCALES!$B:$H,7,FALSE),"")</f>
        <v/>
      </c>
      <c r="N1480" s="5" t="str">
        <f>IFERROR(VLOOKUP(I1480,[1]INFO_LOCALES!$B:$E,4,FALSE),"")</f>
        <v/>
      </c>
      <c r="O1480" s="5" t="e">
        <f>VLOOKUP(Tabla2[[#This Row],[TIENDA]],[1]INFO_LOCALES!$B:$J,9,0)</f>
        <v>#N/A</v>
      </c>
      <c r="P1480" s="5" t="str">
        <f>IFERROR(VLOOKUP(I1480,[1]INFO_LOCALES!$B:$F,5,FALSE),"")</f>
        <v/>
      </c>
      <c r="S1480" s="6"/>
      <c r="T1480" s="5" t="str">
        <f>UPPER(IF(Tabla2[[#This Row],[FECHA DE MUESTREO ]]=0,"",TEXT(Tabla2[[#This Row],[FECHA DE MUESTREO ]],("MMMM"))))</f>
        <v/>
      </c>
      <c r="U1480" s="6"/>
      <c r="W14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0" s="7">
        <f t="shared" si="43"/>
        <v>1</v>
      </c>
    </row>
    <row r="1481" spans="10:24" x14ac:dyDescent="0.25">
      <c r="J1481" s="5" t="str">
        <f>IFERROR(VLOOKUP(I1481,[1]INFO_LOCALES!$B:$C,2,FALSE),"")</f>
        <v/>
      </c>
      <c r="K1481" s="5" t="str">
        <f>IFERROR(VLOOKUP(Tabla2[[#This Row],[TIENDA]],[1]INFO_LOCALES!$B:$D,3,FALSE),"")</f>
        <v/>
      </c>
      <c r="L1481" s="5" t="str">
        <f>IFERROR(VLOOKUP(I1481,[1]INFO_LOCALES!$B:$I,8,FALSE),"")</f>
        <v/>
      </c>
      <c r="M1481" s="5" t="str">
        <f>IFERROR(VLOOKUP(I1481,[1]INFO_LOCALES!$B:$H,7,FALSE),"")</f>
        <v/>
      </c>
      <c r="N1481" s="5" t="str">
        <f>IFERROR(VLOOKUP(I1481,[1]INFO_LOCALES!$B:$E,4,FALSE),"")</f>
        <v/>
      </c>
      <c r="O1481" s="5" t="e">
        <f>VLOOKUP(Tabla2[[#This Row],[TIENDA]],[1]INFO_LOCALES!$B:$J,9,0)</f>
        <v>#N/A</v>
      </c>
      <c r="P1481" s="5" t="str">
        <f>IFERROR(VLOOKUP(I1481,[1]INFO_LOCALES!$B:$F,5,FALSE),"")</f>
        <v/>
      </c>
      <c r="S1481" s="6"/>
      <c r="T1481" s="5" t="str">
        <f>UPPER(IF(Tabla2[[#This Row],[FECHA DE MUESTREO ]]=0,"",TEXT(Tabla2[[#This Row],[FECHA DE MUESTREO ]],("MMMM"))))</f>
        <v/>
      </c>
      <c r="U1481" s="6"/>
      <c r="W14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1" s="7">
        <f t="shared" si="43"/>
        <v>1</v>
      </c>
    </row>
    <row r="1482" spans="10:24" x14ac:dyDescent="0.25">
      <c r="J1482" s="5" t="str">
        <f>IFERROR(VLOOKUP(I1482,[1]INFO_LOCALES!$B:$C,2,FALSE),"")</f>
        <v/>
      </c>
      <c r="K1482" s="5" t="str">
        <f>IFERROR(VLOOKUP(Tabla2[[#This Row],[TIENDA]],[1]INFO_LOCALES!$B:$D,3,FALSE),"")</f>
        <v/>
      </c>
      <c r="L1482" s="5" t="str">
        <f>IFERROR(VLOOKUP(I1482,[1]INFO_LOCALES!$B:$I,8,FALSE),"")</f>
        <v/>
      </c>
      <c r="M1482" s="5" t="str">
        <f>IFERROR(VLOOKUP(I1482,[1]INFO_LOCALES!$B:$H,7,FALSE),"")</f>
        <v/>
      </c>
      <c r="N1482" s="5" t="str">
        <f>IFERROR(VLOOKUP(I1482,[1]INFO_LOCALES!$B:$E,4,FALSE),"")</f>
        <v/>
      </c>
      <c r="O1482" s="5" t="e">
        <f>VLOOKUP(Tabla2[[#This Row],[TIENDA]],[1]INFO_LOCALES!$B:$J,9,0)</f>
        <v>#N/A</v>
      </c>
      <c r="P1482" s="5" t="str">
        <f>IFERROR(VLOOKUP(I1482,[1]INFO_LOCALES!$B:$F,5,FALSE),"")</f>
        <v/>
      </c>
      <c r="S1482" s="6"/>
      <c r="T1482" s="5" t="str">
        <f>UPPER(IF(Tabla2[[#This Row],[FECHA DE MUESTREO ]]=0,"",TEXT(Tabla2[[#This Row],[FECHA DE MUESTREO ]],("MMMM"))))</f>
        <v/>
      </c>
      <c r="U1482" s="6"/>
      <c r="W14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2" s="7">
        <f t="shared" si="43"/>
        <v>1</v>
      </c>
    </row>
    <row r="1483" spans="10:24" x14ac:dyDescent="0.25">
      <c r="J1483" s="5" t="str">
        <f>IFERROR(VLOOKUP(I1483,[1]INFO_LOCALES!$B:$C,2,FALSE),"")</f>
        <v/>
      </c>
      <c r="K1483" s="5" t="str">
        <f>IFERROR(VLOOKUP(Tabla2[[#This Row],[TIENDA]],[1]INFO_LOCALES!$B:$D,3,FALSE),"")</f>
        <v/>
      </c>
      <c r="L1483" s="5" t="str">
        <f>IFERROR(VLOOKUP(I1483,[1]INFO_LOCALES!$B:$I,8,FALSE),"")</f>
        <v/>
      </c>
      <c r="M1483" s="5" t="str">
        <f>IFERROR(VLOOKUP(I1483,[1]INFO_LOCALES!$B:$H,7,FALSE),"")</f>
        <v/>
      </c>
      <c r="N1483" s="5" t="str">
        <f>IFERROR(VLOOKUP(I1483,[1]INFO_LOCALES!$B:$E,4,FALSE),"")</f>
        <v/>
      </c>
      <c r="O1483" s="5" t="e">
        <f>VLOOKUP(Tabla2[[#This Row],[TIENDA]],[1]INFO_LOCALES!$B:$J,9,0)</f>
        <v>#N/A</v>
      </c>
      <c r="P1483" s="5" t="str">
        <f>IFERROR(VLOOKUP(I1483,[1]INFO_LOCALES!$B:$F,5,FALSE),"")</f>
        <v/>
      </c>
      <c r="S1483" s="6"/>
      <c r="T1483" s="5" t="str">
        <f>UPPER(IF(Tabla2[[#This Row],[FECHA DE MUESTREO ]]=0,"",TEXT(Tabla2[[#This Row],[FECHA DE MUESTREO ]],("MMMM"))))</f>
        <v/>
      </c>
      <c r="U1483" s="6"/>
      <c r="W14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3" s="7">
        <f t="shared" si="43"/>
        <v>1</v>
      </c>
    </row>
    <row r="1484" spans="10:24" x14ac:dyDescent="0.25">
      <c r="J1484" s="5" t="str">
        <f>IFERROR(VLOOKUP(I1484,[1]INFO_LOCALES!$B:$C,2,FALSE),"")</f>
        <v/>
      </c>
      <c r="K1484" s="5" t="str">
        <f>IFERROR(VLOOKUP(Tabla2[[#This Row],[TIENDA]],[1]INFO_LOCALES!$B:$D,3,FALSE),"")</f>
        <v/>
      </c>
      <c r="L1484" s="5" t="str">
        <f>IFERROR(VLOOKUP(I1484,[1]INFO_LOCALES!$B:$I,8,FALSE),"")</f>
        <v/>
      </c>
      <c r="M1484" s="5" t="str">
        <f>IFERROR(VLOOKUP(I1484,[1]INFO_LOCALES!$B:$H,7,FALSE),"")</f>
        <v/>
      </c>
      <c r="N1484" s="5" t="str">
        <f>IFERROR(VLOOKUP(I1484,[1]INFO_LOCALES!$B:$E,4,FALSE),"")</f>
        <v/>
      </c>
      <c r="O1484" s="5" t="e">
        <f>VLOOKUP(Tabla2[[#This Row],[TIENDA]],[1]INFO_LOCALES!$B:$J,9,0)</f>
        <v>#N/A</v>
      </c>
      <c r="P1484" s="5" t="str">
        <f>IFERROR(VLOOKUP(I1484,[1]INFO_LOCALES!$B:$F,5,FALSE),"")</f>
        <v/>
      </c>
      <c r="S1484" s="6"/>
      <c r="T1484" s="5" t="str">
        <f>UPPER(IF(Tabla2[[#This Row],[FECHA DE MUESTREO ]]=0,"",TEXT(Tabla2[[#This Row],[FECHA DE MUESTREO ]],("MMMM"))))</f>
        <v/>
      </c>
      <c r="U1484" s="6"/>
      <c r="W14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4" s="7">
        <f t="shared" si="43"/>
        <v>1</v>
      </c>
    </row>
    <row r="1485" spans="10:24" x14ac:dyDescent="0.25">
      <c r="J1485" s="5" t="str">
        <f>IFERROR(VLOOKUP(I1485,[1]INFO_LOCALES!$B:$C,2,FALSE),"")</f>
        <v/>
      </c>
      <c r="K1485" s="5" t="str">
        <f>IFERROR(VLOOKUP(Tabla2[[#This Row],[TIENDA]],[1]INFO_LOCALES!$B:$D,3,FALSE),"")</f>
        <v/>
      </c>
      <c r="L1485" s="5" t="str">
        <f>IFERROR(VLOOKUP(I1485,[1]INFO_LOCALES!$B:$I,8,FALSE),"")</f>
        <v/>
      </c>
      <c r="M1485" s="5" t="str">
        <f>IFERROR(VLOOKUP(I1485,[1]INFO_LOCALES!$B:$H,7,FALSE),"")</f>
        <v/>
      </c>
      <c r="N1485" s="5" t="str">
        <f>IFERROR(VLOOKUP(I1485,[1]INFO_LOCALES!$B:$E,4,FALSE),"")</f>
        <v/>
      </c>
      <c r="O1485" s="5" t="e">
        <f>VLOOKUP(Tabla2[[#This Row],[TIENDA]],[1]INFO_LOCALES!$B:$J,9,0)</f>
        <v>#N/A</v>
      </c>
      <c r="P1485" s="5" t="str">
        <f>IFERROR(VLOOKUP(I1485,[1]INFO_LOCALES!$B:$F,5,FALSE),"")</f>
        <v/>
      </c>
      <c r="S1485" s="6"/>
      <c r="T1485" s="5" t="str">
        <f>UPPER(IF(Tabla2[[#This Row],[FECHA DE MUESTREO ]]=0,"",TEXT(Tabla2[[#This Row],[FECHA DE MUESTREO ]],("MMMM"))))</f>
        <v/>
      </c>
      <c r="U1485" s="6"/>
      <c r="W14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5" s="7">
        <f t="shared" si="43"/>
        <v>1</v>
      </c>
    </row>
    <row r="1486" spans="10:24" x14ac:dyDescent="0.25">
      <c r="J1486" s="5" t="str">
        <f>IFERROR(VLOOKUP(I1486,[1]INFO_LOCALES!$B:$C,2,FALSE),"")</f>
        <v/>
      </c>
      <c r="K1486" s="5" t="str">
        <f>IFERROR(VLOOKUP(Tabla2[[#This Row],[TIENDA]],[1]INFO_LOCALES!$B:$D,3,FALSE),"")</f>
        <v/>
      </c>
      <c r="L1486" s="5" t="str">
        <f>IFERROR(VLOOKUP(I1486,[1]INFO_LOCALES!$B:$I,8,FALSE),"")</f>
        <v/>
      </c>
      <c r="M1486" s="5" t="str">
        <f>IFERROR(VLOOKUP(I1486,[1]INFO_LOCALES!$B:$H,7,FALSE),"")</f>
        <v/>
      </c>
      <c r="N1486" s="5" t="str">
        <f>IFERROR(VLOOKUP(I1486,[1]INFO_LOCALES!$B:$E,4,FALSE),"")</f>
        <v/>
      </c>
      <c r="O1486" s="5" t="e">
        <f>VLOOKUP(Tabla2[[#This Row],[TIENDA]],[1]INFO_LOCALES!$B:$J,9,0)</f>
        <v>#N/A</v>
      </c>
      <c r="P1486" s="5" t="str">
        <f>IFERROR(VLOOKUP(I1486,[1]INFO_LOCALES!$B:$F,5,FALSE),"")</f>
        <v/>
      </c>
      <c r="S1486" s="6"/>
      <c r="T1486" s="5" t="str">
        <f>UPPER(IF(Tabla2[[#This Row],[FECHA DE MUESTREO ]]=0,"",TEXT(Tabla2[[#This Row],[FECHA DE MUESTREO ]],("MMMM"))))</f>
        <v/>
      </c>
      <c r="U1486" s="6"/>
      <c r="W14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6" s="7">
        <f t="shared" si="43"/>
        <v>1</v>
      </c>
    </row>
    <row r="1487" spans="10:24" x14ac:dyDescent="0.25">
      <c r="J1487" s="5" t="str">
        <f>IFERROR(VLOOKUP(I1487,[1]INFO_LOCALES!$B:$C,2,FALSE),"")</f>
        <v/>
      </c>
      <c r="K1487" s="5" t="str">
        <f>IFERROR(VLOOKUP(Tabla2[[#This Row],[TIENDA]],[1]INFO_LOCALES!$B:$D,3,FALSE),"")</f>
        <v/>
      </c>
      <c r="L1487" s="5" t="str">
        <f>IFERROR(VLOOKUP(I1487,[1]INFO_LOCALES!$B:$I,8,FALSE),"")</f>
        <v/>
      </c>
      <c r="M1487" s="5" t="str">
        <f>IFERROR(VLOOKUP(I1487,[1]INFO_LOCALES!$B:$H,7,FALSE),"")</f>
        <v/>
      </c>
      <c r="N1487" s="5" t="str">
        <f>IFERROR(VLOOKUP(I1487,[1]INFO_LOCALES!$B:$E,4,FALSE),"")</f>
        <v/>
      </c>
      <c r="O1487" s="5" t="e">
        <f>VLOOKUP(Tabla2[[#This Row],[TIENDA]],[1]INFO_LOCALES!$B:$J,9,0)</f>
        <v>#N/A</v>
      </c>
      <c r="P1487" s="5" t="str">
        <f>IFERROR(VLOOKUP(I1487,[1]INFO_LOCALES!$B:$F,5,FALSE),"")</f>
        <v/>
      </c>
      <c r="S1487" s="6"/>
      <c r="T1487" s="5" t="str">
        <f>UPPER(IF(Tabla2[[#This Row],[FECHA DE MUESTREO ]]=0,"",TEXT(Tabla2[[#This Row],[FECHA DE MUESTREO ]],("MMMM"))))</f>
        <v/>
      </c>
      <c r="U1487" s="6"/>
      <c r="W14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7" s="7">
        <f t="shared" si="43"/>
        <v>1</v>
      </c>
    </row>
    <row r="1488" spans="10:24" x14ac:dyDescent="0.25">
      <c r="J1488" s="5" t="str">
        <f>IFERROR(VLOOKUP(I1488,[1]INFO_LOCALES!$B:$C,2,FALSE),"")</f>
        <v/>
      </c>
      <c r="K1488" s="5" t="str">
        <f>IFERROR(VLOOKUP(Tabla2[[#This Row],[TIENDA]],[1]INFO_LOCALES!$B:$D,3,FALSE),"")</f>
        <v/>
      </c>
      <c r="L1488" s="5" t="str">
        <f>IFERROR(VLOOKUP(I1488,[1]INFO_LOCALES!$B:$I,8,FALSE),"")</f>
        <v/>
      </c>
      <c r="M1488" s="5" t="str">
        <f>IFERROR(VLOOKUP(I1488,[1]INFO_LOCALES!$B:$H,7,FALSE),"")</f>
        <v/>
      </c>
      <c r="N1488" s="5" t="str">
        <f>IFERROR(VLOOKUP(I1488,[1]INFO_LOCALES!$B:$E,4,FALSE),"")</f>
        <v/>
      </c>
      <c r="O1488" s="5" t="e">
        <f>VLOOKUP(Tabla2[[#This Row],[TIENDA]],[1]INFO_LOCALES!$B:$J,9,0)</f>
        <v>#N/A</v>
      </c>
      <c r="P1488" s="5" t="str">
        <f>IFERROR(VLOOKUP(I1488,[1]INFO_LOCALES!$B:$F,5,FALSE),"")</f>
        <v/>
      </c>
      <c r="S1488" s="6"/>
      <c r="T1488" s="5" t="str">
        <f>UPPER(IF(Tabla2[[#This Row],[FECHA DE MUESTREO ]]=0,"",TEXT(Tabla2[[#This Row],[FECHA DE MUESTREO ]],("MMMM"))))</f>
        <v/>
      </c>
      <c r="U1488" s="6"/>
      <c r="W14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8" s="7">
        <f t="shared" si="43"/>
        <v>1</v>
      </c>
    </row>
    <row r="1489" spans="10:24" x14ac:dyDescent="0.25">
      <c r="J1489" s="5" t="str">
        <f>IFERROR(VLOOKUP(I1489,[1]INFO_LOCALES!$B:$C,2,FALSE),"")</f>
        <v/>
      </c>
      <c r="K1489" s="5" t="str">
        <f>IFERROR(VLOOKUP(Tabla2[[#This Row],[TIENDA]],[1]INFO_LOCALES!$B:$D,3,FALSE),"")</f>
        <v/>
      </c>
      <c r="L1489" s="5" t="str">
        <f>IFERROR(VLOOKUP(I1489,[1]INFO_LOCALES!$B:$I,8,FALSE),"")</f>
        <v/>
      </c>
      <c r="M1489" s="5" t="str">
        <f>IFERROR(VLOOKUP(I1489,[1]INFO_LOCALES!$B:$H,7,FALSE),"")</f>
        <v/>
      </c>
      <c r="N1489" s="5" t="str">
        <f>IFERROR(VLOOKUP(I1489,[1]INFO_LOCALES!$B:$E,4,FALSE),"")</f>
        <v/>
      </c>
      <c r="O1489" s="5" t="e">
        <f>VLOOKUP(Tabla2[[#This Row],[TIENDA]],[1]INFO_LOCALES!$B:$J,9,0)</f>
        <v>#N/A</v>
      </c>
      <c r="P1489" s="5" t="str">
        <f>IFERROR(VLOOKUP(I1489,[1]INFO_LOCALES!$B:$F,5,FALSE),"")</f>
        <v/>
      </c>
      <c r="S1489" s="6"/>
      <c r="T1489" s="5" t="str">
        <f>UPPER(IF(Tabla2[[#This Row],[FECHA DE MUESTREO ]]=0,"",TEXT(Tabla2[[#This Row],[FECHA DE MUESTREO ]],("MMMM"))))</f>
        <v/>
      </c>
      <c r="U1489" s="6"/>
      <c r="W14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89" s="7">
        <f t="shared" si="43"/>
        <v>1</v>
      </c>
    </row>
    <row r="1490" spans="10:24" x14ac:dyDescent="0.25">
      <c r="J1490" s="5" t="str">
        <f>IFERROR(VLOOKUP(I1490,[1]INFO_LOCALES!$B:$C,2,FALSE),"")</f>
        <v/>
      </c>
      <c r="K1490" s="5" t="str">
        <f>IFERROR(VLOOKUP(Tabla2[[#This Row],[TIENDA]],[1]INFO_LOCALES!$B:$D,3,FALSE),"")</f>
        <v/>
      </c>
      <c r="L1490" s="5" t="str">
        <f>IFERROR(VLOOKUP(I1490,[1]INFO_LOCALES!$B:$I,8,FALSE),"")</f>
        <v/>
      </c>
      <c r="M1490" s="5" t="str">
        <f>IFERROR(VLOOKUP(I1490,[1]INFO_LOCALES!$B:$H,7,FALSE),"")</f>
        <v/>
      </c>
      <c r="N1490" s="5" t="str">
        <f>IFERROR(VLOOKUP(I1490,[1]INFO_LOCALES!$B:$E,4,FALSE),"")</f>
        <v/>
      </c>
      <c r="O1490" s="5" t="e">
        <f>VLOOKUP(Tabla2[[#This Row],[TIENDA]],[1]INFO_LOCALES!$B:$J,9,0)</f>
        <v>#N/A</v>
      </c>
      <c r="P1490" s="5" t="str">
        <f>IFERROR(VLOOKUP(I1490,[1]INFO_LOCALES!$B:$F,5,FALSE),"")</f>
        <v/>
      </c>
      <c r="S1490" s="6"/>
      <c r="T1490" s="5" t="str">
        <f>UPPER(IF(Tabla2[[#This Row],[FECHA DE MUESTREO ]]=0,"",TEXT(Tabla2[[#This Row],[FECHA DE MUESTREO ]],("MMMM"))))</f>
        <v/>
      </c>
      <c r="U1490" s="6"/>
      <c r="W14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0" s="7">
        <f t="shared" si="43"/>
        <v>1</v>
      </c>
    </row>
    <row r="1491" spans="10:24" x14ac:dyDescent="0.25">
      <c r="J1491" s="5" t="str">
        <f>IFERROR(VLOOKUP(I1491,[1]INFO_LOCALES!$B:$C,2,FALSE),"")</f>
        <v/>
      </c>
      <c r="K1491" s="5" t="str">
        <f>IFERROR(VLOOKUP(Tabla2[[#This Row],[TIENDA]],[1]INFO_LOCALES!$B:$D,3,FALSE),"")</f>
        <v/>
      </c>
      <c r="L1491" s="5" t="str">
        <f>IFERROR(VLOOKUP(I1491,[1]INFO_LOCALES!$B:$I,8,FALSE),"")</f>
        <v/>
      </c>
      <c r="M1491" s="5" t="str">
        <f>IFERROR(VLOOKUP(I1491,[1]INFO_LOCALES!$B:$H,7,FALSE),"")</f>
        <v/>
      </c>
      <c r="N1491" s="5" t="str">
        <f>IFERROR(VLOOKUP(I1491,[1]INFO_LOCALES!$B:$E,4,FALSE),"")</f>
        <v/>
      </c>
      <c r="O1491" s="5" t="e">
        <f>VLOOKUP(Tabla2[[#This Row],[TIENDA]],[1]INFO_LOCALES!$B:$J,9,0)</f>
        <v>#N/A</v>
      </c>
      <c r="P1491" s="5" t="str">
        <f>IFERROR(VLOOKUP(I1491,[1]INFO_LOCALES!$B:$F,5,FALSE),"")</f>
        <v/>
      </c>
      <c r="S1491" s="6"/>
      <c r="T1491" s="5" t="str">
        <f>UPPER(IF(Tabla2[[#This Row],[FECHA DE MUESTREO ]]=0,"",TEXT(Tabla2[[#This Row],[FECHA DE MUESTREO ]],("MMMM"))))</f>
        <v/>
      </c>
      <c r="U1491" s="6"/>
      <c r="W14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1" s="7">
        <f t="shared" si="43"/>
        <v>1</v>
      </c>
    </row>
    <row r="1492" spans="10:24" x14ac:dyDescent="0.25">
      <c r="J1492" s="5" t="str">
        <f>IFERROR(VLOOKUP(I1492,[1]INFO_LOCALES!$B:$C,2,FALSE),"")</f>
        <v/>
      </c>
      <c r="K1492" s="5" t="str">
        <f>IFERROR(VLOOKUP(Tabla2[[#This Row],[TIENDA]],[1]INFO_LOCALES!$B:$D,3,FALSE),"")</f>
        <v/>
      </c>
      <c r="L1492" s="5" t="str">
        <f>IFERROR(VLOOKUP(I1492,[1]INFO_LOCALES!$B:$I,8,FALSE),"")</f>
        <v/>
      </c>
      <c r="M1492" s="5" t="str">
        <f>IFERROR(VLOOKUP(I1492,[1]INFO_LOCALES!$B:$H,7,FALSE),"")</f>
        <v/>
      </c>
      <c r="N1492" s="5" t="str">
        <f>IFERROR(VLOOKUP(I1492,[1]INFO_LOCALES!$B:$E,4,FALSE),"")</f>
        <v/>
      </c>
      <c r="O1492" s="5" t="e">
        <f>VLOOKUP(Tabla2[[#This Row],[TIENDA]],[1]INFO_LOCALES!$B:$J,9,0)</f>
        <v>#N/A</v>
      </c>
      <c r="P1492" s="5" t="str">
        <f>IFERROR(VLOOKUP(I1492,[1]INFO_LOCALES!$B:$F,5,FALSE),"")</f>
        <v/>
      </c>
      <c r="S1492" s="6"/>
      <c r="T1492" s="5" t="str">
        <f>UPPER(IF(Tabla2[[#This Row],[FECHA DE MUESTREO ]]=0,"",TEXT(Tabla2[[#This Row],[FECHA DE MUESTREO ]],("MMMM"))))</f>
        <v/>
      </c>
      <c r="U1492" s="6"/>
      <c r="W14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2" s="7">
        <f t="shared" si="43"/>
        <v>1</v>
      </c>
    </row>
    <row r="1493" spans="10:24" x14ac:dyDescent="0.25">
      <c r="J1493" s="5" t="str">
        <f>IFERROR(VLOOKUP(I1493,[1]INFO_LOCALES!$B:$C,2,FALSE),"")</f>
        <v/>
      </c>
      <c r="K1493" s="5" t="str">
        <f>IFERROR(VLOOKUP(Tabla2[[#This Row],[TIENDA]],[1]INFO_LOCALES!$B:$D,3,FALSE),"")</f>
        <v/>
      </c>
      <c r="L1493" s="5" t="str">
        <f>IFERROR(VLOOKUP(I1493,[1]INFO_LOCALES!$B:$I,8,FALSE),"")</f>
        <v/>
      </c>
      <c r="M1493" s="5" t="str">
        <f>IFERROR(VLOOKUP(I1493,[1]INFO_LOCALES!$B:$H,7,FALSE),"")</f>
        <v/>
      </c>
      <c r="N1493" s="5" t="str">
        <f>IFERROR(VLOOKUP(I1493,[1]INFO_LOCALES!$B:$E,4,FALSE),"")</f>
        <v/>
      </c>
      <c r="O1493" s="5" t="e">
        <f>VLOOKUP(Tabla2[[#This Row],[TIENDA]],[1]INFO_LOCALES!$B:$J,9,0)</f>
        <v>#N/A</v>
      </c>
      <c r="P1493" s="5" t="str">
        <f>IFERROR(VLOOKUP(I1493,[1]INFO_LOCALES!$B:$F,5,FALSE),"")</f>
        <v/>
      </c>
      <c r="S1493" s="6"/>
      <c r="T1493" s="5" t="str">
        <f>UPPER(IF(Tabla2[[#This Row],[FECHA DE MUESTREO ]]=0,"",TEXT(Tabla2[[#This Row],[FECHA DE MUESTREO ]],("MMMM"))))</f>
        <v/>
      </c>
      <c r="U1493" s="6"/>
      <c r="W14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3" s="7">
        <f t="shared" si="43"/>
        <v>1</v>
      </c>
    </row>
    <row r="1494" spans="10:24" x14ac:dyDescent="0.25">
      <c r="J1494" s="5" t="str">
        <f>IFERROR(VLOOKUP(I1494,[1]INFO_LOCALES!$B:$C,2,FALSE),"")</f>
        <v/>
      </c>
      <c r="K1494" s="5" t="str">
        <f>IFERROR(VLOOKUP(Tabla2[[#This Row],[TIENDA]],[1]INFO_LOCALES!$B:$D,3,FALSE),"")</f>
        <v/>
      </c>
      <c r="L1494" s="5" t="str">
        <f>IFERROR(VLOOKUP(I1494,[1]INFO_LOCALES!$B:$I,8,FALSE),"")</f>
        <v/>
      </c>
      <c r="M1494" s="5" t="str">
        <f>IFERROR(VLOOKUP(I1494,[1]INFO_LOCALES!$B:$H,7,FALSE),"")</f>
        <v/>
      </c>
      <c r="N1494" s="5" t="str">
        <f>IFERROR(VLOOKUP(I1494,[1]INFO_LOCALES!$B:$E,4,FALSE),"")</f>
        <v/>
      </c>
      <c r="O1494" s="5" t="e">
        <f>VLOOKUP(Tabla2[[#This Row],[TIENDA]],[1]INFO_LOCALES!$B:$J,9,0)</f>
        <v>#N/A</v>
      </c>
      <c r="P1494" s="5" t="str">
        <f>IFERROR(VLOOKUP(I1494,[1]INFO_LOCALES!$B:$F,5,FALSE),"")</f>
        <v/>
      </c>
      <c r="S1494" s="6"/>
      <c r="T1494" s="5" t="str">
        <f>UPPER(IF(Tabla2[[#This Row],[FECHA DE MUESTREO ]]=0,"",TEXT(Tabla2[[#This Row],[FECHA DE MUESTREO ]],("MMMM"))))</f>
        <v/>
      </c>
      <c r="U1494" s="6"/>
      <c r="W14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4" s="7">
        <f t="shared" si="43"/>
        <v>1</v>
      </c>
    </row>
    <row r="1495" spans="10:24" x14ac:dyDescent="0.25">
      <c r="J1495" s="5" t="str">
        <f>IFERROR(VLOOKUP(I1495,[1]INFO_LOCALES!$B:$C,2,FALSE),"")</f>
        <v/>
      </c>
      <c r="K1495" s="5" t="str">
        <f>IFERROR(VLOOKUP(Tabla2[[#This Row],[TIENDA]],[1]INFO_LOCALES!$B:$D,3,FALSE),"")</f>
        <v/>
      </c>
      <c r="L1495" s="5" t="str">
        <f>IFERROR(VLOOKUP(I1495,[1]INFO_LOCALES!$B:$I,8,FALSE),"")</f>
        <v/>
      </c>
      <c r="M1495" s="5" t="str">
        <f>IFERROR(VLOOKUP(I1495,[1]INFO_LOCALES!$B:$H,7,FALSE),"")</f>
        <v/>
      </c>
      <c r="N1495" s="5" t="str">
        <f>IFERROR(VLOOKUP(I1495,[1]INFO_LOCALES!$B:$E,4,FALSE),"")</f>
        <v/>
      </c>
      <c r="O1495" s="5" t="e">
        <f>VLOOKUP(Tabla2[[#This Row],[TIENDA]],[1]INFO_LOCALES!$B:$J,9,0)</f>
        <v>#N/A</v>
      </c>
      <c r="P1495" s="5" t="str">
        <f>IFERROR(VLOOKUP(I1495,[1]INFO_LOCALES!$B:$F,5,FALSE),"")</f>
        <v/>
      </c>
      <c r="S1495" s="6"/>
      <c r="T1495" s="5" t="str">
        <f>UPPER(IF(Tabla2[[#This Row],[FECHA DE MUESTREO ]]=0,"",TEXT(Tabla2[[#This Row],[FECHA DE MUESTREO ]],("MMMM"))))</f>
        <v/>
      </c>
      <c r="U1495" s="6"/>
      <c r="W14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5" s="7">
        <f t="shared" si="43"/>
        <v>1</v>
      </c>
    </row>
    <row r="1496" spans="10:24" x14ac:dyDescent="0.25">
      <c r="J1496" s="5" t="str">
        <f>IFERROR(VLOOKUP(I1496,[1]INFO_LOCALES!$B:$C,2,FALSE),"")</f>
        <v/>
      </c>
      <c r="K1496" s="5" t="str">
        <f>IFERROR(VLOOKUP(Tabla2[[#This Row],[TIENDA]],[1]INFO_LOCALES!$B:$D,3,FALSE),"")</f>
        <v/>
      </c>
      <c r="L1496" s="5" t="str">
        <f>IFERROR(VLOOKUP(I1496,[1]INFO_LOCALES!$B:$I,8,FALSE),"")</f>
        <v/>
      </c>
      <c r="M1496" s="5" t="str">
        <f>IFERROR(VLOOKUP(I1496,[1]INFO_LOCALES!$B:$H,7,FALSE),"")</f>
        <v/>
      </c>
      <c r="N1496" s="5" t="str">
        <f>IFERROR(VLOOKUP(I1496,[1]INFO_LOCALES!$B:$E,4,FALSE),"")</f>
        <v/>
      </c>
      <c r="O1496" s="5" t="e">
        <f>VLOOKUP(Tabla2[[#This Row],[TIENDA]],[1]INFO_LOCALES!$B:$J,9,0)</f>
        <v>#N/A</v>
      </c>
      <c r="P1496" s="5" t="str">
        <f>IFERROR(VLOOKUP(I1496,[1]INFO_LOCALES!$B:$F,5,FALSE),"")</f>
        <v/>
      </c>
      <c r="S1496" s="6"/>
      <c r="T1496" s="5" t="str">
        <f>UPPER(IF(Tabla2[[#This Row],[FECHA DE MUESTREO ]]=0,"",TEXT(Tabla2[[#This Row],[FECHA DE MUESTREO ]],("MMMM"))))</f>
        <v/>
      </c>
      <c r="U1496" s="6"/>
      <c r="W14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6" s="7">
        <f t="shared" si="43"/>
        <v>1</v>
      </c>
    </row>
    <row r="1497" spans="10:24" x14ac:dyDescent="0.25">
      <c r="J1497" s="5" t="str">
        <f>IFERROR(VLOOKUP(I1497,[1]INFO_LOCALES!$B:$C,2,FALSE),"")</f>
        <v/>
      </c>
      <c r="K1497" s="5" t="str">
        <f>IFERROR(VLOOKUP(Tabla2[[#This Row],[TIENDA]],[1]INFO_LOCALES!$B:$D,3,FALSE),"")</f>
        <v/>
      </c>
      <c r="L1497" s="5" t="str">
        <f>IFERROR(VLOOKUP(I1497,[1]INFO_LOCALES!$B:$I,8,FALSE),"")</f>
        <v/>
      </c>
      <c r="M1497" s="5" t="str">
        <f>IFERROR(VLOOKUP(I1497,[1]INFO_LOCALES!$B:$H,7,FALSE),"")</f>
        <v/>
      </c>
      <c r="N1497" s="5" t="str">
        <f>IFERROR(VLOOKUP(I1497,[1]INFO_LOCALES!$B:$E,4,FALSE),"")</f>
        <v/>
      </c>
      <c r="O1497" s="5" t="e">
        <f>VLOOKUP(Tabla2[[#This Row],[TIENDA]],[1]INFO_LOCALES!$B:$J,9,0)</f>
        <v>#N/A</v>
      </c>
      <c r="P1497" s="5" t="str">
        <f>IFERROR(VLOOKUP(I1497,[1]INFO_LOCALES!$B:$F,5,FALSE),"")</f>
        <v/>
      </c>
      <c r="S1497" s="6"/>
      <c r="T1497" s="5" t="str">
        <f>UPPER(IF(Tabla2[[#This Row],[FECHA DE MUESTREO ]]=0,"",TEXT(Tabla2[[#This Row],[FECHA DE MUESTREO ]],("MMMM"))))</f>
        <v/>
      </c>
      <c r="U1497" s="6"/>
      <c r="W14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7" s="7">
        <f t="shared" si="43"/>
        <v>1</v>
      </c>
    </row>
    <row r="1498" spans="10:24" x14ac:dyDescent="0.25">
      <c r="J1498" s="5" t="str">
        <f>IFERROR(VLOOKUP(I1498,[1]INFO_LOCALES!$B:$C,2,FALSE),"")</f>
        <v/>
      </c>
      <c r="K1498" s="5" t="str">
        <f>IFERROR(VLOOKUP(Tabla2[[#This Row],[TIENDA]],[1]INFO_LOCALES!$B:$D,3,FALSE),"")</f>
        <v/>
      </c>
      <c r="L1498" s="5" t="str">
        <f>IFERROR(VLOOKUP(I1498,[1]INFO_LOCALES!$B:$I,8,FALSE),"")</f>
        <v/>
      </c>
      <c r="M1498" s="5" t="str">
        <f>IFERROR(VLOOKUP(I1498,[1]INFO_LOCALES!$B:$H,7,FALSE),"")</f>
        <v/>
      </c>
      <c r="N1498" s="5" t="str">
        <f>IFERROR(VLOOKUP(I1498,[1]INFO_LOCALES!$B:$E,4,FALSE),"")</f>
        <v/>
      </c>
      <c r="O1498" s="5" t="e">
        <f>VLOOKUP(Tabla2[[#This Row],[TIENDA]],[1]INFO_LOCALES!$B:$J,9,0)</f>
        <v>#N/A</v>
      </c>
      <c r="P1498" s="5" t="str">
        <f>IFERROR(VLOOKUP(I1498,[1]INFO_LOCALES!$B:$F,5,FALSE),"")</f>
        <v/>
      </c>
      <c r="S1498" s="6"/>
      <c r="T1498" s="5" t="str">
        <f>UPPER(IF(Tabla2[[#This Row],[FECHA DE MUESTREO ]]=0,"",TEXT(Tabla2[[#This Row],[FECHA DE MUESTREO ]],("MMMM"))))</f>
        <v/>
      </c>
      <c r="U1498" s="6"/>
      <c r="W14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8" s="7">
        <f t="shared" si="43"/>
        <v>1</v>
      </c>
    </row>
    <row r="1499" spans="10:24" x14ac:dyDescent="0.25">
      <c r="J1499" s="5" t="str">
        <f>IFERROR(VLOOKUP(I1499,[1]INFO_LOCALES!$B:$C,2,FALSE),"")</f>
        <v/>
      </c>
      <c r="K1499" s="5" t="str">
        <f>IFERROR(VLOOKUP(Tabla2[[#This Row],[TIENDA]],[1]INFO_LOCALES!$B:$D,3,FALSE),"")</f>
        <v/>
      </c>
      <c r="L1499" s="5" t="str">
        <f>IFERROR(VLOOKUP(I1499,[1]INFO_LOCALES!$B:$I,8,FALSE),"")</f>
        <v/>
      </c>
      <c r="M1499" s="5" t="str">
        <f>IFERROR(VLOOKUP(I1499,[1]INFO_LOCALES!$B:$H,7,FALSE),"")</f>
        <v/>
      </c>
      <c r="N1499" s="5" t="str">
        <f>IFERROR(VLOOKUP(I1499,[1]INFO_LOCALES!$B:$E,4,FALSE),"")</f>
        <v/>
      </c>
      <c r="O1499" s="5" t="e">
        <f>VLOOKUP(Tabla2[[#This Row],[TIENDA]],[1]INFO_LOCALES!$B:$J,9,0)</f>
        <v>#N/A</v>
      </c>
      <c r="P1499" s="5" t="str">
        <f>IFERROR(VLOOKUP(I1499,[1]INFO_LOCALES!$B:$F,5,FALSE),"")</f>
        <v/>
      </c>
      <c r="S1499" s="6"/>
      <c r="T1499" s="5" t="str">
        <f>UPPER(IF(Tabla2[[#This Row],[FECHA DE MUESTREO ]]=0,"",TEXT(Tabla2[[#This Row],[FECHA DE MUESTREO ]],("MMMM"))))</f>
        <v/>
      </c>
      <c r="U1499" s="6"/>
      <c r="W14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499" s="7">
        <f t="shared" si="43"/>
        <v>1</v>
      </c>
    </row>
    <row r="1500" spans="10:24" x14ac:dyDescent="0.25">
      <c r="J1500" s="5" t="str">
        <f>IFERROR(VLOOKUP(I1500,[1]INFO_LOCALES!$B:$C,2,FALSE),"")</f>
        <v/>
      </c>
      <c r="K1500" s="5" t="str">
        <f>IFERROR(VLOOKUP(Tabla2[[#This Row],[TIENDA]],[1]INFO_LOCALES!$B:$D,3,FALSE),"")</f>
        <v/>
      </c>
      <c r="L1500" s="5" t="str">
        <f>IFERROR(VLOOKUP(I1500,[1]INFO_LOCALES!$B:$I,8,FALSE),"")</f>
        <v/>
      </c>
      <c r="M1500" s="5" t="str">
        <f>IFERROR(VLOOKUP(I1500,[1]INFO_LOCALES!$B:$H,7,FALSE),"")</f>
        <v/>
      </c>
      <c r="N1500" s="5" t="str">
        <f>IFERROR(VLOOKUP(I1500,[1]INFO_LOCALES!$B:$E,4,FALSE),"")</f>
        <v/>
      </c>
      <c r="O1500" s="5" t="e">
        <f>VLOOKUP(Tabla2[[#This Row],[TIENDA]],[1]INFO_LOCALES!$B:$J,9,0)</f>
        <v>#N/A</v>
      </c>
      <c r="P1500" s="5" t="str">
        <f>IFERROR(VLOOKUP(I1500,[1]INFO_LOCALES!$B:$F,5,FALSE),"")</f>
        <v/>
      </c>
      <c r="S1500" s="6"/>
      <c r="T1500" s="5" t="str">
        <f>UPPER(IF(Tabla2[[#This Row],[FECHA DE MUESTREO ]]=0,"",TEXT(Tabla2[[#This Row],[FECHA DE MUESTREO ]],("MMMM"))))</f>
        <v/>
      </c>
      <c r="U1500" s="6"/>
      <c r="W15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0" s="7">
        <f t="shared" si="43"/>
        <v>1</v>
      </c>
    </row>
    <row r="1501" spans="10:24" x14ac:dyDescent="0.25">
      <c r="J1501" s="5" t="str">
        <f>IFERROR(VLOOKUP(I1501,[1]INFO_LOCALES!$B:$C,2,FALSE),"")</f>
        <v/>
      </c>
      <c r="K1501" s="5" t="str">
        <f>IFERROR(VLOOKUP(Tabla2[[#This Row],[TIENDA]],[1]INFO_LOCALES!$B:$D,3,FALSE),"")</f>
        <v/>
      </c>
      <c r="L1501" s="5" t="str">
        <f>IFERROR(VLOOKUP(I1501,[1]INFO_LOCALES!$B:$I,8,FALSE),"")</f>
        <v/>
      </c>
      <c r="M1501" s="5" t="str">
        <f>IFERROR(VLOOKUP(I1501,[1]INFO_LOCALES!$B:$H,7,FALSE),"")</f>
        <v/>
      </c>
      <c r="N1501" s="5" t="str">
        <f>IFERROR(VLOOKUP(I1501,[1]INFO_LOCALES!$B:$E,4,FALSE),"")</f>
        <v/>
      </c>
      <c r="O1501" s="5" t="e">
        <f>VLOOKUP(Tabla2[[#This Row],[TIENDA]],[1]INFO_LOCALES!$B:$J,9,0)</f>
        <v>#N/A</v>
      </c>
      <c r="P1501" s="5" t="str">
        <f>IFERROR(VLOOKUP(I1501,[1]INFO_LOCALES!$B:$F,5,FALSE),"")</f>
        <v/>
      </c>
      <c r="S1501" s="6"/>
      <c r="T1501" s="5" t="str">
        <f>UPPER(IF(Tabla2[[#This Row],[FECHA DE MUESTREO ]]=0,"",TEXT(Tabla2[[#This Row],[FECHA DE MUESTREO ]],("MMMM"))))</f>
        <v/>
      </c>
      <c r="U1501" s="6"/>
      <c r="W15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1" s="7">
        <f t="shared" si="43"/>
        <v>1</v>
      </c>
    </row>
    <row r="1502" spans="10:24" x14ac:dyDescent="0.25">
      <c r="J1502" s="5" t="str">
        <f>IFERROR(VLOOKUP(I1502,[1]INFO_LOCALES!$B:$C,2,FALSE),"")</f>
        <v/>
      </c>
      <c r="K1502" s="5" t="str">
        <f>IFERROR(VLOOKUP(Tabla2[[#This Row],[TIENDA]],[1]INFO_LOCALES!$B:$D,3,FALSE),"")</f>
        <v/>
      </c>
      <c r="L1502" s="5" t="str">
        <f>IFERROR(VLOOKUP(I1502,[1]INFO_LOCALES!$B:$I,8,FALSE),"")</f>
        <v/>
      </c>
      <c r="M1502" s="5" t="str">
        <f>IFERROR(VLOOKUP(I1502,[1]INFO_LOCALES!$B:$H,7,FALSE),"")</f>
        <v/>
      </c>
      <c r="N1502" s="5" t="str">
        <f>IFERROR(VLOOKUP(I1502,[1]INFO_LOCALES!$B:$E,4,FALSE),"")</f>
        <v/>
      </c>
      <c r="O1502" s="5" t="e">
        <f>VLOOKUP(Tabla2[[#This Row],[TIENDA]],[1]INFO_LOCALES!$B:$J,9,0)</f>
        <v>#N/A</v>
      </c>
      <c r="P1502" s="5" t="str">
        <f>IFERROR(VLOOKUP(I1502,[1]INFO_LOCALES!$B:$F,5,FALSE),"")</f>
        <v/>
      </c>
      <c r="S1502" s="6"/>
      <c r="T1502" s="5" t="str">
        <f>UPPER(IF(Tabla2[[#This Row],[FECHA DE MUESTREO ]]=0,"",TEXT(Tabla2[[#This Row],[FECHA DE MUESTREO ]],("MMMM"))))</f>
        <v/>
      </c>
      <c r="U1502" s="6"/>
      <c r="W15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2" s="7">
        <f t="shared" si="43"/>
        <v>1</v>
      </c>
    </row>
    <row r="1503" spans="10:24" x14ac:dyDescent="0.25">
      <c r="J1503" s="5" t="str">
        <f>IFERROR(VLOOKUP(I1503,[1]INFO_LOCALES!$B:$C,2,FALSE),"")</f>
        <v/>
      </c>
      <c r="K1503" s="5" t="str">
        <f>IFERROR(VLOOKUP(Tabla2[[#This Row],[TIENDA]],[1]INFO_LOCALES!$B:$D,3,FALSE),"")</f>
        <v/>
      </c>
      <c r="L1503" s="5" t="str">
        <f>IFERROR(VLOOKUP(I1503,[1]INFO_LOCALES!$B:$I,8,FALSE),"")</f>
        <v/>
      </c>
      <c r="M1503" s="5" t="str">
        <f>IFERROR(VLOOKUP(I1503,[1]INFO_LOCALES!$B:$H,7,FALSE),"")</f>
        <v/>
      </c>
      <c r="N1503" s="5" t="str">
        <f>IFERROR(VLOOKUP(I1503,[1]INFO_LOCALES!$B:$E,4,FALSE),"")</f>
        <v/>
      </c>
      <c r="O1503" s="5" t="e">
        <f>VLOOKUP(Tabla2[[#This Row],[TIENDA]],[1]INFO_LOCALES!$B:$J,9,0)</f>
        <v>#N/A</v>
      </c>
      <c r="P1503" s="5" t="str">
        <f>IFERROR(VLOOKUP(I1503,[1]INFO_LOCALES!$B:$F,5,FALSE),"")</f>
        <v/>
      </c>
      <c r="S1503" s="6"/>
      <c r="T1503" s="5" t="str">
        <f>UPPER(IF(Tabla2[[#This Row],[FECHA DE MUESTREO ]]=0,"",TEXT(Tabla2[[#This Row],[FECHA DE MUESTREO ]],("MMMM"))))</f>
        <v/>
      </c>
      <c r="U1503" s="6"/>
      <c r="W15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3" s="7">
        <f t="shared" si="43"/>
        <v>1</v>
      </c>
    </row>
    <row r="1504" spans="10:24" x14ac:dyDescent="0.25">
      <c r="J1504" s="5" t="str">
        <f>IFERROR(VLOOKUP(I1504,[1]INFO_LOCALES!$B:$C,2,FALSE),"")</f>
        <v/>
      </c>
      <c r="K1504" s="5" t="str">
        <f>IFERROR(VLOOKUP(Tabla2[[#This Row],[TIENDA]],[1]INFO_LOCALES!$B:$D,3,FALSE),"")</f>
        <v/>
      </c>
      <c r="L1504" s="5" t="str">
        <f>IFERROR(VLOOKUP(I1504,[1]INFO_LOCALES!$B:$I,8,FALSE),"")</f>
        <v/>
      </c>
      <c r="M1504" s="5" t="str">
        <f>IFERROR(VLOOKUP(I1504,[1]INFO_LOCALES!$B:$H,7,FALSE),"")</f>
        <v/>
      </c>
      <c r="N1504" s="5" t="str">
        <f>IFERROR(VLOOKUP(I1504,[1]INFO_LOCALES!$B:$E,4,FALSE),"")</f>
        <v/>
      </c>
      <c r="O1504" s="5" t="e">
        <f>VLOOKUP(Tabla2[[#This Row],[TIENDA]],[1]INFO_LOCALES!$B:$J,9,0)</f>
        <v>#N/A</v>
      </c>
      <c r="P1504" s="5" t="str">
        <f>IFERROR(VLOOKUP(I1504,[1]INFO_LOCALES!$B:$F,5,FALSE),"")</f>
        <v/>
      </c>
      <c r="S1504" s="6"/>
      <c r="T1504" s="5" t="str">
        <f>UPPER(IF(Tabla2[[#This Row],[FECHA DE MUESTREO ]]=0,"",TEXT(Tabla2[[#This Row],[FECHA DE MUESTREO ]],("MMMM"))))</f>
        <v/>
      </c>
      <c r="U1504" s="6"/>
      <c r="W15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4" s="7">
        <f t="shared" si="43"/>
        <v>1</v>
      </c>
    </row>
    <row r="1505" spans="10:24" x14ac:dyDescent="0.25">
      <c r="J1505" s="5" t="str">
        <f>IFERROR(VLOOKUP(I1505,[1]INFO_LOCALES!$B:$C,2,FALSE),"")</f>
        <v/>
      </c>
      <c r="K1505" s="5" t="str">
        <f>IFERROR(VLOOKUP(Tabla2[[#This Row],[TIENDA]],[1]INFO_LOCALES!$B:$D,3,FALSE),"")</f>
        <v/>
      </c>
      <c r="L1505" s="5" t="str">
        <f>IFERROR(VLOOKUP(I1505,[1]INFO_LOCALES!$B:$I,8,FALSE),"")</f>
        <v/>
      </c>
      <c r="M1505" s="5" t="str">
        <f>IFERROR(VLOOKUP(I1505,[1]INFO_LOCALES!$B:$H,7,FALSE),"")</f>
        <v/>
      </c>
      <c r="N1505" s="5" t="str">
        <f>IFERROR(VLOOKUP(I1505,[1]INFO_LOCALES!$B:$E,4,FALSE),"")</f>
        <v/>
      </c>
      <c r="O1505" s="5" t="e">
        <f>VLOOKUP(Tabla2[[#This Row],[TIENDA]],[1]INFO_LOCALES!$B:$J,9,0)</f>
        <v>#N/A</v>
      </c>
      <c r="P1505" s="5" t="str">
        <f>IFERROR(VLOOKUP(I1505,[1]INFO_LOCALES!$B:$F,5,FALSE),"")</f>
        <v/>
      </c>
      <c r="S1505" s="6"/>
      <c r="T1505" s="5" t="str">
        <f>UPPER(IF(Tabla2[[#This Row],[FECHA DE MUESTREO ]]=0,"",TEXT(Tabla2[[#This Row],[FECHA DE MUESTREO ]],("MMMM"))))</f>
        <v/>
      </c>
      <c r="U1505" s="6"/>
      <c r="W15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5" s="7">
        <f t="shared" si="43"/>
        <v>1</v>
      </c>
    </row>
    <row r="1506" spans="10:24" x14ac:dyDescent="0.25">
      <c r="J1506" s="5" t="str">
        <f>IFERROR(VLOOKUP(I1506,[1]INFO_LOCALES!$B:$C,2,FALSE),"")</f>
        <v/>
      </c>
      <c r="K1506" s="5" t="str">
        <f>IFERROR(VLOOKUP(Tabla2[[#This Row],[TIENDA]],[1]INFO_LOCALES!$B:$D,3,FALSE),"")</f>
        <v/>
      </c>
      <c r="L1506" s="5" t="str">
        <f>IFERROR(VLOOKUP(I1506,[1]INFO_LOCALES!$B:$I,8,FALSE),"")</f>
        <v/>
      </c>
      <c r="M1506" s="5" t="str">
        <f>IFERROR(VLOOKUP(I1506,[1]INFO_LOCALES!$B:$H,7,FALSE),"")</f>
        <v/>
      </c>
      <c r="N1506" s="5" t="str">
        <f>IFERROR(VLOOKUP(I1506,[1]INFO_LOCALES!$B:$E,4,FALSE),"")</f>
        <v/>
      </c>
      <c r="O1506" s="5" t="e">
        <f>VLOOKUP(Tabla2[[#This Row],[TIENDA]],[1]INFO_LOCALES!$B:$J,9,0)</f>
        <v>#N/A</v>
      </c>
      <c r="P1506" s="5" t="str">
        <f>IFERROR(VLOOKUP(I1506,[1]INFO_LOCALES!$B:$F,5,FALSE),"")</f>
        <v/>
      </c>
      <c r="S1506" s="6"/>
      <c r="T1506" s="5" t="str">
        <f>UPPER(IF(Tabla2[[#This Row],[FECHA DE MUESTREO ]]=0,"",TEXT(Tabla2[[#This Row],[FECHA DE MUESTREO ]],("MMMM"))))</f>
        <v/>
      </c>
      <c r="U1506" s="6"/>
      <c r="W15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6" s="7">
        <f t="shared" si="43"/>
        <v>1</v>
      </c>
    </row>
    <row r="1507" spans="10:24" x14ac:dyDescent="0.25">
      <c r="J1507" s="5" t="str">
        <f>IFERROR(VLOOKUP(I1507,[1]INFO_LOCALES!$B:$C,2,FALSE),"")</f>
        <v/>
      </c>
      <c r="K1507" s="5" t="str">
        <f>IFERROR(VLOOKUP(Tabla2[[#This Row],[TIENDA]],[1]INFO_LOCALES!$B:$D,3,FALSE),"")</f>
        <v/>
      </c>
      <c r="L1507" s="5" t="str">
        <f>IFERROR(VLOOKUP(I1507,[1]INFO_LOCALES!$B:$I,8,FALSE),"")</f>
        <v/>
      </c>
      <c r="M1507" s="5" t="str">
        <f>IFERROR(VLOOKUP(I1507,[1]INFO_LOCALES!$B:$H,7,FALSE),"")</f>
        <v/>
      </c>
      <c r="N1507" s="5" t="str">
        <f>IFERROR(VLOOKUP(I1507,[1]INFO_LOCALES!$B:$E,4,FALSE),"")</f>
        <v/>
      </c>
      <c r="O1507" s="5" t="e">
        <f>VLOOKUP(Tabla2[[#This Row],[TIENDA]],[1]INFO_LOCALES!$B:$J,9,0)</f>
        <v>#N/A</v>
      </c>
      <c r="P1507" s="5" t="str">
        <f>IFERROR(VLOOKUP(I1507,[1]INFO_LOCALES!$B:$F,5,FALSE),"")</f>
        <v/>
      </c>
      <c r="S1507" s="6"/>
      <c r="T1507" s="5" t="str">
        <f>UPPER(IF(Tabla2[[#This Row],[FECHA DE MUESTREO ]]=0,"",TEXT(Tabla2[[#This Row],[FECHA DE MUESTREO ]],("MMMM"))))</f>
        <v/>
      </c>
      <c r="U1507" s="6"/>
      <c r="W15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7" s="7">
        <f t="shared" si="43"/>
        <v>1</v>
      </c>
    </row>
    <row r="1508" spans="10:24" x14ac:dyDescent="0.25">
      <c r="J1508" s="5" t="str">
        <f>IFERROR(VLOOKUP(I1508,[1]INFO_LOCALES!$B:$C,2,FALSE),"")</f>
        <v/>
      </c>
      <c r="K1508" s="5" t="str">
        <f>IFERROR(VLOOKUP(Tabla2[[#This Row],[TIENDA]],[1]INFO_LOCALES!$B:$D,3,FALSE),"")</f>
        <v/>
      </c>
      <c r="L1508" s="5" t="str">
        <f>IFERROR(VLOOKUP(I1508,[1]INFO_LOCALES!$B:$I,8,FALSE),"")</f>
        <v/>
      </c>
      <c r="M1508" s="5" t="str">
        <f>IFERROR(VLOOKUP(I1508,[1]INFO_LOCALES!$B:$H,7,FALSE),"")</f>
        <v/>
      </c>
      <c r="N1508" s="5" t="str">
        <f>IFERROR(VLOOKUP(I1508,[1]INFO_LOCALES!$B:$E,4,FALSE),"")</f>
        <v/>
      </c>
      <c r="O1508" s="5" t="e">
        <f>VLOOKUP(Tabla2[[#This Row],[TIENDA]],[1]INFO_LOCALES!$B:$J,9,0)</f>
        <v>#N/A</v>
      </c>
      <c r="P1508" s="5" t="str">
        <f>IFERROR(VLOOKUP(I1508,[1]INFO_LOCALES!$B:$F,5,FALSE),"")</f>
        <v/>
      </c>
      <c r="S1508" s="6"/>
      <c r="T1508" s="5" t="str">
        <f>UPPER(IF(Tabla2[[#This Row],[FECHA DE MUESTREO ]]=0,"",TEXT(Tabla2[[#This Row],[FECHA DE MUESTREO ]],("MMMM"))))</f>
        <v/>
      </c>
      <c r="U1508" s="6"/>
      <c r="W15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8" s="7">
        <f t="shared" si="43"/>
        <v>1</v>
      </c>
    </row>
    <row r="1509" spans="10:24" x14ac:dyDescent="0.25">
      <c r="J1509" s="5" t="str">
        <f>IFERROR(VLOOKUP(I1509,[1]INFO_LOCALES!$B:$C,2,FALSE),"")</f>
        <v/>
      </c>
      <c r="K1509" s="5" t="str">
        <f>IFERROR(VLOOKUP(Tabla2[[#This Row],[TIENDA]],[1]INFO_LOCALES!$B:$D,3,FALSE),"")</f>
        <v/>
      </c>
      <c r="L1509" s="5" t="str">
        <f>IFERROR(VLOOKUP(I1509,[1]INFO_LOCALES!$B:$I,8,FALSE),"")</f>
        <v/>
      </c>
      <c r="M1509" s="5" t="str">
        <f>IFERROR(VLOOKUP(I1509,[1]INFO_LOCALES!$B:$H,7,FALSE),"")</f>
        <v/>
      </c>
      <c r="N1509" s="5" t="str">
        <f>IFERROR(VLOOKUP(I1509,[1]INFO_LOCALES!$B:$E,4,FALSE),"")</f>
        <v/>
      </c>
      <c r="O1509" s="5" t="e">
        <f>VLOOKUP(Tabla2[[#This Row],[TIENDA]],[1]INFO_LOCALES!$B:$J,9,0)</f>
        <v>#N/A</v>
      </c>
      <c r="P1509" s="5" t="str">
        <f>IFERROR(VLOOKUP(I1509,[1]INFO_LOCALES!$B:$F,5,FALSE),"")</f>
        <v/>
      </c>
      <c r="S1509" s="6"/>
      <c r="T1509" s="5" t="str">
        <f>UPPER(IF(Tabla2[[#This Row],[FECHA DE MUESTREO ]]=0,"",TEXT(Tabla2[[#This Row],[FECHA DE MUESTREO ]],("MMMM"))))</f>
        <v/>
      </c>
      <c r="U1509" s="6"/>
      <c r="W15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09" s="7">
        <f t="shared" si="43"/>
        <v>1</v>
      </c>
    </row>
    <row r="1510" spans="10:24" x14ac:dyDescent="0.25">
      <c r="J1510" s="5" t="str">
        <f>IFERROR(VLOOKUP(I1510,[1]INFO_LOCALES!$B:$C,2,FALSE),"")</f>
        <v/>
      </c>
      <c r="K1510" s="5" t="str">
        <f>IFERROR(VLOOKUP(Tabla2[[#This Row],[TIENDA]],[1]INFO_LOCALES!$B:$D,3,FALSE),"")</f>
        <v/>
      </c>
      <c r="L1510" s="5" t="str">
        <f>IFERROR(VLOOKUP(I1510,[1]INFO_LOCALES!$B:$I,8,FALSE),"")</f>
        <v/>
      </c>
      <c r="M1510" s="5" t="str">
        <f>IFERROR(VLOOKUP(I1510,[1]INFO_LOCALES!$B:$H,7,FALSE),"")</f>
        <v/>
      </c>
      <c r="N1510" s="5" t="str">
        <f>IFERROR(VLOOKUP(I1510,[1]INFO_LOCALES!$B:$E,4,FALSE),"")</f>
        <v/>
      </c>
      <c r="O1510" s="5" t="e">
        <f>VLOOKUP(Tabla2[[#This Row],[TIENDA]],[1]INFO_LOCALES!$B:$J,9,0)</f>
        <v>#N/A</v>
      </c>
      <c r="P1510" s="5" t="str">
        <f>IFERROR(VLOOKUP(I1510,[1]INFO_LOCALES!$B:$F,5,FALSE),"")</f>
        <v/>
      </c>
      <c r="S1510" s="6"/>
      <c r="T1510" s="5" t="str">
        <f>UPPER(IF(Tabla2[[#This Row],[FECHA DE MUESTREO ]]=0,"",TEXT(Tabla2[[#This Row],[FECHA DE MUESTREO ]],("MMMM"))))</f>
        <v/>
      </c>
      <c r="U1510" s="6"/>
      <c r="W15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0" s="7">
        <f t="shared" ref="X1510:X1573" si="44">IF(W1510="CUMPLE",1,IF(W1510="CUMPLE CON TOLERANCIA",2,IF(W1510="NO CUMPLE",3)))</f>
        <v>1</v>
      </c>
    </row>
    <row r="1511" spans="10:24" x14ac:dyDescent="0.25">
      <c r="J1511" s="5" t="str">
        <f>IFERROR(VLOOKUP(I1511,[1]INFO_LOCALES!$B:$C,2,FALSE),"")</f>
        <v/>
      </c>
      <c r="K1511" s="5" t="str">
        <f>IFERROR(VLOOKUP(Tabla2[[#This Row],[TIENDA]],[1]INFO_LOCALES!$B:$D,3,FALSE),"")</f>
        <v/>
      </c>
      <c r="L1511" s="5" t="str">
        <f>IFERROR(VLOOKUP(I1511,[1]INFO_LOCALES!$B:$I,8,FALSE),"")</f>
        <v/>
      </c>
      <c r="M1511" s="5" t="str">
        <f>IFERROR(VLOOKUP(I1511,[1]INFO_LOCALES!$B:$H,7,FALSE),"")</f>
        <v/>
      </c>
      <c r="N1511" s="5" t="str">
        <f>IFERROR(VLOOKUP(I1511,[1]INFO_LOCALES!$B:$E,4,FALSE),"")</f>
        <v/>
      </c>
      <c r="O1511" s="5" t="e">
        <f>VLOOKUP(Tabla2[[#This Row],[TIENDA]],[1]INFO_LOCALES!$B:$J,9,0)</f>
        <v>#N/A</v>
      </c>
      <c r="P1511" s="5" t="str">
        <f>IFERROR(VLOOKUP(I1511,[1]INFO_LOCALES!$B:$F,5,FALSE),"")</f>
        <v/>
      </c>
      <c r="S1511" s="6"/>
      <c r="T1511" s="5" t="str">
        <f>UPPER(IF(Tabla2[[#This Row],[FECHA DE MUESTREO ]]=0,"",TEXT(Tabla2[[#This Row],[FECHA DE MUESTREO ]],("MMMM"))))</f>
        <v/>
      </c>
      <c r="U1511" s="6"/>
      <c r="W15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1" s="7">
        <f t="shared" si="44"/>
        <v>1</v>
      </c>
    </row>
    <row r="1512" spans="10:24" x14ac:dyDescent="0.25">
      <c r="J1512" s="5" t="str">
        <f>IFERROR(VLOOKUP(I1512,[1]INFO_LOCALES!$B:$C,2,FALSE),"")</f>
        <v/>
      </c>
      <c r="K1512" s="5" t="str">
        <f>IFERROR(VLOOKUP(Tabla2[[#This Row],[TIENDA]],[1]INFO_LOCALES!$B:$D,3,FALSE),"")</f>
        <v/>
      </c>
      <c r="L1512" s="5" t="str">
        <f>IFERROR(VLOOKUP(I1512,[1]INFO_LOCALES!$B:$I,8,FALSE),"")</f>
        <v/>
      </c>
      <c r="M1512" s="5" t="str">
        <f>IFERROR(VLOOKUP(I1512,[1]INFO_LOCALES!$B:$H,7,FALSE),"")</f>
        <v/>
      </c>
      <c r="N1512" s="5" t="str">
        <f>IFERROR(VLOOKUP(I1512,[1]INFO_LOCALES!$B:$E,4,FALSE),"")</f>
        <v/>
      </c>
      <c r="O1512" s="5" t="e">
        <f>VLOOKUP(Tabla2[[#This Row],[TIENDA]],[1]INFO_LOCALES!$B:$J,9,0)</f>
        <v>#N/A</v>
      </c>
      <c r="P1512" s="5" t="str">
        <f>IFERROR(VLOOKUP(I1512,[1]INFO_LOCALES!$B:$F,5,FALSE),"")</f>
        <v/>
      </c>
      <c r="S1512" s="6"/>
      <c r="T1512" s="5" t="str">
        <f>UPPER(IF(Tabla2[[#This Row],[FECHA DE MUESTREO ]]=0,"",TEXT(Tabla2[[#This Row],[FECHA DE MUESTREO ]],("MMMM"))))</f>
        <v/>
      </c>
      <c r="U1512" s="6"/>
      <c r="W15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2" s="7">
        <f t="shared" si="44"/>
        <v>1</v>
      </c>
    </row>
    <row r="1513" spans="10:24" x14ac:dyDescent="0.25">
      <c r="J1513" s="5" t="str">
        <f>IFERROR(VLOOKUP(I1513,[1]INFO_LOCALES!$B:$C,2,FALSE),"")</f>
        <v/>
      </c>
      <c r="K1513" s="5" t="str">
        <f>IFERROR(VLOOKUP(Tabla2[[#This Row],[TIENDA]],[1]INFO_LOCALES!$B:$D,3,FALSE),"")</f>
        <v/>
      </c>
      <c r="L1513" s="5" t="str">
        <f>IFERROR(VLOOKUP(I1513,[1]INFO_LOCALES!$B:$I,8,FALSE),"")</f>
        <v/>
      </c>
      <c r="M1513" s="5" t="str">
        <f>IFERROR(VLOOKUP(I1513,[1]INFO_LOCALES!$B:$H,7,FALSE),"")</f>
        <v/>
      </c>
      <c r="N1513" s="5" t="str">
        <f>IFERROR(VLOOKUP(I1513,[1]INFO_LOCALES!$B:$E,4,FALSE),"")</f>
        <v/>
      </c>
      <c r="O1513" s="5" t="e">
        <f>VLOOKUP(Tabla2[[#This Row],[TIENDA]],[1]INFO_LOCALES!$B:$J,9,0)</f>
        <v>#N/A</v>
      </c>
      <c r="P1513" s="5" t="str">
        <f>IFERROR(VLOOKUP(I1513,[1]INFO_LOCALES!$B:$F,5,FALSE),"")</f>
        <v/>
      </c>
      <c r="S1513" s="6"/>
      <c r="T1513" s="5" t="str">
        <f>UPPER(IF(Tabla2[[#This Row],[FECHA DE MUESTREO ]]=0,"",TEXT(Tabla2[[#This Row],[FECHA DE MUESTREO ]],("MMMM"))))</f>
        <v/>
      </c>
      <c r="U1513" s="6"/>
      <c r="W15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3" s="7">
        <f t="shared" si="44"/>
        <v>1</v>
      </c>
    </row>
    <row r="1514" spans="10:24" x14ac:dyDescent="0.25">
      <c r="J1514" s="5" t="str">
        <f>IFERROR(VLOOKUP(I1514,[1]INFO_LOCALES!$B:$C,2,FALSE),"")</f>
        <v/>
      </c>
      <c r="K1514" s="5" t="str">
        <f>IFERROR(VLOOKUP(Tabla2[[#This Row],[TIENDA]],[1]INFO_LOCALES!$B:$D,3,FALSE),"")</f>
        <v/>
      </c>
      <c r="L1514" s="5" t="str">
        <f>IFERROR(VLOOKUP(I1514,[1]INFO_LOCALES!$B:$I,8,FALSE),"")</f>
        <v/>
      </c>
      <c r="M1514" s="5" t="str">
        <f>IFERROR(VLOOKUP(I1514,[1]INFO_LOCALES!$B:$H,7,FALSE),"")</f>
        <v/>
      </c>
      <c r="N1514" s="5" t="str">
        <f>IFERROR(VLOOKUP(I1514,[1]INFO_LOCALES!$B:$E,4,FALSE),"")</f>
        <v/>
      </c>
      <c r="O1514" s="5" t="e">
        <f>VLOOKUP(Tabla2[[#This Row],[TIENDA]],[1]INFO_LOCALES!$B:$J,9,0)</f>
        <v>#N/A</v>
      </c>
      <c r="P1514" s="5" t="str">
        <f>IFERROR(VLOOKUP(I1514,[1]INFO_LOCALES!$B:$F,5,FALSE),"")</f>
        <v/>
      </c>
      <c r="S1514" s="6"/>
      <c r="T1514" s="5" t="str">
        <f>UPPER(IF(Tabla2[[#This Row],[FECHA DE MUESTREO ]]=0,"",TEXT(Tabla2[[#This Row],[FECHA DE MUESTREO ]],("MMMM"))))</f>
        <v/>
      </c>
      <c r="U1514" s="6"/>
      <c r="W15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4" s="7">
        <f t="shared" si="44"/>
        <v>1</v>
      </c>
    </row>
    <row r="1515" spans="10:24" x14ac:dyDescent="0.25">
      <c r="J1515" s="5" t="str">
        <f>IFERROR(VLOOKUP(I1515,[1]INFO_LOCALES!$B:$C,2,FALSE),"")</f>
        <v/>
      </c>
      <c r="K1515" s="5" t="str">
        <f>IFERROR(VLOOKUP(Tabla2[[#This Row],[TIENDA]],[1]INFO_LOCALES!$B:$D,3,FALSE),"")</f>
        <v/>
      </c>
      <c r="L1515" s="5" t="str">
        <f>IFERROR(VLOOKUP(I1515,[1]INFO_LOCALES!$B:$I,8,FALSE),"")</f>
        <v/>
      </c>
      <c r="M1515" s="5" t="str">
        <f>IFERROR(VLOOKUP(I1515,[1]INFO_LOCALES!$B:$H,7,FALSE),"")</f>
        <v/>
      </c>
      <c r="N1515" s="5" t="str">
        <f>IFERROR(VLOOKUP(I1515,[1]INFO_LOCALES!$B:$E,4,FALSE),"")</f>
        <v/>
      </c>
      <c r="O1515" s="5" t="e">
        <f>VLOOKUP(Tabla2[[#This Row],[TIENDA]],[1]INFO_LOCALES!$B:$J,9,0)</f>
        <v>#N/A</v>
      </c>
      <c r="P1515" s="5" t="str">
        <f>IFERROR(VLOOKUP(I1515,[1]INFO_LOCALES!$B:$F,5,FALSE),"")</f>
        <v/>
      </c>
      <c r="S1515" s="6"/>
      <c r="T1515" s="5" t="str">
        <f>UPPER(IF(Tabla2[[#This Row],[FECHA DE MUESTREO ]]=0,"",TEXT(Tabla2[[#This Row],[FECHA DE MUESTREO ]],("MMMM"))))</f>
        <v/>
      </c>
      <c r="U1515" s="6"/>
      <c r="W15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5" s="7">
        <f t="shared" si="44"/>
        <v>1</v>
      </c>
    </row>
    <row r="1516" spans="10:24" x14ac:dyDescent="0.25">
      <c r="J1516" s="5" t="str">
        <f>IFERROR(VLOOKUP(I1516,[1]INFO_LOCALES!$B:$C,2,FALSE),"")</f>
        <v/>
      </c>
      <c r="K1516" s="5" t="str">
        <f>IFERROR(VLOOKUP(Tabla2[[#This Row],[TIENDA]],[1]INFO_LOCALES!$B:$D,3,FALSE),"")</f>
        <v/>
      </c>
      <c r="L1516" s="5" t="str">
        <f>IFERROR(VLOOKUP(I1516,[1]INFO_LOCALES!$B:$I,8,FALSE),"")</f>
        <v/>
      </c>
      <c r="M1516" s="5" t="str">
        <f>IFERROR(VLOOKUP(I1516,[1]INFO_LOCALES!$B:$H,7,FALSE),"")</f>
        <v/>
      </c>
      <c r="N1516" s="5" t="str">
        <f>IFERROR(VLOOKUP(I1516,[1]INFO_LOCALES!$B:$E,4,FALSE),"")</f>
        <v/>
      </c>
      <c r="O1516" s="5" t="e">
        <f>VLOOKUP(Tabla2[[#This Row],[TIENDA]],[1]INFO_LOCALES!$B:$J,9,0)</f>
        <v>#N/A</v>
      </c>
      <c r="P1516" s="5" t="str">
        <f>IFERROR(VLOOKUP(I1516,[1]INFO_LOCALES!$B:$F,5,FALSE),"")</f>
        <v/>
      </c>
      <c r="S1516" s="6"/>
      <c r="T1516" s="5" t="str">
        <f>UPPER(IF(Tabla2[[#This Row],[FECHA DE MUESTREO ]]=0,"",TEXT(Tabla2[[#This Row],[FECHA DE MUESTREO ]],("MMMM"))))</f>
        <v/>
      </c>
      <c r="U1516" s="6"/>
      <c r="W15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6" s="7">
        <f t="shared" si="44"/>
        <v>1</v>
      </c>
    </row>
    <row r="1517" spans="10:24" x14ac:dyDescent="0.25">
      <c r="J1517" s="5" t="str">
        <f>IFERROR(VLOOKUP(I1517,[1]INFO_LOCALES!$B:$C,2,FALSE),"")</f>
        <v/>
      </c>
      <c r="K1517" s="5" t="str">
        <f>IFERROR(VLOOKUP(Tabla2[[#This Row],[TIENDA]],[1]INFO_LOCALES!$B:$D,3,FALSE),"")</f>
        <v/>
      </c>
      <c r="L1517" s="5" t="str">
        <f>IFERROR(VLOOKUP(I1517,[1]INFO_LOCALES!$B:$I,8,FALSE),"")</f>
        <v/>
      </c>
      <c r="M1517" s="5" t="str">
        <f>IFERROR(VLOOKUP(I1517,[1]INFO_LOCALES!$B:$H,7,FALSE),"")</f>
        <v/>
      </c>
      <c r="N1517" s="5" t="str">
        <f>IFERROR(VLOOKUP(I1517,[1]INFO_LOCALES!$B:$E,4,FALSE),"")</f>
        <v/>
      </c>
      <c r="O1517" s="5" t="e">
        <f>VLOOKUP(Tabla2[[#This Row],[TIENDA]],[1]INFO_LOCALES!$B:$J,9,0)</f>
        <v>#N/A</v>
      </c>
      <c r="P1517" s="5" t="str">
        <f>IFERROR(VLOOKUP(I1517,[1]INFO_LOCALES!$B:$F,5,FALSE),"")</f>
        <v/>
      </c>
      <c r="S1517" s="6"/>
      <c r="T1517" s="5" t="str">
        <f>UPPER(IF(Tabla2[[#This Row],[FECHA DE MUESTREO ]]=0,"",TEXT(Tabla2[[#This Row],[FECHA DE MUESTREO ]],("MMMM"))))</f>
        <v/>
      </c>
      <c r="U1517" s="6"/>
      <c r="W15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7" s="7">
        <f t="shared" si="44"/>
        <v>1</v>
      </c>
    </row>
    <row r="1518" spans="10:24" x14ac:dyDescent="0.25">
      <c r="J1518" s="5" t="str">
        <f>IFERROR(VLOOKUP(I1518,[1]INFO_LOCALES!$B:$C,2,FALSE),"")</f>
        <v/>
      </c>
      <c r="K1518" s="5" t="str">
        <f>IFERROR(VLOOKUP(Tabla2[[#This Row],[TIENDA]],[1]INFO_LOCALES!$B:$D,3,FALSE),"")</f>
        <v/>
      </c>
      <c r="L1518" s="5" t="str">
        <f>IFERROR(VLOOKUP(I1518,[1]INFO_LOCALES!$B:$I,8,FALSE),"")</f>
        <v/>
      </c>
      <c r="M1518" s="5" t="str">
        <f>IFERROR(VLOOKUP(I1518,[1]INFO_LOCALES!$B:$H,7,FALSE),"")</f>
        <v/>
      </c>
      <c r="N1518" s="5" t="str">
        <f>IFERROR(VLOOKUP(I1518,[1]INFO_LOCALES!$B:$E,4,FALSE),"")</f>
        <v/>
      </c>
      <c r="O1518" s="5" t="e">
        <f>VLOOKUP(Tabla2[[#This Row],[TIENDA]],[1]INFO_LOCALES!$B:$J,9,0)</f>
        <v>#N/A</v>
      </c>
      <c r="P1518" s="5" t="str">
        <f>IFERROR(VLOOKUP(I1518,[1]INFO_LOCALES!$B:$F,5,FALSE),"")</f>
        <v/>
      </c>
      <c r="S1518" s="6"/>
      <c r="T1518" s="5" t="str">
        <f>UPPER(IF(Tabla2[[#This Row],[FECHA DE MUESTREO ]]=0,"",TEXT(Tabla2[[#This Row],[FECHA DE MUESTREO ]],("MMMM"))))</f>
        <v/>
      </c>
      <c r="U1518" s="6"/>
      <c r="W15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8" s="7">
        <f t="shared" si="44"/>
        <v>1</v>
      </c>
    </row>
    <row r="1519" spans="10:24" x14ac:dyDescent="0.25">
      <c r="J1519" s="5" t="str">
        <f>IFERROR(VLOOKUP(I1519,[1]INFO_LOCALES!$B:$C,2,FALSE),"")</f>
        <v/>
      </c>
      <c r="K1519" s="5" t="str">
        <f>IFERROR(VLOOKUP(Tabla2[[#This Row],[TIENDA]],[1]INFO_LOCALES!$B:$D,3,FALSE),"")</f>
        <v/>
      </c>
      <c r="L1519" s="5" t="str">
        <f>IFERROR(VLOOKUP(I1519,[1]INFO_LOCALES!$B:$I,8,FALSE),"")</f>
        <v/>
      </c>
      <c r="M1519" s="5" t="str">
        <f>IFERROR(VLOOKUP(I1519,[1]INFO_LOCALES!$B:$H,7,FALSE),"")</f>
        <v/>
      </c>
      <c r="N1519" s="5" t="str">
        <f>IFERROR(VLOOKUP(I1519,[1]INFO_LOCALES!$B:$E,4,FALSE),"")</f>
        <v/>
      </c>
      <c r="O1519" s="5" t="e">
        <f>VLOOKUP(Tabla2[[#This Row],[TIENDA]],[1]INFO_LOCALES!$B:$J,9,0)</f>
        <v>#N/A</v>
      </c>
      <c r="P1519" s="5" t="str">
        <f>IFERROR(VLOOKUP(I1519,[1]INFO_LOCALES!$B:$F,5,FALSE),"")</f>
        <v/>
      </c>
      <c r="S1519" s="6"/>
      <c r="T1519" s="5" t="str">
        <f>UPPER(IF(Tabla2[[#This Row],[FECHA DE MUESTREO ]]=0,"",TEXT(Tabla2[[#This Row],[FECHA DE MUESTREO ]],("MMMM"))))</f>
        <v/>
      </c>
      <c r="U1519" s="6"/>
      <c r="W15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19" s="7">
        <f t="shared" si="44"/>
        <v>1</v>
      </c>
    </row>
    <row r="1520" spans="10:24" x14ac:dyDescent="0.25">
      <c r="J1520" s="5" t="str">
        <f>IFERROR(VLOOKUP(I1520,[1]INFO_LOCALES!$B:$C,2,FALSE),"")</f>
        <v/>
      </c>
      <c r="K1520" s="5" t="str">
        <f>IFERROR(VLOOKUP(Tabla2[[#This Row],[TIENDA]],[1]INFO_LOCALES!$B:$D,3,FALSE),"")</f>
        <v/>
      </c>
      <c r="L1520" s="5" t="str">
        <f>IFERROR(VLOOKUP(I1520,[1]INFO_LOCALES!$B:$I,8,FALSE),"")</f>
        <v/>
      </c>
      <c r="M1520" s="5" t="str">
        <f>IFERROR(VLOOKUP(I1520,[1]INFO_LOCALES!$B:$H,7,FALSE),"")</f>
        <v/>
      </c>
      <c r="N1520" s="5" t="str">
        <f>IFERROR(VLOOKUP(I1520,[1]INFO_LOCALES!$B:$E,4,FALSE),"")</f>
        <v/>
      </c>
      <c r="O1520" s="5" t="e">
        <f>VLOOKUP(Tabla2[[#This Row],[TIENDA]],[1]INFO_LOCALES!$B:$J,9,0)</f>
        <v>#N/A</v>
      </c>
      <c r="P1520" s="5" t="str">
        <f>IFERROR(VLOOKUP(I1520,[1]INFO_LOCALES!$B:$F,5,FALSE),"")</f>
        <v/>
      </c>
      <c r="S1520" s="6"/>
      <c r="T1520" s="5" t="str">
        <f>UPPER(IF(Tabla2[[#This Row],[FECHA DE MUESTREO ]]=0,"",TEXT(Tabla2[[#This Row],[FECHA DE MUESTREO ]],("MMMM"))))</f>
        <v/>
      </c>
      <c r="U1520" s="6"/>
      <c r="W15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0" s="7">
        <f t="shared" si="44"/>
        <v>1</v>
      </c>
    </row>
    <row r="1521" spans="10:24" x14ac:dyDescent="0.25">
      <c r="J1521" s="5" t="str">
        <f>IFERROR(VLOOKUP(I1521,[1]INFO_LOCALES!$B:$C,2,FALSE),"")</f>
        <v/>
      </c>
      <c r="K1521" s="5" t="str">
        <f>IFERROR(VLOOKUP(Tabla2[[#This Row],[TIENDA]],[1]INFO_LOCALES!$B:$D,3,FALSE),"")</f>
        <v/>
      </c>
      <c r="L1521" s="5" t="str">
        <f>IFERROR(VLOOKUP(I1521,[1]INFO_LOCALES!$B:$I,8,FALSE),"")</f>
        <v/>
      </c>
      <c r="M1521" s="5" t="str">
        <f>IFERROR(VLOOKUP(I1521,[1]INFO_LOCALES!$B:$H,7,FALSE),"")</f>
        <v/>
      </c>
      <c r="N1521" s="5" t="str">
        <f>IFERROR(VLOOKUP(I1521,[1]INFO_LOCALES!$B:$E,4,FALSE),"")</f>
        <v/>
      </c>
      <c r="O1521" s="5" t="e">
        <f>VLOOKUP(Tabla2[[#This Row],[TIENDA]],[1]INFO_LOCALES!$B:$J,9,0)</f>
        <v>#N/A</v>
      </c>
      <c r="P1521" s="5" t="str">
        <f>IFERROR(VLOOKUP(I1521,[1]INFO_LOCALES!$B:$F,5,FALSE),"")</f>
        <v/>
      </c>
      <c r="S1521" s="6"/>
      <c r="T1521" s="5" t="str">
        <f>UPPER(IF(Tabla2[[#This Row],[FECHA DE MUESTREO ]]=0,"",TEXT(Tabla2[[#This Row],[FECHA DE MUESTREO ]],("MMMM"))))</f>
        <v/>
      </c>
      <c r="U1521" s="6"/>
      <c r="W15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1" s="7">
        <f t="shared" si="44"/>
        <v>1</v>
      </c>
    </row>
    <row r="1522" spans="10:24" x14ac:dyDescent="0.25">
      <c r="J1522" s="5" t="str">
        <f>IFERROR(VLOOKUP(I1522,[1]INFO_LOCALES!$B:$C,2,FALSE),"")</f>
        <v/>
      </c>
      <c r="K1522" s="5" t="str">
        <f>IFERROR(VLOOKUP(Tabla2[[#This Row],[TIENDA]],[1]INFO_LOCALES!$B:$D,3,FALSE),"")</f>
        <v/>
      </c>
      <c r="L1522" s="5" t="str">
        <f>IFERROR(VLOOKUP(I1522,[1]INFO_LOCALES!$B:$I,8,FALSE),"")</f>
        <v/>
      </c>
      <c r="M1522" s="5" t="str">
        <f>IFERROR(VLOOKUP(I1522,[1]INFO_LOCALES!$B:$H,7,FALSE),"")</f>
        <v/>
      </c>
      <c r="N1522" s="5" t="str">
        <f>IFERROR(VLOOKUP(I1522,[1]INFO_LOCALES!$B:$E,4,FALSE),"")</f>
        <v/>
      </c>
      <c r="O1522" s="5" t="e">
        <f>VLOOKUP(Tabla2[[#This Row],[TIENDA]],[1]INFO_LOCALES!$B:$J,9,0)</f>
        <v>#N/A</v>
      </c>
      <c r="P1522" s="5" t="str">
        <f>IFERROR(VLOOKUP(I1522,[1]INFO_LOCALES!$B:$F,5,FALSE),"")</f>
        <v/>
      </c>
      <c r="S1522" s="6"/>
      <c r="T1522" s="5" t="str">
        <f>UPPER(IF(Tabla2[[#This Row],[FECHA DE MUESTREO ]]=0,"",TEXT(Tabla2[[#This Row],[FECHA DE MUESTREO ]],("MMMM"))))</f>
        <v/>
      </c>
      <c r="U1522" s="6"/>
      <c r="W15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2" s="7">
        <f t="shared" si="44"/>
        <v>1</v>
      </c>
    </row>
    <row r="1523" spans="10:24" x14ac:dyDescent="0.25">
      <c r="J1523" s="5" t="str">
        <f>IFERROR(VLOOKUP(I1523,[1]INFO_LOCALES!$B:$C,2,FALSE),"")</f>
        <v/>
      </c>
      <c r="K1523" s="5" t="str">
        <f>IFERROR(VLOOKUP(Tabla2[[#This Row],[TIENDA]],[1]INFO_LOCALES!$B:$D,3,FALSE),"")</f>
        <v/>
      </c>
      <c r="L1523" s="5" t="str">
        <f>IFERROR(VLOOKUP(I1523,[1]INFO_LOCALES!$B:$I,8,FALSE),"")</f>
        <v/>
      </c>
      <c r="M1523" s="5" t="str">
        <f>IFERROR(VLOOKUP(I1523,[1]INFO_LOCALES!$B:$H,7,FALSE),"")</f>
        <v/>
      </c>
      <c r="N1523" s="5" t="str">
        <f>IFERROR(VLOOKUP(I1523,[1]INFO_LOCALES!$B:$E,4,FALSE),"")</f>
        <v/>
      </c>
      <c r="O1523" s="5" t="e">
        <f>VLOOKUP(Tabla2[[#This Row],[TIENDA]],[1]INFO_LOCALES!$B:$J,9,0)</f>
        <v>#N/A</v>
      </c>
      <c r="P1523" s="5" t="str">
        <f>IFERROR(VLOOKUP(I1523,[1]INFO_LOCALES!$B:$F,5,FALSE),"")</f>
        <v/>
      </c>
      <c r="S1523" s="6"/>
      <c r="T1523" s="5" t="str">
        <f>UPPER(IF(Tabla2[[#This Row],[FECHA DE MUESTREO ]]=0,"",TEXT(Tabla2[[#This Row],[FECHA DE MUESTREO ]],("MMMM"))))</f>
        <v/>
      </c>
      <c r="U1523" s="6"/>
      <c r="W15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3" s="7">
        <f t="shared" si="44"/>
        <v>1</v>
      </c>
    </row>
    <row r="1524" spans="10:24" x14ac:dyDescent="0.25">
      <c r="J1524" s="5" t="str">
        <f>IFERROR(VLOOKUP(I1524,[1]INFO_LOCALES!$B:$C,2,FALSE),"")</f>
        <v/>
      </c>
      <c r="K1524" s="5" t="str">
        <f>IFERROR(VLOOKUP(Tabla2[[#This Row],[TIENDA]],[1]INFO_LOCALES!$B:$D,3,FALSE),"")</f>
        <v/>
      </c>
      <c r="L1524" s="5" t="str">
        <f>IFERROR(VLOOKUP(I1524,[1]INFO_LOCALES!$B:$I,8,FALSE),"")</f>
        <v/>
      </c>
      <c r="M1524" s="5" t="str">
        <f>IFERROR(VLOOKUP(I1524,[1]INFO_LOCALES!$B:$H,7,FALSE),"")</f>
        <v/>
      </c>
      <c r="N1524" s="5" t="str">
        <f>IFERROR(VLOOKUP(I1524,[1]INFO_LOCALES!$B:$E,4,FALSE),"")</f>
        <v/>
      </c>
      <c r="O1524" s="5" t="e">
        <f>VLOOKUP(Tabla2[[#This Row],[TIENDA]],[1]INFO_LOCALES!$B:$J,9,0)</f>
        <v>#N/A</v>
      </c>
      <c r="P1524" s="5" t="str">
        <f>IFERROR(VLOOKUP(I1524,[1]INFO_LOCALES!$B:$F,5,FALSE),"")</f>
        <v/>
      </c>
      <c r="S1524" s="6"/>
      <c r="T1524" s="5" t="str">
        <f>UPPER(IF(Tabla2[[#This Row],[FECHA DE MUESTREO ]]=0,"",TEXT(Tabla2[[#This Row],[FECHA DE MUESTREO ]],("MMMM"))))</f>
        <v/>
      </c>
      <c r="U1524" s="6"/>
      <c r="W15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4" s="7">
        <f t="shared" si="44"/>
        <v>1</v>
      </c>
    </row>
    <row r="1525" spans="10:24" x14ac:dyDescent="0.25">
      <c r="J1525" s="5" t="str">
        <f>IFERROR(VLOOKUP(I1525,[1]INFO_LOCALES!$B:$C,2,FALSE),"")</f>
        <v/>
      </c>
      <c r="K1525" s="5" t="str">
        <f>IFERROR(VLOOKUP(Tabla2[[#This Row],[TIENDA]],[1]INFO_LOCALES!$B:$D,3,FALSE),"")</f>
        <v/>
      </c>
      <c r="L1525" s="5" t="str">
        <f>IFERROR(VLOOKUP(I1525,[1]INFO_LOCALES!$B:$I,8,FALSE),"")</f>
        <v/>
      </c>
      <c r="M1525" s="5" t="str">
        <f>IFERROR(VLOOKUP(I1525,[1]INFO_LOCALES!$B:$H,7,FALSE),"")</f>
        <v/>
      </c>
      <c r="N1525" s="5" t="str">
        <f>IFERROR(VLOOKUP(I1525,[1]INFO_LOCALES!$B:$E,4,FALSE),"")</f>
        <v/>
      </c>
      <c r="O1525" s="5" t="e">
        <f>VLOOKUP(Tabla2[[#This Row],[TIENDA]],[1]INFO_LOCALES!$B:$J,9,0)</f>
        <v>#N/A</v>
      </c>
      <c r="P1525" s="5" t="str">
        <f>IFERROR(VLOOKUP(I1525,[1]INFO_LOCALES!$B:$F,5,FALSE),"")</f>
        <v/>
      </c>
      <c r="S1525" s="6"/>
      <c r="T1525" s="5" t="str">
        <f>UPPER(IF(Tabla2[[#This Row],[FECHA DE MUESTREO ]]=0,"",TEXT(Tabla2[[#This Row],[FECHA DE MUESTREO ]],("MMMM"))))</f>
        <v/>
      </c>
      <c r="U1525" s="6"/>
      <c r="W15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5" s="7">
        <f t="shared" si="44"/>
        <v>1</v>
      </c>
    </row>
    <row r="1526" spans="10:24" x14ac:dyDescent="0.25">
      <c r="J1526" s="5" t="str">
        <f>IFERROR(VLOOKUP(I1526,[1]INFO_LOCALES!$B:$C,2,FALSE),"")</f>
        <v/>
      </c>
      <c r="K1526" s="5" t="str">
        <f>IFERROR(VLOOKUP(Tabla2[[#This Row],[TIENDA]],[1]INFO_LOCALES!$B:$D,3,FALSE),"")</f>
        <v/>
      </c>
      <c r="L1526" s="5" t="str">
        <f>IFERROR(VLOOKUP(I1526,[1]INFO_LOCALES!$B:$I,8,FALSE),"")</f>
        <v/>
      </c>
      <c r="M1526" s="5" t="str">
        <f>IFERROR(VLOOKUP(I1526,[1]INFO_LOCALES!$B:$H,7,FALSE),"")</f>
        <v/>
      </c>
      <c r="N1526" s="5" t="str">
        <f>IFERROR(VLOOKUP(I1526,[1]INFO_LOCALES!$B:$E,4,FALSE),"")</f>
        <v/>
      </c>
      <c r="O1526" s="5" t="e">
        <f>VLOOKUP(Tabla2[[#This Row],[TIENDA]],[1]INFO_LOCALES!$B:$J,9,0)</f>
        <v>#N/A</v>
      </c>
      <c r="P1526" s="5" t="str">
        <f>IFERROR(VLOOKUP(I1526,[1]INFO_LOCALES!$B:$F,5,FALSE),"")</f>
        <v/>
      </c>
      <c r="S1526" s="6"/>
      <c r="T1526" s="5" t="str">
        <f>UPPER(IF(Tabla2[[#This Row],[FECHA DE MUESTREO ]]=0,"",TEXT(Tabla2[[#This Row],[FECHA DE MUESTREO ]],("MMMM"))))</f>
        <v/>
      </c>
      <c r="U1526" s="6"/>
      <c r="W15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6" s="7">
        <f t="shared" si="44"/>
        <v>1</v>
      </c>
    </row>
    <row r="1527" spans="10:24" x14ac:dyDescent="0.25">
      <c r="J1527" s="5" t="str">
        <f>IFERROR(VLOOKUP(I1527,[1]INFO_LOCALES!$B:$C,2,FALSE),"")</f>
        <v/>
      </c>
      <c r="K1527" s="5" t="str">
        <f>IFERROR(VLOOKUP(Tabla2[[#This Row],[TIENDA]],[1]INFO_LOCALES!$B:$D,3,FALSE),"")</f>
        <v/>
      </c>
      <c r="L1527" s="5" t="str">
        <f>IFERROR(VLOOKUP(I1527,[1]INFO_LOCALES!$B:$I,8,FALSE),"")</f>
        <v/>
      </c>
      <c r="M1527" s="5" t="str">
        <f>IFERROR(VLOOKUP(I1527,[1]INFO_LOCALES!$B:$H,7,FALSE),"")</f>
        <v/>
      </c>
      <c r="N1527" s="5" t="str">
        <f>IFERROR(VLOOKUP(I1527,[1]INFO_LOCALES!$B:$E,4,FALSE),"")</f>
        <v/>
      </c>
      <c r="O1527" s="5" t="e">
        <f>VLOOKUP(Tabla2[[#This Row],[TIENDA]],[1]INFO_LOCALES!$B:$J,9,0)</f>
        <v>#N/A</v>
      </c>
      <c r="P1527" s="5" t="str">
        <f>IFERROR(VLOOKUP(I1527,[1]INFO_LOCALES!$B:$F,5,FALSE),"")</f>
        <v/>
      </c>
      <c r="S1527" s="6"/>
      <c r="T1527" s="5" t="str">
        <f>UPPER(IF(Tabla2[[#This Row],[FECHA DE MUESTREO ]]=0,"",TEXT(Tabla2[[#This Row],[FECHA DE MUESTREO ]],("MMMM"))))</f>
        <v/>
      </c>
      <c r="U1527" s="6"/>
      <c r="W15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7" s="7">
        <f t="shared" si="44"/>
        <v>1</v>
      </c>
    </row>
    <row r="1528" spans="10:24" x14ac:dyDescent="0.25">
      <c r="J1528" s="5" t="str">
        <f>IFERROR(VLOOKUP(I1528,[1]INFO_LOCALES!$B:$C,2,FALSE),"")</f>
        <v/>
      </c>
      <c r="K1528" s="5" t="str">
        <f>IFERROR(VLOOKUP(Tabla2[[#This Row],[TIENDA]],[1]INFO_LOCALES!$B:$D,3,FALSE),"")</f>
        <v/>
      </c>
      <c r="L1528" s="5" t="str">
        <f>IFERROR(VLOOKUP(I1528,[1]INFO_LOCALES!$B:$I,8,FALSE),"")</f>
        <v/>
      </c>
      <c r="M1528" s="5" t="str">
        <f>IFERROR(VLOOKUP(I1528,[1]INFO_LOCALES!$B:$H,7,FALSE),"")</f>
        <v/>
      </c>
      <c r="N1528" s="5" t="str">
        <f>IFERROR(VLOOKUP(I1528,[1]INFO_LOCALES!$B:$E,4,FALSE),"")</f>
        <v/>
      </c>
      <c r="O1528" s="5" t="e">
        <f>VLOOKUP(Tabla2[[#This Row],[TIENDA]],[1]INFO_LOCALES!$B:$J,9,0)</f>
        <v>#N/A</v>
      </c>
      <c r="P1528" s="5" t="str">
        <f>IFERROR(VLOOKUP(I1528,[1]INFO_LOCALES!$B:$F,5,FALSE),"")</f>
        <v/>
      </c>
      <c r="S1528" s="6"/>
      <c r="T1528" s="5" t="str">
        <f>UPPER(IF(Tabla2[[#This Row],[FECHA DE MUESTREO ]]=0,"",TEXT(Tabla2[[#This Row],[FECHA DE MUESTREO ]],("MMMM"))))</f>
        <v/>
      </c>
      <c r="U1528" s="6"/>
      <c r="W15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8" s="7">
        <f t="shared" si="44"/>
        <v>1</v>
      </c>
    </row>
    <row r="1529" spans="10:24" x14ac:dyDescent="0.25">
      <c r="J1529" s="5" t="str">
        <f>IFERROR(VLOOKUP(I1529,[1]INFO_LOCALES!$B:$C,2,FALSE),"")</f>
        <v/>
      </c>
      <c r="K1529" s="5" t="str">
        <f>IFERROR(VLOOKUP(Tabla2[[#This Row],[TIENDA]],[1]INFO_LOCALES!$B:$D,3,FALSE),"")</f>
        <v/>
      </c>
      <c r="L1529" s="5" t="str">
        <f>IFERROR(VLOOKUP(I1529,[1]INFO_LOCALES!$B:$I,8,FALSE),"")</f>
        <v/>
      </c>
      <c r="M1529" s="5" t="str">
        <f>IFERROR(VLOOKUP(I1529,[1]INFO_LOCALES!$B:$H,7,FALSE),"")</f>
        <v/>
      </c>
      <c r="N1529" s="5" t="str">
        <f>IFERROR(VLOOKUP(I1529,[1]INFO_LOCALES!$B:$E,4,FALSE),"")</f>
        <v/>
      </c>
      <c r="O1529" s="5" t="e">
        <f>VLOOKUP(Tabla2[[#This Row],[TIENDA]],[1]INFO_LOCALES!$B:$J,9,0)</f>
        <v>#N/A</v>
      </c>
      <c r="P1529" s="5" t="str">
        <f>IFERROR(VLOOKUP(I1529,[1]INFO_LOCALES!$B:$F,5,FALSE),"")</f>
        <v/>
      </c>
      <c r="S1529" s="6"/>
      <c r="T1529" s="5" t="str">
        <f>UPPER(IF(Tabla2[[#This Row],[FECHA DE MUESTREO ]]=0,"",TEXT(Tabla2[[#This Row],[FECHA DE MUESTREO ]],("MMMM"))))</f>
        <v/>
      </c>
      <c r="U1529" s="6"/>
      <c r="W15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29" s="7">
        <f t="shared" si="44"/>
        <v>1</v>
      </c>
    </row>
    <row r="1530" spans="10:24" x14ac:dyDescent="0.25">
      <c r="J1530" s="5" t="str">
        <f>IFERROR(VLOOKUP(I1530,[1]INFO_LOCALES!$B:$C,2,FALSE),"")</f>
        <v/>
      </c>
      <c r="K1530" s="5" t="str">
        <f>IFERROR(VLOOKUP(Tabla2[[#This Row],[TIENDA]],[1]INFO_LOCALES!$B:$D,3,FALSE),"")</f>
        <v/>
      </c>
      <c r="L1530" s="5" t="str">
        <f>IFERROR(VLOOKUP(I1530,[1]INFO_LOCALES!$B:$I,8,FALSE),"")</f>
        <v/>
      </c>
      <c r="M1530" s="5" t="str">
        <f>IFERROR(VLOOKUP(I1530,[1]INFO_LOCALES!$B:$H,7,FALSE),"")</f>
        <v/>
      </c>
      <c r="N1530" s="5" t="str">
        <f>IFERROR(VLOOKUP(I1530,[1]INFO_LOCALES!$B:$E,4,FALSE),"")</f>
        <v/>
      </c>
      <c r="O1530" s="5" t="e">
        <f>VLOOKUP(Tabla2[[#This Row],[TIENDA]],[1]INFO_LOCALES!$B:$J,9,0)</f>
        <v>#N/A</v>
      </c>
      <c r="P1530" s="5" t="str">
        <f>IFERROR(VLOOKUP(I1530,[1]INFO_LOCALES!$B:$F,5,FALSE),"")</f>
        <v/>
      </c>
      <c r="S1530" s="6"/>
      <c r="T1530" s="5" t="str">
        <f>UPPER(IF(Tabla2[[#This Row],[FECHA DE MUESTREO ]]=0,"",TEXT(Tabla2[[#This Row],[FECHA DE MUESTREO ]],("MMMM"))))</f>
        <v/>
      </c>
      <c r="U1530" s="6"/>
      <c r="W15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0" s="7">
        <f t="shared" si="44"/>
        <v>1</v>
      </c>
    </row>
    <row r="1531" spans="10:24" x14ac:dyDescent="0.25">
      <c r="J1531" s="5" t="str">
        <f>IFERROR(VLOOKUP(I1531,[1]INFO_LOCALES!$B:$C,2,FALSE),"")</f>
        <v/>
      </c>
      <c r="K1531" s="5" t="str">
        <f>IFERROR(VLOOKUP(Tabla2[[#This Row],[TIENDA]],[1]INFO_LOCALES!$B:$D,3,FALSE),"")</f>
        <v/>
      </c>
      <c r="L1531" s="5" t="str">
        <f>IFERROR(VLOOKUP(I1531,[1]INFO_LOCALES!$B:$I,8,FALSE),"")</f>
        <v/>
      </c>
      <c r="M1531" s="5" t="str">
        <f>IFERROR(VLOOKUP(I1531,[1]INFO_LOCALES!$B:$H,7,FALSE),"")</f>
        <v/>
      </c>
      <c r="N1531" s="5" t="str">
        <f>IFERROR(VLOOKUP(I1531,[1]INFO_LOCALES!$B:$E,4,FALSE),"")</f>
        <v/>
      </c>
      <c r="O1531" s="5" t="e">
        <f>VLOOKUP(Tabla2[[#This Row],[TIENDA]],[1]INFO_LOCALES!$B:$J,9,0)</f>
        <v>#N/A</v>
      </c>
      <c r="P1531" s="5" t="str">
        <f>IFERROR(VLOOKUP(I1531,[1]INFO_LOCALES!$B:$F,5,FALSE),"")</f>
        <v/>
      </c>
      <c r="S1531" s="6"/>
      <c r="T1531" s="5" t="str">
        <f>UPPER(IF(Tabla2[[#This Row],[FECHA DE MUESTREO ]]=0,"",TEXT(Tabla2[[#This Row],[FECHA DE MUESTREO ]],("MMMM"))))</f>
        <v/>
      </c>
      <c r="U1531" s="6"/>
      <c r="W15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1" s="7">
        <f t="shared" si="44"/>
        <v>1</v>
      </c>
    </row>
    <row r="1532" spans="10:24" x14ac:dyDescent="0.25">
      <c r="J1532" s="5" t="str">
        <f>IFERROR(VLOOKUP(I1532,[1]INFO_LOCALES!$B:$C,2,FALSE),"")</f>
        <v/>
      </c>
      <c r="K1532" s="5" t="str">
        <f>IFERROR(VLOOKUP(Tabla2[[#This Row],[TIENDA]],[1]INFO_LOCALES!$B:$D,3,FALSE),"")</f>
        <v/>
      </c>
      <c r="L1532" s="5" t="str">
        <f>IFERROR(VLOOKUP(I1532,[1]INFO_LOCALES!$B:$I,8,FALSE),"")</f>
        <v/>
      </c>
      <c r="M1532" s="5" t="str">
        <f>IFERROR(VLOOKUP(I1532,[1]INFO_LOCALES!$B:$H,7,FALSE),"")</f>
        <v/>
      </c>
      <c r="N1532" s="5" t="str">
        <f>IFERROR(VLOOKUP(I1532,[1]INFO_LOCALES!$B:$E,4,FALSE),"")</f>
        <v/>
      </c>
      <c r="O1532" s="5" t="e">
        <f>VLOOKUP(Tabla2[[#This Row],[TIENDA]],[1]INFO_LOCALES!$B:$J,9,0)</f>
        <v>#N/A</v>
      </c>
      <c r="P1532" s="5" t="str">
        <f>IFERROR(VLOOKUP(I1532,[1]INFO_LOCALES!$B:$F,5,FALSE),"")</f>
        <v/>
      </c>
      <c r="S1532" s="6"/>
      <c r="T1532" s="5" t="str">
        <f>UPPER(IF(Tabla2[[#This Row],[FECHA DE MUESTREO ]]=0,"",TEXT(Tabla2[[#This Row],[FECHA DE MUESTREO ]],("MMMM"))))</f>
        <v/>
      </c>
      <c r="U1532" s="6"/>
      <c r="W15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2" s="7">
        <f t="shared" si="44"/>
        <v>1</v>
      </c>
    </row>
    <row r="1533" spans="10:24" x14ac:dyDescent="0.25">
      <c r="J1533" s="5" t="str">
        <f>IFERROR(VLOOKUP(I1533,[1]INFO_LOCALES!$B:$C,2,FALSE),"")</f>
        <v/>
      </c>
      <c r="K1533" s="5" t="str">
        <f>IFERROR(VLOOKUP(Tabla2[[#This Row],[TIENDA]],[1]INFO_LOCALES!$B:$D,3,FALSE),"")</f>
        <v/>
      </c>
      <c r="L1533" s="5" t="str">
        <f>IFERROR(VLOOKUP(I1533,[1]INFO_LOCALES!$B:$I,8,FALSE),"")</f>
        <v/>
      </c>
      <c r="M1533" s="5" t="str">
        <f>IFERROR(VLOOKUP(I1533,[1]INFO_LOCALES!$B:$H,7,FALSE),"")</f>
        <v/>
      </c>
      <c r="N1533" s="5" t="str">
        <f>IFERROR(VLOOKUP(I1533,[1]INFO_LOCALES!$B:$E,4,FALSE),"")</f>
        <v/>
      </c>
      <c r="O1533" s="5" t="e">
        <f>VLOOKUP(Tabla2[[#This Row],[TIENDA]],[1]INFO_LOCALES!$B:$J,9,0)</f>
        <v>#N/A</v>
      </c>
      <c r="P1533" s="5" t="str">
        <f>IFERROR(VLOOKUP(I1533,[1]INFO_LOCALES!$B:$F,5,FALSE),"")</f>
        <v/>
      </c>
      <c r="S1533" s="6"/>
      <c r="T1533" s="5" t="str">
        <f>UPPER(IF(Tabla2[[#This Row],[FECHA DE MUESTREO ]]=0,"",TEXT(Tabla2[[#This Row],[FECHA DE MUESTREO ]],("MMMM"))))</f>
        <v/>
      </c>
      <c r="U1533" s="6"/>
      <c r="W15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3" s="7">
        <f t="shared" si="44"/>
        <v>1</v>
      </c>
    </row>
    <row r="1534" spans="10:24" x14ac:dyDescent="0.25">
      <c r="J1534" s="5" t="str">
        <f>IFERROR(VLOOKUP(I1534,[1]INFO_LOCALES!$B:$C,2,FALSE),"")</f>
        <v/>
      </c>
      <c r="K1534" s="5" t="str">
        <f>IFERROR(VLOOKUP(Tabla2[[#This Row],[TIENDA]],[1]INFO_LOCALES!$B:$D,3,FALSE),"")</f>
        <v/>
      </c>
      <c r="L1534" s="5" t="str">
        <f>IFERROR(VLOOKUP(I1534,[1]INFO_LOCALES!$B:$I,8,FALSE),"")</f>
        <v/>
      </c>
      <c r="M1534" s="5" t="str">
        <f>IFERROR(VLOOKUP(I1534,[1]INFO_LOCALES!$B:$H,7,FALSE),"")</f>
        <v/>
      </c>
      <c r="N1534" s="5" t="str">
        <f>IFERROR(VLOOKUP(I1534,[1]INFO_LOCALES!$B:$E,4,FALSE),"")</f>
        <v/>
      </c>
      <c r="O1534" s="5" t="e">
        <f>VLOOKUP(Tabla2[[#This Row],[TIENDA]],[1]INFO_LOCALES!$B:$J,9,0)</f>
        <v>#N/A</v>
      </c>
      <c r="P1534" s="5" t="str">
        <f>IFERROR(VLOOKUP(I1534,[1]INFO_LOCALES!$B:$F,5,FALSE),"")</f>
        <v/>
      </c>
      <c r="S1534" s="6"/>
      <c r="T1534" s="5" t="str">
        <f>UPPER(IF(Tabla2[[#This Row],[FECHA DE MUESTREO ]]=0,"",TEXT(Tabla2[[#This Row],[FECHA DE MUESTREO ]],("MMMM"))))</f>
        <v/>
      </c>
      <c r="U1534" s="6"/>
      <c r="W15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4" s="7">
        <f t="shared" si="44"/>
        <v>1</v>
      </c>
    </row>
    <row r="1535" spans="10:24" x14ac:dyDescent="0.25">
      <c r="J1535" s="5" t="str">
        <f>IFERROR(VLOOKUP(I1535,[1]INFO_LOCALES!$B:$C,2,FALSE),"")</f>
        <v/>
      </c>
      <c r="K1535" s="5" t="str">
        <f>IFERROR(VLOOKUP(Tabla2[[#This Row],[TIENDA]],[1]INFO_LOCALES!$B:$D,3,FALSE),"")</f>
        <v/>
      </c>
      <c r="L1535" s="5" t="str">
        <f>IFERROR(VLOOKUP(I1535,[1]INFO_LOCALES!$B:$I,8,FALSE),"")</f>
        <v/>
      </c>
      <c r="M1535" s="5" t="str">
        <f>IFERROR(VLOOKUP(I1535,[1]INFO_LOCALES!$B:$H,7,FALSE),"")</f>
        <v/>
      </c>
      <c r="N1535" s="5" t="str">
        <f>IFERROR(VLOOKUP(I1535,[1]INFO_LOCALES!$B:$E,4,FALSE),"")</f>
        <v/>
      </c>
      <c r="O1535" s="5" t="e">
        <f>VLOOKUP(Tabla2[[#This Row],[TIENDA]],[1]INFO_LOCALES!$B:$J,9,0)</f>
        <v>#N/A</v>
      </c>
      <c r="P1535" s="5" t="str">
        <f>IFERROR(VLOOKUP(I1535,[1]INFO_LOCALES!$B:$F,5,FALSE),"")</f>
        <v/>
      </c>
      <c r="S1535" s="6"/>
      <c r="T1535" s="5" t="str">
        <f>UPPER(IF(Tabla2[[#This Row],[FECHA DE MUESTREO ]]=0,"",TEXT(Tabla2[[#This Row],[FECHA DE MUESTREO ]],("MMMM"))))</f>
        <v/>
      </c>
      <c r="U1535" s="6"/>
      <c r="W15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5" s="7">
        <f t="shared" si="44"/>
        <v>1</v>
      </c>
    </row>
    <row r="1536" spans="10:24" x14ac:dyDescent="0.25">
      <c r="J1536" s="5" t="str">
        <f>IFERROR(VLOOKUP(I1536,[1]INFO_LOCALES!$B:$C,2,FALSE),"")</f>
        <v/>
      </c>
      <c r="K1536" s="5" t="str">
        <f>IFERROR(VLOOKUP(Tabla2[[#This Row],[TIENDA]],[1]INFO_LOCALES!$B:$D,3,FALSE),"")</f>
        <v/>
      </c>
      <c r="L1536" s="5" t="str">
        <f>IFERROR(VLOOKUP(I1536,[1]INFO_LOCALES!$B:$I,8,FALSE),"")</f>
        <v/>
      </c>
      <c r="M1536" s="5" t="str">
        <f>IFERROR(VLOOKUP(I1536,[1]INFO_LOCALES!$B:$H,7,FALSE),"")</f>
        <v/>
      </c>
      <c r="N1536" s="5" t="str">
        <f>IFERROR(VLOOKUP(I1536,[1]INFO_LOCALES!$B:$E,4,FALSE),"")</f>
        <v/>
      </c>
      <c r="O1536" s="5" t="e">
        <f>VLOOKUP(Tabla2[[#This Row],[TIENDA]],[1]INFO_LOCALES!$B:$J,9,0)</f>
        <v>#N/A</v>
      </c>
      <c r="P1536" s="5" t="str">
        <f>IFERROR(VLOOKUP(I1536,[1]INFO_LOCALES!$B:$F,5,FALSE),"")</f>
        <v/>
      </c>
      <c r="S1536" s="6"/>
      <c r="T1536" s="5" t="str">
        <f>UPPER(IF(Tabla2[[#This Row],[FECHA DE MUESTREO ]]=0,"",TEXT(Tabla2[[#This Row],[FECHA DE MUESTREO ]],("MMMM"))))</f>
        <v/>
      </c>
      <c r="U1536" s="6"/>
      <c r="W15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6" s="7">
        <f t="shared" si="44"/>
        <v>1</v>
      </c>
    </row>
    <row r="1537" spans="10:24" x14ac:dyDescent="0.25">
      <c r="J1537" s="5" t="str">
        <f>IFERROR(VLOOKUP(I1537,[1]INFO_LOCALES!$B:$C,2,FALSE),"")</f>
        <v/>
      </c>
      <c r="K1537" s="5" t="str">
        <f>IFERROR(VLOOKUP(Tabla2[[#This Row],[TIENDA]],[1]INFO_LOCALES!$B:$D,3,FALSE),"")</f>
        <v/>
      </c>
      <c r="L1537" s="5" t="str">
        <f>IFERROR(VLOOKUP(I1537,[1]INFO_LOCALES!$B:$I,8,FALSE),"")</f>
        <v/>
      </c>
      <c r="M1537" s="5" t="str">
        <f>IFERROR(VLOOKUP(I1537,[1]INFO_LOCALES!$B:$H,7,FALSE),"")</f>
        <v/>
      </c>
      <c r="N1537" s="5" t="str">
        <f>IFERROR(VLOOKUP(I1537,[1]INFO_LOCALES!$B:$E,4,FALSE),"")</f>
        <v/>
      </c>
      <c r="O1537" s="5" t="e">
        <f>VLOOKUP(Tabla2[[#This Row],[TIENDA]],[1]INFO_LOCALES!$B:$J,9,0)</f>
        <v>#N/A</v>
      </c>
      <c r="P1537" s="5" t="str">
        <f>IFERROR(VLOOKUP(I1537,[1]INFO_LOCALES!$B:$F,5,FALSE),"")</f>
        <v/>
      </c>
      <c r="S1537" s="6"/>
      <c r="T1537" s="5" t="str">
        <f>UPPER(IF(Tabla2[[#This Row],[FECHA DE MUESTREO ]]=0,"",TEXT(Tabla2[[#This Row],[FECHA DE MUESTREO ]],("MMMM"))))</f>
        <v/>
      </c>
      <c r="U1537" s="6"/>
      <c r="W15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7" s="7">
        <f t="shared" si="44"/>
        <v>1</v>
      </c>
    </row>
    <row r="1538" spans="10:24" x14ac:dyDescent="0.25">
      <c r="J1538" s="5" t="str">
        <f>IFERROR(VLOOKUP(I1538,[1]INFO_LOCALES!$B:$C,2,FALSE),"")</f>
        <v/>
      </c>
      <c r="K1538" s="5" t="str">
        <f>IFERROR(VLOOKUP(Tabla2[[#This Row],[TIENDA]],[1]INFO_LOCALES!$B:$D,3,FALSE),"")</f>
        <v/>
      </c>
      <c r="L1538" s="5" t="str">
        <f>IFERROR(VLOOKUP(I1538,[1]INFO_LOCALES!$B:$I,8,FALSE),"")</f>
        <v/>
      </c>
      <c r="M1538" s="5" t="str">
        <f>IFERROR(VLOOKUP(I1538,[1]INFO_LOCALES!$B:$H,7,FALSE),"")</f>
        <v/>
      </c>
      <c r="N1538" s="5" t="str">
        <f>IFERROR(VLOOKUP(I1538,[1]INFO_LOCALES!$B:$E,4,FALSE),"")</f>
        <v/>
      </c>
      <c r="O1538" s="5" t="e">
        <f>VLOOKUP(Tabla2[[#This Row],[TIENDA]],[1]INFO_LOCALES!$B:$J,9,0)</f>
        <v>#N/A</v>
      </c>
      <c r="P1538" s="5" t="str">
        <f>IFERROR(VLOOKUP(I1538,[1]INFO_LOCALES!$B:$F,5,FALSE),"")</f>
        <v/>
      </c>
      <c r="S1538" s="6"/>
      <c r="T1538" s="5" t="str">
        <f>UPPER(IF(Tabla2[[#This Row],[FECHA DE MUESTREO ]]=0,"",TEXT(Tabla2[[#This Row],[FECHA DE MUESTREO ]],("MMMM"))))</f>
        <v/>
      </c>
      <c r="U1538" s="6"/>
      <c r="W15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8" s="7">
        <f t="shared" si="44"/>
        <v>1</v>
      </c>
    </row>
    <row r="1539" spans="10:24" x14ac:dyDescent="0.25">
      <c r="J1539" s="5" t="str">
        <f>IFERROR(VLOOKUP(I1539,[1]INFO_LOCALES!$B:$C,2,FALSE),"")</f>
        <v/>
      </c>
      <c r="K1539" s="5" t="str">
        <f>IFERROR(VLOOKUP(Tabla2[[#This Row],[TIENDA]],[1]INFO_LOCALES!$B:$D,3,FALSE),"")</f>
        <v/>
      </c>
      <c r="L1539" s="5" t="str">
        <f>IFERROR(VLOOKUP(I1539,[1]INFO_LOCALES!$B:$I,8,FALSE),"")</f>
        <v/>
      </c>
      <c r="M1539" s="5" t="str">
        <f>IFERROR(VLOOKUP(I1539,[1]INFO_LOCALES!$B:$H,7,FALSE),"")</f>
        <v/>
      </c>
      <c r="N1539" s="5" t="str">
        <f>IFERROR(VLOOKUP(I1539,[1]INFO_LOCALES!$B:$E,4,FALSE),"")</f>
        <v/>
      </c>
      <c r="O1539" s="5" t="e">
        <f>VLOOKUP(Tabla2[[#This Row],[TIENDA]],[1]INFO_LOCALES!$B:$J,9,0)</f>
        <v>#N/A</v>
      </c>
      <c r="P1539" s="5" t="str">
        <f>IFERROR(VLOOKUP(I1539,[1]INFO_LOCALES!$B:$F,5,FALSE),"")</f>
        <v/>
      </c>
      <c r="S1539" s="6"/>
      <c r="T1539" s="5" t="str">
        <f>UPPER(IF(Tabla2[[#This Row],[FECHA DE MUESTREO ]]=0,"",TEXT(Tabla2[[#This Row],[FECHA DE MUESTREO ]],("MMMM"))))</f>
        <v/>
      </c>
      <c r="U1539" s="6"/>
      <c r="W15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39" s="7">
        <f t="shared" si="44"/>
        <v>1</v>
      </c>
    </row>
    <row r="1540" spans="10:24" x14ac:dyDescent="0.25">
      <c r="J1540" s="5" t="str">
        <f>IFERROR(VLOOKUP(I1540,[1]INFO_LOCALES!$B:$C,2,FALSE),"")</f>
        <v/>
      </c>
      <c r="K1540" s="5" t="str">
        <f>IFERROR(VLOOKUP(Tabla2[[#This Row],[TIENDA]],[1]INFO_LOCALES!$B:$D,3,FALSE),"")</f>
        <v/>
      </c>
      <c r="L1540" s="5" t="str">
        <f>IFERROR(VLOOKUP(I1540,[1]INFO_LOCALES!$B:$I,8,FALSE),"")</f>
        <v/>
      </c>
      <c r="M1540" s="5" t="str">
        <f>IFERROR(VLOOKUP(I1540,[1]INFO_LOCALES!$B:$H,7,FALSE),"")</f>
        <v/>
      </c>
      <c r="N1540" s="5" t="str">
        <f>IFERROR(VLOOKUP(I1540,[1]INFO_LOCALES!$B:$E,4,FALSE),"")</f>
        <v/>
      </c>
      <c r="O1540" s="5" t="e">
        <f>VLOOKUP(Tabla2[[#This Row],[TIENDA]],[1]INFO_LOCALES!$B:$J,9,0)</f>
        <v>#N/A</v>
      </c>
      <c r="P1540" s="5" t="str">
        <f>IFERROR(VLOOKUP(I1540,[1]INFO_LOCALES!$B:$F,5,FALSE),"")</f>
        <v/>
      </c>
      <c r="S1540" s="6"/>
      <c r="T1540" s="5" t="str">
        <f>UPPER(IF(Tabla2[[#This Row],[FECHA DE MUESTREO ]]=0,"",TEXT(Tabla2[[#This Row],[FECHA DE MUESTREO ]],("MMMM"))))</f>
        <v/>
      </c>
      <c r="U1540" s="6"/>
      <c r="W15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0" s="7">
        <f t="shared" si="44"/>
        <v>1</v>
      </c>
    </row>
    <row r="1541" spans="10:24" x14ac:dyDescent="0.25">
      <c r="J1541" s="5" t="str">
        <f>IFERROR(VLOOKUP(I1541,[1]INFO_LOCALES!$B:$C,2,FALSE),"")</f>
        <v/>
      </c>
      <c r="K1541" s="5" t="str">
        <f>IFERROR(VLOOKUP(Tabla2[[#This Row],[TIENDA]],[1]INFO_LOCALES!$B:$D,3,FALSE),"")</f>
        <v/>
      </c>
      <c r="L1541" s="5" t="str">
        <f>IFERROR(VLOOKUP(I1541,[1]INFO_LOCALES!$B:$I,8,FALSE),"")</f>
        <v/>
      </c>
      <c r="M1541" s="5" t="str">
        <f>IFERROR(VLOOKUP(I1541,[1]INFO_LOCALES!$B:$H,7,FALSE),"")</f>
        <v/>
      </c>
      <c r="N1541" s="5" t="str">
        <f>IFERROR(VLOOKUP(I1541,[1]INFO_LOCALES!$B:$E,4,FALSE),"")</f>
        <v/>
      </c>
      <c r="O1541" s="5" t="e">
        <f>VLOOKUP(Tabla2[[#This Row],[TIENDA]],[1]INFO_LOCALES!$B:$J,9,0)</f>
        <v>#N/A</v>
      </c>
      <c r="P1541" s="5" t="str">
        <f>IFERROR(VLOOKUP(I1541,[1]INFO_LOCALES!$B:$F,5,FALSE),"")</f>
        <v/>
      </c>
      <c r="S1541" s="6"/>
      <c r="T1541" s="5" t="str">
        <f>UPPER(IF(Tabla2[[#This Row],[FECHA DE MUESTREO ]]=0,"",TEXT(Tabla2[[#This Row],[FECHA DE MUESTREO ]],("MMMM"))))</f>
        <v/>
      </c>
      <c r="U1541" s="6"/>
      <c r="W15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1" s="7">
        <f t="shared" si="44"/>
        <v>1</v>
      </c>
    </row>
    <row r="1542" spans="10:24" x14ac:dyDescent="0.25">
      <c r="J1542" s="5" t="str">
        <f>IFERROR(VLOOKUP(I1542,[1]INFO_LOCALES!$B:$C,2,FALSE),"")</f>
        <v/>
      </c>
      <c r="K1542" s="5" t="str">
        <f>IFERROR(VLOOKUP(Tabla2[[#This Row],[TIENDA]],[1]INFO_LOCALES!$B:$D,3,FALSE),"")</f>
        <v/>
      </c>
      <c r="L1542" s="5" t="str">
        <f>IFERROR(VLOOKUP(I1542,[1]INFO_LOCALES!$B:$I,8,FALSE),"")</f>
        <v/>
      </c>
      <c r="M1542" s="5" t="str">
        <f>IFERROR(VLOOKUP(I1542,[1]INFO_LOCALES!$B:$H,7,FALSE),"")</f>
        <v/>
      </c>
      <c r="N1542" s="5" t="str">
        <f>IFERROR(VLOOKUP(I1542,[1]INFO_LOCALES!$B:$E,4,FALSE),"")</f>
        <v/>
      </c>
      <c r="O1542" s="5" t="e">
        <f>VLOOKUP(Tabla2[[#This Row],[TIENDA]],[1]INFO_LOCALES!$B:$J,9,0)</f>
        <v>#N/A</v>
      </c>
      <c r="P1542" s="5" t="str">
        <f>IFERROR(VLOOKUP(I1542,[1]INFO_LOCALES!$B:$F,5,FALSE),"")</f>
        <v/>
      </c>
      <c r="S1542" s="6"/>
      <c r="T1542" s="5" t="str">
        <f>UPPER(IF(Tabla2[[#This Row],[FECHA DE MUESTREO ]]=0,"",TEXT(Tabla2[[#This Row],[FECHA DE MUESTREO ]],("MMMM"))))</f>
        <v/>
      </c>
      <c r="U1542" s="6"/>
      <c r="W15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2" s="7">
        <f t="shared" si="44"/>
        <v>1</v>
      </c>
    </row>
    <row r="1543" spans="10:24" x14ac:dyDescent="0.25">
      <c r="J1543" s="5" t="str">
        <f>IFERROR(VLOOKUP(I1543,[1]INFO_LOCALES!$B:$C,2,FALSE),"")</f>
        <v/>
      </c>
      <c r="K1543" s="5" t="str">
        <f>IFERROR(VLOOKUP(Tabla2[[#This Row],[TIENDA]],[1]INFO_LOCALES!$B:$D,3,FALSE),"")</f>
        <v/>
      </c>
      <c r="L1543" s="5" t="str">
        <f>IFERROR(VLOOKUP(I1543,[1]INFO_LOCALES!$B:$I,8,FALSE),"")</f>
        <v/>
      </c>
      <c r="M1543" s="5" t="str">
        <f>IFERROR(VLOOKUP(I1543,[1]INFO_LOCALES!$B:$H,7,FALSE),"")</f>
        <v/>
      </c>
      <c r="N1543" s="5" t="str">
        <f>IFERROR(VLOOKUP(I1543,[1]INFO_LOCALES!$B:$E,4,FALSE),"")</f>
        <v/>
      </c>
      <c r="O1543" s="5" t="e">
        <f>VLOOKUP(Tabla2[[#This Row],[TIENDA]],[1]INFO_LOCALES!$B:$J,9,0)</f>
        <v>#N/A</v>
      </c>
      <c r="P1543" s="5" t="str">
        <f>IFERROR(VLOOKUP(I1543,[1]INFO_LOCALES!$B:$F,5,FALSE),"")</f>
        <v/>
      </c>
      <c r="S1543" s="6"/>
      <c r="T1543" s="5" t="str">
        <f>UPPER(IF(Tabla2[[#This Row],[FECHA DE MUESTREO ]]=0,"",TEXT(Tabla2[[#This Row],[FECHA DE MUESTREO ]],("MMMM"))))</f>
        <v/>
      </c>
      <c r="U1543" s="6"/>
      <c r="W15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3" s="7">
        <f t="shared" si="44"/>
        <v>1</v>
      </c>
    </row>
    <row r="1544" spans="10:24" x14ac:dyDescent="0.25">
      <c r="J1544" s="5" t="str">
        <f>IFERROR(VLOOKUP(I1544,[1]INFO_LOCALES!$B:$C,2,FALSE),"")</f>
        <v/>
      </c>
      <c r="K1544" s="5" t="str">
        <f>IFERROR(VLOOKUP(Tabla2[[#This Row],[TIENDA]],[1]INFO_LOCALES!$B:$D,3,FALSE),"")</f>
        <v/>
      </c>
      <c r="L1544" s="5" t="str">
        <f>IFERROR(VLOOKUP(I1544,[1]INFO_LOCALES!$B:$I,8,FALSE),"")</f>
        <v/>
      </c>
      <c r="M1544" s="5" t="str">
        <f>IFERROR(VLOOKUP(I1544,[1]INFO_LOCALES!$B:$H,7,FALSE),"")</f>
        <v/>
      </c>
      <c r="N1544" s="5" t="str">
        <f>IFERROR(VLOOKUP(I1544,[1]INFO_LOCALES!$B:$E,4,FALSE),"")</f>
        <v/>
      </c>
      <c r="O1544" s="5" t="e">
        <f>VLOOKUP(Tabla2[[#This Row],[TIENDA]],[1]INFO_LOCALES!$B:$J,9,0)</f>
        <v>#N/A</v>
      </c>
      <c r="P1544" s="5" t="str">
        <f>IFERROR(VLOOKUP(I1544,[1]INFO_LOCALES!$B:$F,5,FALSE),"")</f>
        <v/>
      </c>
      <c r="S1544" s="6"/>
      <c r="T1544" s="5" t="str">
        <f>UPPER(IF(Tabla2[[#This Row],[FECHA DE MUESTREO ]]=0,"",TEXT(Tabla2[[#This Row],[FECHA DE MUESTREO ]],("MMMM"))))</f>
        <v/>
      </c>
      <c r="U1544" s="6"/>
      <c r="W15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4" s="7">
        <f t="shared" si="44"/>
        <v>1</v>
      </c>
    </row>
    <row r="1545" spans="10:24" x14ac:dyDescent="0.25">
      <c r="J1545" s="5" t="str">
        <f>IFERROR(VLOOKUP(I1545,[1]INFO_LOCALES!$B:$C,2,FALSE),"")</f>
        <v/>
      </c>
      <c r="K1545" s="5" t="str">
        <f>IFERROR(VLOOKUP(Tabla2[[#This Row],[TIENDA]],[1]INFO_LOCALES!$B:$D,3,FALSE),"")</f>
        <v/>
      </c>
      <c r="L1545" s="5" t="str">
        <f>IFERROR(VLOOKUP(I1545,[1]INFO_LOCALES!$B:$I,8,FALSE),"")</f>
        <v/>
      </c>
      <c r="M1545" s="5" t="str">
        <f>IFERROR(VLOOKUP(I1545,[1]INFO_LOCALES!$B:$H,7,FALSE),"")</f>
        <v/>
      </c>
      <c r="N1545" s="5" t="str">
        <f>IFERROR(VLOOKUP(I1545,[1]INFO_LOCALES!$B:$E,4,FALSE),"")</f>
        <v/>
      </c>
      <c r="O1545" s="5" t="e">
        <f>VLOOKUP(Tabla2[[#This Row],[TIENDA]],[1]INFO_LOCALES!$B:$J,9,0)</f>
        <v>#N/A</v>
      </c>
      <c r="P1545" s="5" t="str">
        <f>IFERROR(VLOOKUP(I1545,[1]INFO_LOCALES!$B:$F,5,FALSE),"")</f>
        <v/>
      </c>
      <c r="S1545" s="6"/>
      <c r="T1545" s="5" t="str">
        <f>UPPER(IF(Tabla2[[#This Row],[FECHA DE MUESTREO ]]=0,"",TEXT(Tabla2[[#This Row],[FECHA DE MUESTREO ]],("MMMM"))))</f>
        <v/>
      </c>
      <c r="U1545" s="6"/>
      <c r="W15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5" s="7">
        <f t="shared" si="44"/>
        <v>1</v>
      </c>
    </row>
    <row r="1546" spans="10:24" x14ac:dyDescent="0.25">
      <c r="J1546" s="5" t="str">
        <f>IFERROR(VLOOKUP(I1546,[1]INFO_LOCALES!$B:$C,2,FALSE),"")</f>
        <v/>
      </c>
      <c r="K1546" s="5" t="str">
        <f>IFERROR(VLOOKUP(Tabla2[[#This Row],[TIENDA]],[1]INFO_LOCALES!$B:$D,3,FALSE),"")</f>
        <v/>
      </c>
      <c r="L1546" s="5" t="str">
        <f>IFERROR(VLOOKUP(I1546,[1]INFO_LOCALES!$B:$I,8,FALSE),"")</f>
        <v/>
      </c>
      <c r="M1546" s="5" t="str">
        <f>IFERROR(VLOOKUP(I1546,[1]INFO_LOCALES!$B:$H,7,FALSE),"")</f>
        <v/>
      </c>
      <c r="N1546" s="5" t="str">
        <f>IFERROR(VLOOKUP(I1546,[1]INFO_LOCALES!$B:$E,4,FALSE),"")</f>
        <v/>
      </c>
      <c r="O1546" s="5" t="e">
        <f>VLOOKUP(Tabla2[[#This Row],[TIENDA]],[1]INFO_LOCALES!$B:$J,9,0)</f>
        <v>#N/A</v>
      </c>
      <c r="P1546" s="5" t="str">
        <f>IFERROR(VLOOKUP(I1546,[1]INFO_LOCALES!$B:$F,5,FALSE),"")</f>
        <v/>
      </c>
      <c r="S1546" s="6"/>
      <c r="T1546" s="5" t="str">
        <f>UPPER(IF(Tabla2[[#This Row],[FECHA DE MUESTREO ]]=0,"",TEXT(Tabla2[[#This Row],[FECHA DE MUESTREO ]],("MMMM"))))</f>
        <v/>
      </c>
      <c r="U1546" s="6"/>
      <c r="W15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6" s="7">
        <f t="shared" si="44"/>
        <v>1</v>
      </c>
    </row>
    <row r="1547" spans="10:24" x14ac:dyDescent="0.25">
      <c r="J1547" s="5" t="str">
        <f>IFERROR(VLOOKUP(I1547,[1]INFO_LOCALES!$B:$C,2,FALSE),"")</f>
        <v/>
      </c>
      <c r="K1547" s="5" t="str">
        <f>IFERROR(VLOOKUP(Tabla2[[#This Row],[TIENDA]],[1]INFO_LOCALES!$B:$D,3,FALSE),"")</f>
        <v/>
      </c>
      <c r="L1547" s="5" t="str">
        <f>IFERROR(VLOOKUP(I1547,[1]INFO_LOCALES!$B:$I,8,FALSE),"")</f>
        <v/>
      </c>
      <c r="M1547" s="5" t="str">
        <f>IFERROR(VLOOKUP(I1547,[1]INFO_LOCALES!$B:$H,7,FALSE),"")</f>
        <v/>
      </c>
      <c r="N1547" s="5" t="str">
        <f>IFERROR(VLOOKUP(I1547,[1]INFO_LOCALES!$B:$E,4,FALSE),"")</f>
        <v/>
      </c>
      <c r="O1547" s="5" t="e">
        <f>VLOOKUP(Tabla2[[#This Row],[TIENDA]],[1]INFO_LOCALES!$B:$J,9,0)</f>
        <v>#N/A</v>
      </c>
      <c r="P1547" s="5" t="str">
        <f>IFERROR(VLOOKUP(I1547,[1]INFO_LOCALES!$B:$F,5,FALSE),"")</f>
        <v/>
      </c>
      <c r="S1547" s="6"/>
      <c r="T1547" s="5" t="str">
        <f>UPPER(IF(Tabla2[[#This Row],[FECHA DE MUESTREO ]]=0,"",TEXT(Tabla2[[#This Row],[FECHA DE MUESTREO ]],("MMMM"))))</f>
        <v/>
      </c>
      <c r="U1547" s="6"/>
      <c r="W15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7" s="7">
        <f t="shared" si="44"/>
        <v>1</v>
      </c>
    </row>
    <row r="1548" spans="10:24" x14ac:dyDescent="0.25">
      <c r="J1548" s="5" t="str">
        <f>IFERROR(VLOOKUP(I1548,[1]INFO_LOCALES!$B:$C,2,FALSE),"")</f>
        <v/>
      </c>
      <c r="K1548" s="5" t="str">
        <f>IFERROR(VLOOKUP(Tabla2[[#This Row],[TIENDA]],[1]INFO_LOCALES!$B:$D,3,FALSE),"")</f>
        <v/>
      </c>
      <c r="L1548" s="5" t="str">
        <f>IFERROR(VLOOKUP(I1548,[1]INFO_LOCALES!$B:$I,8,FALSE),"")</f>
        <v/>
      </c>
      <c r="M1548" s="5" t="str">
        <f>IFERROR(VLOOKUP(I1548,[1]INFO_LOCALES!$B:$H,7,FALSE),"")</f>
        <v/>
      </c>
      <c r="N1548" s="5" t="str">
        <f>IFERROR(VLOOKUP(I1548,[1]INFO_LOCALES!$B:$E,4,FALSE),"")</f>
        <v/>
      </c>
      <c r="O1548" s="5" t="e">
        <f>VLOOKUP(Tabla2[[#This Row],[TIENDA]],[1]INFO_LOCALES!$B:$J,9,0)</f>
        <v>#N/A</v>
      </c>
      <c r="P1548" s="5" t="str">
        <f>IFERROR(VLOOKUP(I1548,[1]INFO_LOCALES!$B:$F,5,FALSE),"")</f>
        <v/>
      </c>
      <c r="S1548" s="6"/>
      <c r="T1548" s="5" t="str">
        <f>UPPER(IF(Tabla2[[#This Row],[FECHA DE MUESTREO ]]=0,"",TEXT(Tabla2[[#This Row],[FECHA DE MUESTREO ]],("MMMM"))))</f>
        <v/>
      </c>
      <c r="U1548" s="6"/>
      <c r="W15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8" s="7">
        <f t="shared" si="44"/>
        <v>1</v>
      </c>
    </row>
    <row r="1549" spans="10:24" x14ac:dyDescent="0.25">
      <c r="J1549" s="5" t="str">
        <f>IFERROR(VLOOKUP(I1549,[1]INFO_LOCALES!$B:$C,2,FALSE),"")</f>
        <v/>
      </c>
      <c r="K1549" s="5" t="str">
        <f>IFERROR(VLOOKUP(Tabla2[[#This Row],[TIENDA]],[1]INFO_LOCALES!$B:$D,3,FALSE),"")</f>
        <v/>
      </c>
      <c r="L1549" s="5" t="str">
        <f>IFERROR(VLOOKUP(I1549,[1]INFO_LOCALES!$B:$I,8,FALSE),"")</f>
        <v/>
      </c>
      <c r="M1549" s="5" t="str">
        <f>IFERROR(VLOOKUP(I1549,[1]INFO_LOCALES!$B:$H,7,FALSE),"")</f>
        <v/>
      </c>
      <c r="N1549" s="5" t="str">
        <f>IFERROR(VLOOKUP(I1549,[1]INFO_LOCALES!$B:$E,4,FALSE),"")</f>
        <v/>
      </c>
      <c r="O1549" s="5" t="e">
        <f>VLOOKUP(Tabla2[[#This Row],[TIENDA]],[1]INFO_LOCALES!$B:$J,9,0)</f>
        <v>#N/A</v>
      </c>
      <c r="P1549" s="5" t="str">
        <f>IFERROR(VLOOKUP(I1549,[1]INFO_LOCALES!$B:$F,5,FALSE),"")</f>
        <v/>
      </c>
      <c r="S1549" s="6"/>
      <c r="T1549" s="5" t="str">
        <f>UPPER(IF(Tabla2[[#This Row],[FECHA DE MUESTREO ]]=0,"",TEXT(Tabla2[[#This Row],[FECHA DE MUESTREO ]],("MMMM"))))</f>
        <v/>
      </c>
      <c r="U1549" s="6"/>
      <c r="W15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49" s="7">
        <f t="shared" si="44"/>
        <v>1</v>
      </c>
    </row>
    <row r="1550" spans="10:24" x14ac:dyDescent="0.25">
      <c r="J1550" s="5" t="str">
        <f>IFERROR(VLOOKUP(I1550,[1]INFO_LOCALES!$B:$C,2,FALSE),"")</f>
        <v/>
      </c>
      <c r="K1550" s="5" t="str">
        <f>IFERROR(VLOOKUP(Tabla2[[#This Row],[TIENDA]],[1]INFO_LOCALES!$B:$D,3,FALSE),"")</f>
        <v/>
      </c>
      <c r="L1550" s="5" t="str">
        <f>IFERROR(VLOOKUP(I1550,[1]INFO_LOCALES!$B:$I,8,FALSE),"")</f>
        <v/>
      </c>
      <c r="M1550" s="5" t="str">
        <f>IFERROR(VLOOKUP(I1550,[1]INFO_LOCALES!$B:$H,7,FALSE),"")</f>
        <v/>
      </c>
      <c r="N1550" s="5" t="str">
        <f>IFERROR(VLOOKUP(I1550,[1]INFO_LOCALES!$B:$E,4,FALSE),"")</f>
        <v/>
      </c>
      <c r="O1550" s="5" t="e">
        <f>VLOOKUP(Tabla2[[#This Row],[TIENDA]],[1]INFO_LOCALES!$B:$J,9,0)</f>
        <v>#N/A</v>
      </c>
      <c r="P1550" s="5" t="str">
        <f>IFERROR(VLOOKUP(I1550,[1]INFO_LOCALES!$B:$F,5,FALSE),"")</f>
        <v/>
      </c>
      <c r="S1550" s="6"/>
      <c r="T1550" s="5" t="str">
        <f>UPPER(IF(Tabla2[[#This Row],[FECHA DE MUESTREO ]]=0,"",TEXT(Tabla2[[#This Row],[FECHA DE MUESTREO ]],("MMMM"))))</f>
        <v/>
      </c>
      <c r="U1550" s="6"/>
      <c r="W15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0" s="7">
        <f t="shared" si="44"/>
        <v>1</v>
      </c>
    </row>
    <row r="1551" spans="10:24" x14ac:dyDescent="0.25">
      <c r="J1551" s="5" t="str">
        <f>IFERROR(VLOOKUP(I1551,[1]INFO_LOCALES!$B:$C,2,FALSE),"")</f>
        <v/>
      </c>
      <c r="K1551" s="5" t="str">
        <f>IFERROR(VLOOKUP(Tabla2[[#This Row],[TIENDA]],[1]INFO_LOCALES!$B:$D,3,FALSE),"")</f>
        <v/>
      </c>
      <c r="L1551" s="5" t="str">
        <f>IFERROR(VLOOKUP(I1551,[1]INFO_LOCALES!$B:$I,8,FALSE),"")</f>
        <v/>
      </c>
      <c r="M1551" s="5" t="str">
        <f>IFERROR(VLOOKUP(I1551,[1]INFO_LOCALES!$B:$H,7,FALSE),"")</f>
        <v/>
      </c>
      <c r="N1551" s="5" t="str">
        <f>IFERROR(VLOOKUP(I1551,[1]INFO_LOCALES!$B:$E,4,FALSE),"")</f>
        <v/>
      </c>
      <c r="O1551" s="5" t="e">
        <f>VLOOKUP(Tabla2[[#This Row],[TIENDA]],[1]INFO_LOCALES!$B:$J,9,0)</f>
        <v>#N/A</v>
      </c>
      <c r="P1551" s="5" t="str">
        <f>IFERROR(VLOOKUP(I1551,[1]INFO_LOCALES!$B:$F,5,FALSE),"")</f>
        <v/>
      </c>
      <c r="S1551" s="6"/>
      <c r="T1551" s="5" t="str">
        <f>UPPER(IF(Tabla2[[#This Row],[FECHA DE MUESTREO ]]=0,"",TEXT(Tabla2[[#This Row],[FECHA DE MUESTREO ]],("MMMM"))))</f>
        <v/>
      </c>
      <c r="U1551" s="6"/>
      <c r="W15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1" s="7">
        <f t="shared" si="44"/>
        <v>1</v>
      </c>
    </row>
    <row r="1552" spans="10:24" x14ac:dyDescent="0.25">
      <c r="J1552" s="5" t="str">
        <f>IFERROR(VLOOKUP(I1552,[1]INFO_LOCALES!$B:$C,2,FALSE),"")</f>
        <v/>
      </c>
      <c r="K1552" s="5" t="str">
        <f>IFERROR(VLOOKUP(Tabla2[[#This Row],[TIENDA]],[1]INFO_LOCALES!$B:$D,3,FALSE),"")</f>
        <v/>
      </c>
      <c r="L1552" s="5" t="str">
        <f>IFERROR(VLOOKUP(I1552,[1]INFO_LOCALES!$B:$I,8,FALSE),"")</f>
        <v/>
      </c>
      <c r="M1552" s="5" t="str">
        <f>IFERROR(VLOOKUP(I1552,[1]INFO_LOCALES!$B:$H,7,FALSE),"")</f>
        <v/>
      </c>
      <c r="N1552" s="5" t="str">
        <f>IFERROR(VLOOKUP(I1552,[1]INFO_LOCALES!$B:$E,4,FALSE),"")</f>
        <v/>
      </c>
      <c r="O1552" s="5" t="e">
        <f>VLOOKUP(Tabla2[[#This Row],[TIENDA]],[1]INFO_LOCALES!$B:$J,9,0)</f>
        <v>#N/A</v>
      </c>
      <c r="P1552" s="5" t="str">
        <f>IFERROR(VLOOKUP(I1552,[1]INFO_LOCALES!$B:$F,5,FALSE),"")</f>
        <v/>
      </c>
      <c r="S1552" s="6"/>
      <c r="T1552" s="5" t="str">
        <f>UPPER(IF(Tabla2[[#This Row],[FECHA DE MUESTREO ]]=0,"",TEXT(Tabla2[[#This Row],[FECHA DE MUESTREO ]],("MMMM"))))</f>
        <v/>
      </c>
      <c r="U1552" s="6"/>
      <c r="W15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2" s="7">
        <f t="shared" si="44"/>
        <v>1</v>
      </c>
    </row>
    <row r="1553" spans="10:24" x14ac:dyDescent="0.25">
      <c r="J1553" s="5" t="str">
        <f>IFERROR(VLOOKUP(I1553,[1]INFO_LOCALES!$B:$C,2,FALSE),"")</f>
        <v/>
      </c>
      <c r="K1553" s="5" t="str">
        <f>IFERROR(VLOOKUP(Tabla2[[#This Row],[TIENDA]],[1]INFO_LOCALES!$B:$D,3,FALSE),"")</f>
        <v/>
      </c>
      <c r="L1553" s="5" t="str">
        <f>IFERROR(VLOOKUP(I1553,[1]INFO_LOCALES!$B:$I,8,FALSE),"")</f>
        <v/>
      </c>
      <c r="M1553" s="5" t="str">
        <f>IFERROR(VLOOKUP(I1553,[1]INFO_LOCALES!$B:$H,7,FALSE),"")</f>
        <v/>
      </c>
      <c r="N1553" s="5" t="str">
        <f>IFERROR(VLOOKUP(I1553,[1]INFO_LOCALES!$B:$E,4,FALSE),"")</f>
        <v/>
      </c>
      <c r="O1553" s="5" t="e">
        <f>VLOOKUP(Tabla2[[#This Row],[TIENDA]],[1]INFO_LOCALES!$B:$J,9,0)</f>
        <v>#N/A</v>
      </c>
      <c r="P1553" s="5" t="str">
        <f>IFERROR(VLOOKUP(I1553,[1]INFO_LOCALES!$B:$F,5,FALSE),"")</f>
        <v/>
      </c>
      <c r="S1553" s="6"/>
      <c r="T1553" s="5" t="str">
        <f>UPPER(IF(Tabla2[[#This Row],[FECHA DE MUESTREO ]]=0,"",TEXT(Tabla2[[#This Row],[FECHA DE MUESTREO ]],("MMMM"))))</f>
        <v/>
      </c>
      <c r="U1553" s="6"/>
      <c r="W15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3" s="7">
        <f t="shared" si="44"/>
        <v>1</v>
      </c>
    </row>
    <row r="1554" spans="10:24" x14ac:dyDescent="0.25">
      <c r="J1554" s="5" t="str">
        <f>IFERROR(VLOOKUP(I1554,[1]INFO_LOCALES!$B:$C,2,FALSE),"")</f>
        <v/>
      </c>
      <c r="K1554" s="5" t="str">
        <f>IFERROR(VLOOKUP(Tabla2[[#This Row],[TIENDA]],[1]INFO_LOCALES!$B:$D,3,FALSE),"")</f>
        <v/>
      </c>
      <c r="L1554" s="5" t="str">
        <f>IFERROR(VLOOKUP(I1554,[1]INFO_LOCALES!$B:$I,8,FALSE),"")</f>
        <v/>
      </c>
      <c r="M1554" s="5" t="str">
        <f>IFERROR(VLOOKUP(I1554,[1]INFO_LOCALES!$B:$H,7,FALSE),"")</f>
        <v/>
      </c>
      <c r="N1554" s="5" t="str">
        <f>IFERROR(VLOOKUP(I1554,[1]INFO_LOCALES!$B:$E,4,FALSE),"")</f>
        <v/>
      </c>
      <c r="O1554" s="5" t="e">
        <f>VLOOKUP(Tabla2[[#This Row],[TIENDA]],[1]INFO_LOCALES!$B:$J,9,0)</f>
        <v>#N/A</v>
      </c>
      <c r="P1554" s="5" t="str">
        <f>IFERROR(VLOOKUP(I1554,[1]INFO_LOCALES!$B:$F,5,FALSE),"")</f>
        <v/>
      </c>
      <c r="S1554" s="6"/>
      <c r="T1554" s="5" t="str">
        <f>UPPER(IF(Tabla2[[#This Row],[FECHA DE MUESTREO ]]=0,"",TEXT(Tabla2[[#This Row],[FECHA DE MUESTREO ]],("MMMM"))))</f>
        <v/>
      </c>
      <c r="U1554" s="6"/>
      <c r="W15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4" s="7">
        <f t="shared" si="44"/>
        <v>1</v>
      </c>
    </row>
    <row r="1555" spans="10:24" x14ac:dyDescent="0.25">
      <c r="J1555" s="5" t="str">
        <f>IFERROR(VLOOKUP(I1555,[1]INFO_LOCALES!$B:$C,2,FALSE),"")</f>
        <v/>
      </c>
      <c r="K1555" s="5" t="str">
        <f>IFERROR(VLOOKUP(Tabla2[[#This Row],[TIENDA]],[1]INFO_LOCALES!$B:$D,3,FALSE),"")</f>
        <v/>
      </c>
      <c r="L1555" s="5" t="str">
        <f>IFERROR(VLOOKUP(I1555,[1]INFO_LOCALES!$B:$I,8,FALSE),"")</f>
        <v/>
      </c>
      <c r="M1555" s="5" t="str">
        <f>IFERROR(VLOOKUP(I1555,[1]INFO_LOCALES!$B:$H,7,FALSE),"")</f>
        <v/>
      </c>
      <c r="N1555" s="5" t="str">
        <f>IFERROR(VLOOKUP(I1555,[1]INFO_LOCALES!$B:$E,4,FALSE),"")</f>
        <v/>
      </c>
      <c r="O1555" s="5" t="e">
        <f>VLOOKUP(Tabla2[[#This Row],[TIENDA]],[1]INFO_LOCALES!$B:$J,9,0)</f>
        <v>#N/A</v>
      </c>
      <c r="P1555" s="5" t="str">
        <f>IFERROR(VLOOKUP(I1555,[1]INFO_LOCALES!$B:$F,5,FALSE),"")</f>
        <v/>
      </c>
      <c r="S1555" s="6"/>
      <c r="T1555" s="5" t="str">
        <f>UPPER(IF(Tabla2[[#This Row],[FECHA DE MUESTREO ]]=0,"",TEXT(Tabla2[[#This Row],[FECHA DE MUESTREO ]],("MMMM"))))</f>
        <v/>
      </c>
      <c r="U1555" s="6"/>
      <c r="W15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5" s="7">
        <f t="shared" si="44"/>
        <v>1</v>
      </c>
    </row>
    <row r="1556" spans="10:24" x14ac:dyDescent="0.25">
      <c r="J1556" s="5" t="str">
        <f>IFERROR(VLOOKUP(I1556,[1]INFO_LOCALES!$B:$C,2,FALSE),"")</f>
        <v/>
      </c>
      <c r="K1556" s="5" t="str">
        <f>IFERROR(VLOOKUP(Tabla2[[#This Row],[TIENDA]],[1]INFO_LOCALES!$B:$D,3,FALSE),"")</f>
        <v/>
      </c>
      <c r="L1556" s="5" t="str">
        <f>IFERROR(VLOOKUP(I1556,[1]INFO_LOCALES!$B:$I,8,FALSE),"")</f>
        <v/>
      </c>
      <c r="M1556" s="5" t="str">
        <f>IFERROR(VLOOKUP(I1556,[1]INFO_LOCALES!$B:$H,7,FALSE),"")</f>
        <v/>
      </c>
      <c r="N1556" s="5" t="str">
        <f>IFERROR(VLOOKUP(I1556,[1]INFO_LOCALES!$B:$E,4,FALSE),"")</f>
        <v/>
      </c>
      <c r="O1556" s="5" t="e">
        <f>VLOOKUP(Tabla2[[#This Row],[TIENDA]],[1]INFO_LOCALES!$B:$J,9,0)</f>
        <v>#N/A</v>
      </c>
      <c r="P1556" s="5" t="str">
        <f>IFERROR(VLOOKUP(I1556,[1]INFO_LOCALES!$B:$F,5,FALSE),"")</f>
        <v/>
      </c>
      <c r="S1556" s="6"/>
      <c r="T1556" s="5" t="str">
        <f>UPPER(IF(Tabla2[[#This Row],[FECHA DE MUESTREO ]]=0,"",TEXT(Tabla2[[#This Row],[FECHA DE MUESTREO ]],("MMMM"))))</f>
        <v/>
      </c>
      <c r="U1556" s="6"/>
      <c r="W15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6" s="7">
        <f t="shared" si="44"/>
        <v>1</v>
      </c>
    </row>
    <row r="1557" spans="10:24" x14ac:dyDescent="0.25">
      <c r="J1557" s="5" t="str">
        <f>IFERROR(VLOOKUP(I1557,[1]INFO_LOCALES!$B:$C,2,FALSE),"")</f>
        <v/>
      </c>
      <c r="K1557" s="5" t="str">
        <f>IFERROR(VLOOKUP(Tabla2[[#This Row],[TIENDA]],[1]INFO_LOCALES!$B:$D,3,FALSE),"")</f>
        <v/>
      </c>
      <c r="L1557" s="5" t="str">
        <f>IFERROR(VLOOKUP(I1557,[1]INFO_LOCALES!$B:$I,8,FALSE),"")</f>
        <v/>
      </c>
      <c r="M1557" s="5" t="str">
        <f>IFERROR(VLOOKUP(I1557,[1]INFO_LOCALES!$B:$H,7,FALSE),"")</f>
        <v/>
      </c>
      <c r="N1557" s="5" t="str">
        <f>IFERROR(VLOOKUP(I1557,[1]INFO_LOCALES!$B:$E,4,FALSE),"")</f>
        <v/>
      </c>
      <c r="O1557" s="5" t="e">
        <f>VLOOKUP(Tabla2[[#This Row],[TIENDA]],[1]INFO_LOCALES!$B:$J,9,0)</f>
        <v>#N/A</v>
      </c>
      <c r="P1557" s="5" t="str">
        <f>IFERROR(VLOOKUP(I1557,[1]INFO_LOCALES!$B:$F,5,FALSE),"")</f>
        <v/>
      </c>
      <c r="S1557" s="6"/>
      <c r="T1557" s="5" t="str">
        <f>UPPER(IF(Tabla2[[#This Row],[FECHA DE MUESTREO ]]=0,"",TEXT(Tabla2[[#This Row],[FECHA DE MUESTREO ]],("MMMM"))))</f>
        <v/>
      </c>
      <c r="U1557" s="6"/>
      <c r="W15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7" s="7">
        <f t="shared" si="44"/>
        <v>1</v>
      </c>
    </row>
    <row r="1558" spans="10:24" x14ac:dyDescent="0.25">
      <c r="J1558" s="5" t="str">
        <f>IFERROR(VLOOKUP(I1558,[1]INFO_LOCALES!$B:$C,2,FALSE),"")</f>
        <v/>
      </c>
      <c r="K1558" s="5" t="str">
        <f>IFERROR(VLOOKUP(Tabla2[[#This Row],[TIENDA]],[1]INFO_LOCALES!$B:$D,3,FALSE),"")</f>
        <v/>
      </c>
      <c r="L1558" s="5" t="str">
        <f>IFERROR(VLOOKUP(I1558,[1]INFO_LOCALES!$B:$I,8,FALSE),"")</f>
        <v/>
      </c>
      <c r="M1558" s="5" t="str">
        <f>IFERROR(VLOOKUP(I1558,[1]INFO_LOCALES!$B:$H,7,FALSE),"")</f>
        <v/>
      </c>
      <c r="N1558" s="5" t="str">
        <f>IFERROR(VLOOKUP(I1558,[1]INFO_LOCALES!$B:$E,4,FALSE),"")</f>
        <v/>
      </c>
      <c r="O1558" s="5" t="e">
        <f>VLOOKUP(Tabla2[[#This Row],[TIENDA]],[1]INFO_LOCALES!$B:$J,9,0)</f>
        <v>#N/A</v>
      </c>
      <c r="P1558" s="5" t="str">
        <f>IFERROR(VLOOKUP(I1558,[1]INFO_LOCALES!$B:$F,5,FALSE),"")</f>
        <v/>
      </c>
      <c r="S1558" s="6"/>
      <c r="T1558" s="5" t="str">
        <f>UPPER(IF(Tabla2[[#This Row],[FECHA DE MUESTREO ]]=0,"",TEXT(Tabla2[[#This Row],[FECHA DE MUESTREO ]],("MMMM"))))</f>
        <v/>
      </c>
      <c r="U1558" s="6"/>
      <c r="W15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8" s="7">
        <f t="shared" si="44"/>
        <v>1</v>
      </c>
    </row>
    <row r="1559" spans="10:24" x14ac:dyDescent="0.25">
      <c r="J1559" s="5" t="str">
        <f>IFERROR(VLOOKUP(I1559,[1]INFO_LOCALES!$B:$C,2,FALSE),"")</f>
        <v/>
      </c>
      <c r="K1559" s="5" t="str">
        <f>IFERROR(VLOOKUP(Tabla2[[#This Row],[TIENDA]],[1]INFO_LOCALES!$B:$D,3,FALSE),"")</f>
        <v/>
      </c>
      <c r="L1559" s="5" t="str">
        <f>IFERROR(VLOOKUP(I1559,[1]INFO_LOCALES!$B:$I,8,FALSE),"")</f>
        <v/>
      </c>
      <c r="M1559" s="5" t="str">
        <f>IFERROR(VLOOKUP(I1559,[1]INFO_LOCALES!$B:$H,7,FALSE),"")</f>
        <v/>
      </c>
      <c r="N1559" s="5" t="str">
        <f>IFERROR(VLOOKUP(I1559,[1]INFO_LOCALES!$B:$E,4,FALSE),"")</f>
        <v/>
      </c>
      <c r="O1559" s="5" t="e">
        <f>VLOOKUP(Tabla2[[#This Row],[TIENDA]],[1]INFO_LOCALES!$B:$J,9,0)</f>
        <v>#N/A</v>
      </c>
      <c r="P1559" s="5" t="str">
        <f>IFERROR(VLOOKUP(I1559,[1]INFO_LOCALES!$B:$F,5,FALSE),"")</f>
        <v/>
      </c>
      <c r="S1559" s="6"/>
      <c r="T1559" s="5" t="str">
        <f>UPPER(IF(Tabla2[[#This Row],[FECHA DE MUESTREO ]]=0,"",TEXT(Tabla2[[#This Row],[FECHA DE MUESTREO ]],("MMMM"))))</f>
        <v/>
      </c>
      <c r="U1559" s="6"/>
      <c r="W15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59" s="7">
        <f t="shared" si="44"/>
        <v>1</v>
      </c>
    </row>
    <row r="1560" spans="10:24" x14ac:dyDescent="0.25">
      <c r="J1560" s="5" t="str">
        <f>IFERROR(VLOOKUP(I1560,[1]INFO_LOCALES!$B:$C,2,FALSE),"")</f>
        <v/>
      </c>
      <c r="K1560" s="5" t="str">
        <f>IFERROR(VLOOKUP(Tabla2[[#This Row],[TIENDA]],[1]INFO_LOCALES!$B:$D,3,FALSE),"")</f>
        <v/>
      </c>
      <c r="L1560" s="5" t="str">
        <f>IFERROR(VLOOKUP(I1560,[1]INFO_LOCALES!$B:$I,8,FALSE),"")</f>
        <v/>
      </c>
      <c r="M1560" s="5" t="str">
        <f>IFERROR(VLOOKUP(I1560,[1]INFO_LOCALES!$B:$H,7,FALSE),"")</f>
        <v/>
      </c>
      <c r="N1560" s="5" t="str">
        <f>IFERROR(VLOOKUP(I1560,[1]INFO_LOCALES!$B:$E,4,FALSE),"")</f>
        <v/>
      </c>
      <c r="O1560" s="5" t="e">
        <f>VLOOKUP(Tabla2[[#This Row],[TIENDA]],[1]INFO_LOCALES!$B:$J,9,0)</f>
        <v>#N/A</v>
      </c>
      <c r="P1560" s="5" t="str">
        <f>IFERROR(VLOOKUP(I1560,[1]INFO_LOCALES!$B:$F,5,FALSE),"")</f>
        <v/>
      </c>
      <c r="S1560" s="6"/>
      <c r="T1560" s="5" t="str">
        <f>UPPER(IF(Tabla2[[#This Row],[FECHA DE MUESTREO ]]=0,"",TEXT(Tabla2[[#This Row],[FECHA DE MUESTREO ]],("MMMM"))))</f>
        <v/>
      </c>
      <c r="U1560" s="6"/>
      <c r="W15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0" s="7">
        <f t="shared" si="44"/>
        <v>1</v>
      </c>
    </row>
    <row r="1561" spans="10:24" x14ac:dyDescent="0.25">
      <c r="J1561" s="5" t="str">
        <f>IFERROR(VLOOKUP(I1561,[1]INFO_LOCALES!$B:$C,2,FALSE),"")</f>
        <v/>
      </c>
      <c r="K1561" s="5" t="str">
        <f>IFERROR(VLOOKUP(Tabla2[[#This Row],[TIENDA]],[1]INFO_LOCALES!$B:$D,3,FALSE),"")</f>
        <v/>
      </c>
      <c r="L1561" s="5" t="str">
        <f>IFERROR(VLOOKUP(I1561,[1]INFO_LOCALES!$B:$I,8,FALSE),"")</f>
        <v/>
      </c>
      <c r="M1561" s="5" t="str">
        <f>IFERROR(VLOOKUP(I1561,[1]INFO_LOCALES!$B:$H,7,FALSE),"")</f>
        <v/>
      </c>
      <c r="N1561" s="5" t="str">
        <f>IFERROR(VLOOKUP(I1561,[1]INFO_LOCALES!$B:$E,4,FALSE),"")</f>
        <v/>
      </c>
      <c r="O1561" s="5" t="e">
        <f>VLOOKUP(Tabla2[[#This Row],[TIENDA]],[1]INFO_LOCALES!$B:$J,9,0)</f>
        <v>#N/A</v>
      </c>
      <c r="P1561" s="5" t="str">
        <f>IFERROR(VLOOKUP(I1561,[1]INFO_LOCALES!$B:$F,5,FALSE),"")</f>
        <v/>
      </c>
      <c r="S1561" s="6"/>
      <c r="T1561" s="5" t="str">
        <f>UPPER(IF(Tabla2[[#This Row],[FECHA DE MUESTREO ]]=0,"",TEXT(Tabla2[[#This Row],[FECHA DE MUESTREO ]],("MMMM"))))</f>
        <v/>
      </c>
      <c r="U1561" s="6"/>
      <c r="W15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1" s="7">
        <f t="shared" si="44"/>
        <v>1</v>
      </c>
    </row>
    <row r="1562" spans="10:24" x14ac:dyDescent="0.25">
      <c r="J1562" s="5" t="str">
        <f>IFERROR(VLOOKUP(I1562,[1]INFO_LOCALES!$B:$C,2,FALSE),"")</f>
        <v/>
      </c>
      <c r="K1562" s="5" t="str">
        <f>IFERROR(VLOOKUP(Tabla2[[#This Row],[TIENDA]],[1]INFO_LOCALES!$B:$D,3,FALSE),"")</f>
        <v/>
      </c>
      <c r="L1562" s="5" t="str">
        <f>IFERROR(VLOOKUP(I1562,[1]INFO_LOCALES!$B:$I,8,FALSE),"")</f>
        <v/>
      </c>
      <c r="M1562" s="5" t="str">
        <f>IFERROR(VLOOKUP(I1562,[1]INFO_LOCALES!$B:$H,7,FALSE),"")</f>
        <v/>
      </c>
      <c r="N1562" s="5" t="str">
        <f>IFERROR(VLOOKUP(I1562,[1]INFO_LOCALES!$B:$E,4,FALSE),"")</f>
        <v/>
      </c>
      <c r="O1562" s="5" t="e">
        <f>VLOOKUP(Tabla2[[#This Row],[TIENDA]],[1]INFO_LOCALES!$B:$J,9,0)</f>
        <v>#N/A</v>
      </c>
      <c r="P1562" s="5" t="str">
        <f>IFERROR(VLOOKUP(I1562,[1]INFO_LOCALES!$B:$F,5,FALSE),"")</f>
        <v/>
      </c>
      <c r="S1562" s="6"/>
      <c r="T1562" s="5" t="str">
        <f>UPPER(IF(Tabla2[[#This Row],[FECHA DE MUESTREO ]]=0,"",TEXT(Tabla2[[#This Row],[FECHA DE MUESTREO ]],("MMMM"))))</f>
        <v/>
      </c>
      <c r="U1562" s="6"/>
      <c r="W15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2" s="7">
        <f t="shared" si="44"/>
        <v>1</v>
      </c>
    </row>
    <row r="1563" spans="10:24" x14ac:dyDescent="0.25">
      <c r="J1563" s="5" t="str">
        <f>IFERROR(VLOOKUP(I1563,[1]INFO_LOCALES!$B:$C,2,FALSE),"")</f>
        <v/>
      </c>
      <c r="K1563" s="5" t="str">
        <f>IFERROR(VLOOKUP(Tabla2[[#This Row],[TIENDA]],[1]INFO_LOCALES!$B:$D,3,FALSE),"")</f>
        <v/>
      </c>
      <c r="L1563" s="5" t="str">
        <f>IFERROR(VLOOKUP(I1563,[1]INFO_LOCALES!$B:$I,8,FALSE),"")</f>
        <v/>
      </c>
      <c r="M1563" s="5" t="str">
        <f>IFERROR(VLOOKUP(I1563,[1]INFO_LOCALES!$B:$H,7,FALSE),"")</f>
        <v/>
      </c>
      <c r="N1563" s="5" t="str">
        <f>IFERROR(VLOOKUP(I1563,[1]INFO_LOCALES!$B:$E,4,FALSE),"")</f>
        <v/>
      </c>
      <c r="O1563" s="5" t="e">
        <f>VLOOKUP(Tabla2[[#This Row],[TIENDA]],[1]INFO_LOCALES!$B:$J,9,0)</f>
        <v>#N/A</v>
      </c>
      <c r="P1563" s="5" t="str">
        <f>IFERROR(VLOOKUP(I1563,[1]INFO_LOCALES!$B:$F,5,FALSE),"")</f>
        <v/>
      </c>
      <c r="S1563" s="6"/>
      <c r="T1563" s="5" t="str">
        <f>UPPER(IF(Tabla2[[#This Row],[FECHA DE MUESTREO ]]=0,"",TEXT(Tabla2[[#This Row],[FECHA DE MUESTREO ]],("MMMM"))))</f>
        <v/>
      </c>
      <c r="U1563" s="6"/>
      <c r="W15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3" s="7">
        <f t="shared" si="44"/>
        <v>1</v>
      </c>
    </row>
    <row r="1564" spans="10:24" x14ac:dyDescent="0.25">
      <c r="J1564" s="5" t="str">
        <f>IFERROR(VLOOKUP(I1564,[1]INFO_LOCALES!$B:$C,2,FALSE),"")</f>
        <v/>
      </c>
      <c r="K1564" s="5" t="str">
        <f>IFERROR(VLOOKUP(Tabla2[[#This Row],[TIENDA]],[1]INFO_LOCALES!$B:$D,3,FALSE),"")</f>
        <v/>
      </c>
      <c r="L1564" s="5" t="str">
        <f>IFERROR(VLOOKUP(I1564,[1]INFO_LOCALES!$B:$I,8,FALSE),"")</f>
        <v/>
      </c>
      <c r="M1564" s="5" t="str">
        <f>IFERROR(VLOOKUP(I1564,[1]INFO_LOCALES!$B:$H,7,FALSE),"")</f>
        <v/>
      </c>
      <c r="N1564" s="5" t="str">
        <f>IFERROR(VLOOKUP(I1564,[1]INFO_LOCALES!$B:$E,4,FALSE),"")</f>
        <v/>
      </c>
      <c r="O1564" s="5" t="e">
        <f>VLOOKUP(Tabla2[[#This Row],[TIENDA]],[1]INFO_LOCALES!$B:$J,9,0)</f>
        <v>#N/A</v>
      </c>
      <c r="P1564" s="5" t="str">
        <f>IFERROR(VLOOKUP(I1564,[1]INFO_LOCALES!$B:$F,5,FALSE),"")</f>
        <v/>
      </c>
      <c r="S1564" s="6"/>
      <c r="T1564" s="5" t="str">
        <f>UPPER(IF(Tabla2[[#This Row],[FECHA DE MUESTREO ]]=0,"",TEXT(Tabla2[[#This Row],[FECHA DE MUESTREO ]],("MMMM"))))</f>
        <v/>
      </c>
      <c r="U1564" s="6"/>
      <c r="W15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4" s="7">
        <f t="shared" si="44"/>
        <v>1</v>
      </c>
    </row>
    <row r="1565" spans="10:24" x14ac:dyDescent="0.25">
      <c r="J1565" s="5" t="str">
        <f>IFERROR(VLOOKUP(I1565,[1]INFO_LOCALES!$B:$C,2,FALSE),"")</f>
        <v/>
      </c>
      <c r="K1565" s="5" t="str">
        <f>IFERROR(VLOOKUP(Tabla2[[#This Row],[TIENDA]],[1]INFO_LOCALES!$B:$D,3,FALSE),"")</f>
        <v/>
      </c>
      <c r="L1565" s="5" t="str">
        <f>IFERROR(VLOOKUP(I1565,[1]INFO_LOCALES!$B:$I,8,FALSE),"")</f>
        <v/>
      </c>
      <c r="M1565" s="5" t="str">
        <f>IFERROR(VLOOKUP(I1565,[1]INFO_LOCALES!$B:$H,7,FALSE),"")</f>
        <v/>
      </c>
      <c r="N1565" s="5" t="str">
        <f>IFERROR(VLOOKUP(I1565,[1]INFO_LOCALES!$B:$E,4,FALSE),"")</f>
        <v/>
      </c>
      <c r="O1565" s="5" t="e">
        <f>VLOOKUP(Tabla2[[#This Row],[TIENDA]],[1]INFO_LOCALES!$B:$J,9,0)</f>
        <v>#N/A</v>
      </c>
      <c r="P1565" s="5" t="str">
        <f>IFERROR(VLOOKUP(I1565,[1]INFO_LOCALES!$B:$F,5,FALSE),"")</f>
        <v/>
      </c>
      <c r="S1565" s="6"/>
      <c r="T1565" s="5" t="str">
        <f>UPPER(IF(Tabla2[[#This Row],[FECHA DE MUESTREO ]]=0,"",TEXT(Tabla2[[#This Row],[FECHA DE MUESTREO ]],("MMMM"))))</f>
        <v/>
      </c>
      <c r="U1565" s="6"/>
      <c r="W15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5" s="7">
        <f t="shared" si="44"/>
        <v>1</v>
      </c>
    </row>
    <row r="1566" spans="10:24" x14ac:dyDescent="0.25">
      <c r="J1566" s="5" t="str">
        <f>IFERROR(VLOOKUP(I1566,[1]INFO_LOCALES!$B:$C,2,FALSE),"")</f>
        <v/>
      </c>
      <c r="K1566" s="5" t="str">
        <f>IFERROR(VLOOKUP(Tabla2[[#This Row],[TIENDA]],[1]INFO_LOCALES!$B:$D,3,FALSE),"")</f>
        <v/>
      </c>
      <c r="L1566" s="5" t="str">
        <f>IFERROR(VLOOKUP(I1566,[1]INFO_LOCALES!$B:$I,8,FALSE),"")</f>
        <v/>
      </c>
      <c r="M1566" s="5" t="str">
        <f>IFERROR(VLOOKUP(I1566,[1]INFO_LOCALES!$B:$H,7,FALSE),"")</f>
        <v/>
      </c>
      <c r="N1566" s="5" t="str">
        <f>IFERROR(VLOOKUP(I1566,[1]INFO_LOCALES!$B:$E,4,FALSE),"")</f>
        <v/>
      </c>
      <c r="O1566" s="5" t="e">
        <f>VLOOKUP(Tabla2[[#This Row],[TIENDA]],[1]INFO_LOCALES!$B:$J,9,0)</f>
        <v>#N/A</v>
      </c>
      <c r="P1566" s="5" t="str">
        <f>IFERROR(VLOOKUP(I1566,[1]INFO_LOCALES!$B:$F,5,FALSE),"")</f>
        <v/>
      </c>
      <c r="S1566" s="6"/>
      <c r="T1566" s="5" t="str">
        <f>UPPER(IF(Tabla2[[#This Row],[FECHA DE MUESTREO ]]=0,"",TEXT(Tabla2[[#This Row],[FECHA DE MUESTREO ]],("MMMM"))))</f>
        <v/>
      </c>
      <c r="U1566" s="6"/>
      <c r="W15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6" s="7">
        <f t="shared" si="44"/>
        <v>1</v>
      </c>
    </row>
    <row r="1567" spans="10:24" x14ac:dyDescent="0.25">
      <c r="J1567" s="5" t="str">
        <f>IFERROR(VLOOKUP(I1567,[1]INFO_LOCALES!$B:$C,2,FALSE),"")</f>
        <v/>
      </c>
      <c r="K1567" s="5" t="str">
        <f>IFERROR(VLOOKUP(Tabla2[[#This Row],[TIENDA]],[1]INFO_LOCALES!$B:$D,3,FALSE),"")</f>
        <v/>
      </c>
      <c r="L1567" s="5" t="str">
        <f>IFERROR(VLOOKUP(I1567,[1]INFO_LOCALES!$B:$I,8,FALSE),"")</f>
        <v/>
      </c>
      <c r="M1567" s="5" t="str">
        <f>IFERROR(VLOOKUP(I1567,[1]INFO_LOCALES!$B:$H,7,FALSE),"")</f>
        <v/>
      </c>
      <c r="N1567" s="5" t="str">
        <f>IFERROR(VLOOKUP(I1567,[1]INFO_LOCALES!$B:$E,4,FALSE),"")</f>
        <v/>
      </c>
      <c r="O1567" s="5" t="e">
        <f>VLOOKUP(Tabla2[[#This Row],[TIENDA]],[1]INFO_LOCALES!$B:$J,9,0)</f>
        <v>#N/A</v>
      </c>
      <c r="P1567" s="5" t="str">
        <f>IFERROR(VLOOKUP(I1567,[1]INFO_LOCALES!$B:$F,5,FALSE),"")</f>
        <v/>
      </c>
      <c r="S1567" s="6"/>
      <c r="T1567" s="5" t="str">
        <f>UPPER(IF(Tabla2[[#This Row],[FECHA DE MUESTREO ]]=0,"",TEXT(Tabla2[[#This Row],[FECHA DE MUESTREO ]],("MMMM"))))</f>
        <v/>
      </c>
      <c r="U1567" s="6"/>
      <c r="W15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7" s="7">
        <f t="shared" si="44"/>
        <v>1</v>
      </c>
    </row>
    <row r="1568" spans="10:24" x14ac:dyDescent="0.25">
      <c r="J1568" s="5" t="str">
        <f>IFERROR(VLOOKUP(I1568,[1]INFO_LOCALES!$B:$C,2,FALSE),"")</f>
        <v/>
      </c>
      <c r="K1568" s="5" t="str">
        <f>IFERROR(VLOOKUP(Tabla2[[#This Row],[TIENDA]],[1]INFO_LOCALES!$B:$D,3,FALSE),"")</f>
        <v/>
      </c>
      <c r="L1568" s="5" t="str">
        <f>IFERROR(VLOOKUP(I1568,[1]INFO_LOCALES!$B:$I,8,FALSE),"")</f>
        <v/>
      </c>
      <c r="M1568" s="5" t="str">
        <f>IFERROR(VLOOKUP(I1568,[1]INFO_LOCALES!$B:$H,7,FALSE),"")</f>
        <v/>
      </c>
      <c r="N1568" s="5" t="str">
        <f>IFERROR(VLOOKUP(I1568,[1]INFO_LOCALES!$B:$E,4,FALSE),"")</f>
        <v/>
      </c>
      <c r="O1568" s="5" t="e">
        <f>VLOOKUP(Tabla2[[#This Row],[TIENDA]],[1]INFO_LOCALES!$B:$J,9,0)</f>
        <v>#N/A</v>
      </c>
      <c r="P1568" s="5" t="str">
        <f>IFERROR(VLOOKUP(I1568,[1]INFO_LOCALES!$B:$F,5,FALSE),"")</f>
        <v/>
      </c>
      <c r="S1568" s="6"/>
      <c r="T1568" s="5" t="str">
        <f>UPPER(IF(Tabla2[[#This Row],[FECHA DE MUESTREO ]]=0,"",TEXT(Tabla2[[#This Row],[FECHA DE MUESTREO ]],("MMMM"))))</f>
        <v/>
      </c>
      <c r="U1568" s="6"/>
      <c r="W15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8" s="7">
        <f t="shared" si="44"/>
        <v>1</v>
      </c>
    </row>
    <row r="1569" spans="10:24" x14ac:dyDescent="0.25">
      <c r="J1569" s="5" t="str">
        <f>IFERROR(VLOOKUP(I1569,[1]INFO_LOCALES!$B:$C,2,FALSE),"")</f>
        <v/>
      </c>
      <c r="K1569" s="5" t="str">
        <f>IFERROR(VLOOKUP(Tabla2[[#This Row],[TIENDA]],[1]INFO_LOCALES!$B:$D,3,FALSE),"")</f>
        <v/>
      </c>
      <c r="L1569" s="5" t="str">
        <f>IFERROR(VLOOKUP(I1569,[1]INFO_LOCALES!$B:$I,8,FALSE),"")</f>
        <v/>
      </c>
      <c r="M1569" s="5" t="str">
        <f>IFERROR(VLOOKUP(I1569,[1]INFO_LOCALES!$B:$H,7,FALSE),"")</f>
        <v/>
      </c>
      <c r="N1569" s="5" t="str">
        <f>IFERROR(VLOOKUP(I1569,[1]INFO_LOCALES!$B:$E,4,FALSE),"")</f>
        <v/>
      </c>
      <c r="O1569" s="5" t="e">
        <f>VLOOKUP(Tabla2[[#This Row],[TIENDA]],[1]INFO_LOCALES!$B:$J,9,0)</f>
        <v>#N/A</v>
      </c>
      <c r="P1569" s="5" t="str">
        <f>IFERROR(VLOOKUP(I1569,[1]INFO_LOCALES!$B:$F,5,FALSE),"")</f>
        <v/>
      </c>
      <c r="S1569" s="6"/>
      <c r="T1569" s="5" t="str">
        <f>UPPER(IF(Tabla2[[#This Row],[FECHA DE MUESTREO ]]=0,"",TEXT(Tabla2[[#This Row],[FECHA DE MUESTREO ]],("MMMM"))))</f>
        <v/>
      </c>
      <c r="U1569" s="6"/>
      <c r="W15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69" s="7">
        <f t="shared" si="44"/>
        <v>1</v>
      </c>
    </row>
    <row r="1570" spans="10:24" x14ac:dyDescent="0.25">
      <c r="J1570" s="5" t="str">
        <f>IFERROR(VLOOKUP(I1570,[1]INFO_LOCALES!$B:$C,2,FALSE),"")</f>
        <v/>
      </c>
      <c r="K1570" s="5" t="str">
        <f>IFERROR(VLOOKUP(Tabla2[[#This Row],[TIENDA]],[1]INFO_LOCALES!$B:$D,3,FALSE),"")</f>
        <v/>
      </c>
      <c r="L1570" s="5" t="str">
        <f>IFERROR(VLOOKUP(I1570,[1]INFO_LOCALES!$B:$I,8,FALSE),"")</f>
        <v/>
      </c>
      <c r="M1570" s="5" t="str">
        <f>IFERROR(VLOOKUP(I1570,[1]INFO_LOCALES!$B:$H,7,FALSE),"")</f>
        <v/>
      </c>
      <c r="N1570" s="5" t="str">
        <f>IFERROR(VLOOKUP(I1570,[1]INFO_LOCALES!$B:$E,4,FALSE),"")</f>
        <v/>
      </c>
      <c r="O1570" s="5" t="e">
        <f>VLOOKUP(Tabla2[[#This Row],[TIENDA]],[1]INFO_LOCALES!$B:$J,9,0)</f>
        <v>#N/A</v>
      </c>
      <c r="P1570" s="5" t="str">
        <f>IFERROR(VLOOKUP(I1570,[1]INFO_LOCALES!$B:$F,5,FALSE),"")</f>
        <v/>
      </c>
      <c r="S1570" s="6"/>
      <c r="T1570" s="5" t="str">
        <f>UPPER(IF(Tabla2[[#This Row],[FECHA DE MUESTREO ]]=0,"",TEXT(Tabla2[[#This Row],[FECHA DE MUESTREO ]],("MMMM"))))</f>
        <v/>
      </c>
      <c r="U1570" s="6"/>
      <c r="W15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0" s="7">
        <f t="shared" si="44"/>
        <v>1</v>
      </c>
    </row>
    <row r="1571" spans="10:24" x14ac:dyDescent="0.25">
      <c r="J1571" s="5" t="str">
        <f>IFERROR(VLOOKUP(I1571,[1]INFO_LOCALES!$B:$C,2,FALSE),"")</f>
        <v/>
      </c>
      <c r="K1571" s="5" t="str">
        <f>IFERROR(VLOOKUP(Tabla2[[#This Row],[TIENDA]],[1]INFO_LOCALES!$B:$D,3,FALSE),"")</f>
        <v/>
      </c>
      <c r="L1571" s="5" t="str">
        <f>IFERROR(VLOOKUP(I1571,[1]INFO_LOCALES!$B:$I,8,FALSE),"")</f>
        <v/>
      </c>
      <c r="M1571" s="5" t="str">
        <f>IFERROR(VLOOKUP(I1571,[1]INFO_LOCALES!$B:$H,7,FALSE),"")</f>
        <v/>
      </c>
      <c r="N1571" s="5" t="str">
        <f>IFERROR(VLOOKUP(I1571,[1]INFO_LOCALES!$B:$E,4,FALSE),"")</f>
        <v/>
      </c>
      <c r="O1571" s="5" t="e">
        <f>VLOOKUP(Tabla2[[#This Row],[TIENDA]],[1]INFO_LOCALES!$B:$J,9,0)</f>
        <v>#N/A</v>
      </c>
      <c r="P1571" s="5" t="str">
        <f>IFERROR(VLOOKUP(I1571,[1]INFO_LOCALES!$B:$F,5,FALSE),"")</f>
        <v/>
      </c>
      <c r="S1571" s="6"/>
      <c r="T1571" s="5" t="str">
        <f>UPPER(IF(Tabla2[[#This Row],[FECHA DE MUESTREO ]]=0,"",TEXT(Tabla2[[#This Row],[FECHA DE MUESTREO ]],("MMMM"))))</f>
        <v/>
      </c>
      <c r="U1571" s="6"/>
      <c r="W15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1" s="7">
        <f t="shared" si="44"/>
        <v>1</v>
      </c>
    </row>
    <row r="1572" spans="10:24" x14ac:dyDescent="0.25">
      <c r="J1572" s="5" t="str">
        <f>IFERROR(VLOOKUP(I1572,[1]INFO_LOCALES!$B:$C,2,FALSE),"")</f>
        <v/>
      </c>
      <c r="K1572" s="5" t="str">
        <f>IFERROR(VLOOKUP(Tabla2[[#This Row],[TIENDA]],[1]INFO_LOCALES!$B:$D,3,FALSE),"")</f>
        <v/>
      </c>
      <c r="L1572" s="5" t="str">
        <f>IFERROR(VLOOKUP(I1572,[1]INFO_LOCALES!$B:$I,8,FALSE),"")</f>
        <v/>
      </c>
      <c r="M1572" s="5" t="str">
        <f>IFERROR(VLOOKUP(I1572,[1]INFO_LOCALES!$B:$H,7,FALSE),"")</f>
        <v/>
      </c>
      <c r="N1572" s="5" t="str">
        <f>IFERROR(VLOOKUP(I1572,[1]INFO_LOCALES!$B:$E,4,FALSE),"")</f>
        <v/>
      </c>
      <c r="O1572" s="5" t="e">
        <f>VLOOKUP(Tabla2[[#This Row],[TIENDA]],[1]INFO_LOCALES!$B:$J,9,0)</f>
        <v>#N/A</v>
      </c>
      <c r="P1572" s="5" t="str">
        <f>IFERROR(VLOOKUP(I1572,[1]INFO_LOCALES!$B:$F,5,FALSE),"")</f>
        <v/>
      </c>
      <c r="S1572" s="6"/>
      <c r="T1572" s="5" t="str">
        <f>UPPER(IF(Tabla2[[#This Row],[FECHA DE MUESTREO ]]=0,"",TEXT(Tabla2[[#This Row],[FECHA DE MUESTREO ]],("MMMM"))))</f>
        <v/>
      </c>
      <c r="U1572" s="6"/>
      <c r="W15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2" s="7">
        <f t="shared" si="44"/>
        <v>1</v>
      </c>
    </row>
    <row r="1573" spans="10:24" x14ac:dyDescent="0.25">
      <c r="J1573" s="5" t="str">
        <f>IFERROR(VLOOKUP(I1573,[1]INFO_LOCALES!$B:$C,2,FALSE),"")</f>
        <v/>
      </c>
      <c r="K1573" s="5" t="str">
        <f>IFERROR(VLOOKUP(Tabla2[[#This Row],[TIENDA]],[1]INFO_LOCALES!$B:$D,3,FALSE),"")</f>
        <v/>
      </c>
      <c r="L1573" s="5" t="str">
        <f>IFERROR(VLOOKUP(I1573,[1]INFO_LOCALES!$B:$I,8,FALSE),"")</f>
        <v/>
      </c>
      <c r="M1573" s="5" t="str">
        <f>IFERROR(VLOOKUP(I1573,[1]INFO_LOCALES!$B:$H,7,FALSE),"")</f>
        <v/>
      </c>
      <c r="N1573" s="5" t="str">
        <f>IFERROR(VLOOKUP(I1573,[1]INFO_LOCALES!$B:$E,4,FALSE),"")</f>
        <v/>
      </c>
      <c r="O1573" s="5" t="e">
        <f>VLOOKUP(Tabla2[[#This Row],[TIENDA]],[1]INFO_LOCALES!$B:$J,9,0)</f>
        <v>#N/A</v>
      </c>
      <c r="P1573" s="5" t="str">
        <f>IFERROR(VLOOKUP(I1573,[1]INFO_LOCALES!$B:$F,5,FALSE),"")</f>
        <v/>
      </c>
      <c r="S1573" s="6"/>
      <c r="T1573" s="5" t="str">
        <f>UPPER(IF(Tabla2[[#This Row],[FECHA DE MUESTREO ]]=0,"",TEXT(Tabla2[[#This Row],[FECHA DE MUESTREO ]],("MMMM"))))</f>
        <v/>
      </c>
      <c r="U1573" s="6"/>
      <c r="W15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3" s="7">
        <f t="shared" si="44"/>
        <v>1</v>
      </c>
    </row>
    <row r="1574" spans="10:24" x14ac:dyDescent="0.25">
      <c r="J1574" s="5" t="str">
        <f>IFERROR(VLOOKUP(I1574,[1]INFO_LOCALES!$B:$C,2,FALSE),"")</f>
        <v/>
      </c>
      <c r="K1574" s="5" t="str">
        <f>IFERROR(VLOOKUP(Tabla2[[#This Row],[TIENDA]],[1]INFO_LOCALES!$B:$D,3,FALSE),"")</f>
        <v/>
      </c>
      <c r="L1574" s="5" t="str">
        <f>IFERROR(VLOOKUP(I1574,[1]INFO_LOCALES!$B:$I,8,FALSE),"")</f>
        <v/>
      </c>
      <c r="M1574" s="5" t="str">
        <f>IFERROR(VLOOKUP(I1574,[1]INFO_LOCALES!$B:$H,7,FALSE),"")</f>
        <v/>
      </c>
      <c r="N1574" s="5" t="str">
        <f>IFERROR(VLOOKUP(I1574,[1]INFO_LOCALES!$B:$E,4,FALSE),"")</f>
        <v/>
      </c>
      <c r="O1574" s="5" t="e">
        <f>VLOOKUP(Tabla2[[#This Row],[TIENDA]],[1]INFO_LOCALES!$B:$J,9,0)</f>
        <v>#N/A</v>
      </c>
      <c r="P1574" s="5" t="str">
        <f>IFERROR(VLOOKUP(I1574,[1]INFO_LOCALES!$B:$F,5,FALSE),"")</f>
        <v/>
      </c>
      <c r="S1574" s="6"/>
      <c r="T1574" s="5" t="str">
        <f>UPPER(IF(Tabla2[[#This Row],[FECHA DE MUESTREO ]]=0,"",TEXT(Tabla2[[#This Row],[FECHA DE MUESTREO ]],("MMMM"))))</f>
        <v/>
      </c>
      <c r="U1574" s="6"/>
      <c r="W15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4" s="7">
        <f t="shared" ref="X1574:X1637" si="45">IF(W1574="CUMPLE",1,IF(W1574="CUMPLE CON TOLERANCIA",2,IF(W1574="NO CUMPLE",3)))</f>
        <v>1</v>
      </c>
    </row>
    <row r="1575" spans="10:24" x14ac:dyDescent="0.25">
      <c r="J1575" s="5" t="str">
        <f>IFERROR(VLOOKUP(I1575,[1]INFO_LOCALES!$B:$C,2,FALSE),"")</f>
        <v/>
      </c>
      <c r="K1575" s="5" t="str">
        <f>IFERROR(VLOOKUP(Tabla2[[#This Row],[TIENDA]],[1]INFO_LOCALES!$B:$D,3,FALSE),"")</f>
        <v/>
      </c>
      <c r="L1575" s="5" t="str">
        <f>IFERROR(VLOOKUP(I1575,[1]INFO_LOCALES!$B:$I,8,FALSE),"")</f>
        <v/>
      </c>
      <c r="M1575" s="5" t="str">
        <f>IFERROR(VLOOKUP(I1575,[1]INFO_LOCALES!$B:$H,7,FALSE),"")</f>
        <v/>
      </c>
      <c r="N1575" s="5" t="str">
        <f>IFERROR(VLOOKUP(I1575,[1]INFO_LOCALES!$B:$E,4,FALSE),"")</f>
        <v/>
      </c>
      <c r="O1575" s="5" t="e">
        <f>VLOOKUP(Tabla2[[#This Row],[TIENDA]],[1]INFO_LOCALES!$B:$J,9,0)</f>
        <v>#N/A</v>
      </c>
      <c r="P1575" s="5" t="str">
        <f>IFERROR(VLOOKUP(I1575,[1]INFO_LOCALES!$B:$F,5,FALSE),"")</f>
        <v/>
      </c>
      <c r="S1575" s="6"/>
      <c r="T1575" s="5" t="str">
        <f>UPPER(IF(Tabla2[[#This Row],[FECHA DE MUESTREO ]]=0,"",TEXT(Tabla2[[#This Row],[FECHA DE MUESTREO ]],("MMMM"))))</f>
        <v/>
      </c>
      <c r="U1575" s="6"/>
      <c r="W15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5" s="7">
        <f t="shared" si="45"/>
        <v>1</v>
      </c>
    </row>
    <row r="1576" spans="10:24" x14ac:dyDescent="0.25">
      <c r="J1576" s="5" t="str">
        <f>IFERROR(VLOOKUP(I1576,[1]INFO_LOCALES!$B:$C,2,FALSE),"")</f>
        <v/>
      </c>
      <c r="K1576" s="5" t="str">
        <f>IFERROR(VLOOKUP(Tabla2[[#This Row],[TIENDA]],[1]INFO_LOCALES!$B:$D,3,FALSE),"")</f>
        <v/>
      </c>
      <c r="L1576" s="5" t="str">
        <f>IFERROR(VLOOKUP(I1576,[1]INFO_LOCALES!$B:$I,8,FALSE),"")</f>
        <v/>
      </c>
      <c r="M1576" s="5" t="str">
        <f>IFERROR(VLOOKUP(I1576,[1]INFO_LOCALES!$B:$H,7,FALSE),"")</f>
        <v/>
      </c>
      <c r="N1576" s="5" t="str">
        <f>IFERROR(VLOOKUP(I1576,[1]INFO_LOCALES!$B:$E,4,FALSE),"")</f>
        <v/>
      </c>
      <c r="O1576" s="5" t="e">
        <f>VLOOKUP(Tabla2[[#This Row],[TIENDA]],[1]INFO_LOCALES!$B:$J,9,0)</f>
        <v>#N/A</v>
      </c>
      <c r="P1576" s="5" t="str">
        <f>IFERROR(VLOOKUP(I1576,[1]INFO_LOCALES!$B:$F,5,FALSE),"")</f>
        <v/>
      </c>
      <c r="S1576" s="6"/>
      <c r="T1576" s="5" t="str">
        <f>UPPER(IF(Tabla2[[#This Row],[FECHA DE MUESTREO ]]=0,"",TEXT(Tabla2[[#This Row],[FECHA DE MUESTREO ]],("MMMM"))))</f>
        <v/>
      </c>
      <c r="U1576" s="6"/>
      <c r="W15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6" s="7">
        <f t="shared" si="45"/>
        <v>1</v>
      </c>
    </row>
    <row r="1577" spans="10:24" x14ac:dyDescent="0.25">
      <c r="J1577" s="5" t="str">
        <f>IFERROR(VLOOKUP(I1577,[1]INFO_LOCALES!$B:$C,2,FALSE),"")</f>
        <v/>
      </c>
      <c r="K1577" s="5" t="str">
        <f>IFERROR(VLOOKUP(Tabla2[[#This Row],[TIENDA]],[1]INFO_LOCALES!$B:$D,3,FALSE),"")</f>
        <v/>
      </c>
      <c r="L1577" s="5" t="str">
        <f>IFERROR(VLOOKUP(I1577,[1]INFO_LOCALES!$B:$I,8,FALSE),"")</f>
        <v/>
      </c>
      <c r="M1577" s="5" t="str">
        <f>IFERROR(VLOOKUP(I1577,[1]INFO_LOCALES!$B:$H,7,FALSE),"")</f>
        <v/>
      </c>
      <c r="N1577" s="5" t="str">
        <f>IFERROR(VLOOKUP(I1577,[1]INFO_LOCALES!$B:$E,4,FALSE),"")</f>
        <v/>
      </c>
      <c r="O1577" s="5" t="e">
        <f>VLOOKUP(Tabla2[[#This Row],[TIENDA]],[1]INFO_LOCALES!$B:$J,9,0)</f>
        <v>#N/A</v>
      </c>
      <c r="P1577" s="5" t="str">
        <f>IFERROR(VLOOKUP(I1577,[1]INFO_LOCALES!$B:$F,5,FALSE),"")</f>
        <v/>
      </c>
      <c r="S1577" s="6"/>
      <c r="T1577" s="5" t="str">
        <f>UPPER(IF(Tabla2[[#This Row],[FECHA DE MUESTREO ]]=0,"",TEXT(Tabla2[[#This Row],[FECHA DE MUESTREO ]],("MMMM"))))</f>
        <v/>
      </c>
      <c r="U1577" s="6"/>
      <c r="W15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7" s="7">
        <f t="shared" si="45"/>
        <v>1</v>
      </c>
    </row>
    <row r="1578" spans="10:24" x14ac:dyDescent="0.25">
      <c r="J1578" s="5" t="str">
        <f>IFERROR(VLOOKUP(I1578,[1]INFO_LOCALES!$B:$C,2,FALSE),"")</f>
        <v/>
      </c>
      <c r="K1578" s="5" t="str">
        <f>IFERROR(VLOOKUP(Tabla2[[#This Row],[TIENDA]],[1]INFO_LOCALES!$B:$D,3,FALSE),"")</f>
        <v/>
      </c>
      <c r="L1578" s="5" t="str">
        <f>IFERROR(VLOOKUP(I1578,[1]INFO_LOCALES!$B:$I,8,FALSE),"")</f>
        <v/>
      </c>
      <c r="M1578" s="5" t="str">
        <f>IFERROR(VLOOKUP(I1578,[1]INFO_LOCALES!$B:$H,7,FALSE),"")</f>
        <v/>
      </c>
      <c r="N1578" s="5" t="str">
        <f>IFERROR(VLOOKUP(I1578,[1]INFO_LOCALES!$B:$E,4,FALSE),"")</f>
        <v/>
      </c>
      <c r="O1578" s="5" t="e">
        <f>VLOOKUP(Tabla2[[#This Row],[TIENDA]],[1]INFO_LOCALES!$B:$J,9,0)</f>
        <v>#N/A</v>
      </c>
      <c r="P1578" s="5" t="str">
        <f>IFERROR(VLOOKUP(I1578,[1]INFO_LOCALES!$B:$F,5,FALSE),"")</f>
        <v/>
      </c>
      <c r="S1578" s="6"/>
      <c r="T1578" s="5" t="str">
        <f>UPPER(IF(Tabla2[[#This Row],[FECHA DE MUESTREO ]]=0,"",TEXT(Tabla2[[#This Row],[FECHA DE MUESTREO ]],("MMMM"))))</f>
        <v/>
      </c>
      <c r="U1578" s="6"/>
      <c r="W15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8" s="7">
        <f t="shared" si="45"/>
        <v>1</v>
      </c>
    </row>
    <row r="1579" spans="10:24" x14ac:dyDescent="0.25">
      <c r="J1579" s="5" t="str">
        <f>IFERROR(VLOOKUP(I1579,[1]INFO_LOCALES!$B:$C,2,FALSE),"")</f>
        <v/>
      </c>
      <c r="K1579" s="5" t="str">
        <f>IFERROR(VLOOKUP(Tabla2[[#This Row],[TIENDA]],[1]INFO_LOCALES!$B:$D,3,FALSE),"")</f>
        <v/>
      </c>
      <c r="L1579" s="5" t="str">
        <f>IFERROR(VLOOKUP(I1579,[1]INFO_LOCALES!$B:$I,8,FALSE),"")</f>
        <v/>
      </c>
      <c r="M1579" s="5" t="str">
        <f>IFERROR(VLOOKUP(I1579,[1]INFO_LOCALES!$B:$H,7,FALSE),"")</f>
        <v/>
      </c>
      <c r="N1579" s="5" t="str">
        <f>IFERROR(VLOOKUP(I1579,[1]INFO_LOCALES!$B:$E,4,FALSE),"")</f>
        <v/>
      </c>
      <c r="O1579" s="5" t="e">
        <f>VLOOKUP(Tabla2[[#This Row],[TIENDA]],[1]INFO_LOCALES!$B:$J,9,0)</f>
        <v>#N/A</v>
      </c>
      <c r="P1579" s="5" t="str">
        <f>IFERROR(VLOOKUP(I1579,[1]INFO_LOCALES!$B:$F,5,FALSE),"")</f>
        <v/>
      </c>
      <c r="S1579" s="6"/>
      <c r="T1579" s="5" t="str">
        <f>UPPER(IF(Tabla2[[#This Row],[FECHA DE MUESTREO ]]=0,"",TEXT(Tabla2[[#This Row],[FECHA DE MUESTREO ]],("MMMM"))))</f>
        <v/>
      </c>
      <c r="U1579" s="6"/>
      <c r="W15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79" s="7">
        <f t="shared" si="45"/>
        <v>1</v>
      </c>
    </row>
    <row r="1580" spans="10:24" x14ac:dyDescent="0.25">
      <c r="J1580" s="5" t="str">
        <f>IFERROR(VLOOKUP(I1580,[1]INFO_LOCALES!$B:$C,2,FALSE),"")</f>
        <v/>
      </c>
      <c r="K1580" s="5" t="str">
        <f>IFERROR(VLOOKUP(Tabla2[[#This Row],[TIENDA]],[1]INFO_LOCALES!$B:$D,3,FALSE),"")</f>
        <v/>
      </c>
      <c r="L1580" s="5" t="str">
        <f>IFERROR(VLOOKUP(I1580,[1]INFO_LOCALES!$B:$I,8,FALSE),"")</f>
        <v/>
      </c>
      <c r="M1580" s="5" t="str">
        <f>IFERROR(VLOOKUP(I1580,[1]INFO_LOCALES!$B:$H,7,FALSE),"")</f>
        <v/>
      </c>
      <c r="N1580" s="5" t="str">
        <f>IFERROR(VLOOKUP(I1580,[1]INFO_LOCALES!$B:$E,4,FALSE),"")</f>
        <v/>
      </c>
      <c r="O1580" s="5" t="e">
        <f>VLOOKUP(Tabla2[[#This Row],[TIENDA]],[1]INFO_LOCALES!$B:$J,9,0)</f>
        <v>#N/A</v>
      </c>
      <c r="P1580" s="5" t="str">
        <f>IFERROR(VLOOKUP(I1580,[1]INFO_LOCALES!$B:$F,5,FALSE),"")</f>
        <v/>
      </c>
      <c r="S1580" s="6"/>
      <c r="T1580" s="5" t="str">
        <f>UPPER(IF(Tabla2[[#This Row],[FECHA DE MUESTREO ]]=0,"",TEXT(Tabla2[[#This Row],[FECHA DE MUESTREO ]],("MMMM"))))</f>
        <v/>
      </c>
      <c r="U1580" s="6"/>
      <c r="W15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0" s="7">
        <f t="shared" si="45"/>
        <v>1</v>
      </c>
    </row>
    <row r="1581" spans="10:24" x14ac:dyDescent="0.25">
      <c r="J1581" s="5" t="str">
        <f>IFERROR(VLOOKUP(I1581,[1]INFO_LOCALES!$B:$C,2,FALSE),"")</f>
        <v/>
      </c>
      <c r="K1581" s="5" t="str">
        <f>IFERROR(VLOOKUP(Tabla2[[#This Row],[TIENDA]],[1]INFO_LOCALES!$B:$D,3,FALSE),"")</f>
        <v/>
      </c>
      <c r="L1581" s="5" t="str">
        <f>IFERROR(VLOOKUP(I1581,[1]INFO_LOCALES!$B:$I,8,FALSE),"")</f>
        <v/>
      </c>
      <c r="M1581" s="5" t="str">
        <f>IFERROR(VLOOKUP(I1581,[1]INFO_LOCALES!$B:$H,7,FALSE),"")</f>
        <v/>
      </c>
      <c r="N1581" s="5" t="str">
        <f>IFERROR(VLOOKUP(I1581,[1]INFO_LOCALES!$B:$E,4,FALSE),"")</f>
        <v/>
      </c>
      <c r="O1581" s="5" t="e">
        <f>VLOOKUP(Tabla2[[#This Row],[TIENDA]],[1]INFO_LOCALES!$B:$J,9,0)</f>
        <v>#N/A</v>
      </c>
      <c r="P1581" s="5" t="str">
        <f>IFERROR(VLOOKUP(I1581,[1]INFO_LOCALES!$B:$F,5,FALSE),"")</f>
        <v/>
      </c>
      <c r="S1581" s="6"/>
      <c r="T1581" s="5" t="str">
        <f>UPPER(IF(Tabla2[[#This Row],[FECHA DE MUESTREO ]]=0,"",TEXT(Tabla2[[#This Row],[FECHA DE MUESTREO ]],("MMMM"))))</f>
        <v/>
      </c>
      <c r="U1581" s="6"/>
      <c r="W15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1" s="7">
        <f t="shared" si="45"/>
        <v>1</v>
      </c>
    </row>
    <row r="1582" spans="10:24" x14ac:dyDescent="0.25">
      <c r="J1582" s="5" t="str">
        <f>IFERROR(VLOOKUP(I1582,[1]INFO_LOCALES!$B:$C,2,FALSE),"")</f>
        <v/>
      </c>
      <c r="K1582" s="5" t="str">
        <f>IFERROR(VLOOKUP(Tabla2[[#This Row],[TIENDA]],[1]INFO_LOCALES!$B:$D,3,FALSE),"")</f>
        <v/>
      </c>
      <c r="L1582" s="5" t="str">
        <f>IFERROR(VLOOKUP(I1582,[1]INFO_LOCALES!$B:$I,8,FALSE),"")</f>
        <v/>
      </c>
      <c r="M1582" s="5" t="str">
        <f>IFERROR(VLOOKUP(I1582,[1]INFO_LOCALES!$B:$H,7,FALSE),"")</f>
        <v/>
      </c>
      <c r="N1582" s="5" t="str">
        <f>IFERROR(VLOOKUP(I1582,[1]INFO_LOCALES!$B:$E,4,FALSE),"")</f>
        <v/>
      </c>
      <c r="O1582" s="5" t="e">
        <f>VLOOKUP(Tabla2[[#This Row],[TIENDA]],[1]INFO_LOCALES!$B:$J,9,0)</f>
        <v>#N/A</v>
      </c>
      <c r="P1582" s="5" t="str">
        <f>IFERROR(VLOOKUP(I1582,[1]INFO_LOCALES!$B:$F,5,FALSE),"")</f>
        <v/>
      </c>
      <c r="S1582" s="6"/>
      <c r="T1582" s="5" t="str">
        <f>UPPER(IF(Tabla2[[#This Row],[FECHA DE MUESTREO ]]=0,"",TEXT(Tabla2[[#This Row],[FECHA DE MUESTREO ]],("MMMM"))))</f>
        <v/>
      </c>
      <c r="U1582" s="6"/>
      <c r="W15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2" s="7">
        <f t="shared" si="45"/>
        <v>1</v>
      </c>
    </row>
    <row r="1583" spans="10:24" x14ac:dyDescent="0.25">
      <c r="J1583" s="5" t="str">
        <f>IFERROR(VLOOKUP(I1583,[1]INFO_LOCALES!$B:$C,2,FALSE),"")</f>
        <v/>
      </c>
      <c r="K1583" s="5" t="str">
        <f>IFERROR(VLOOKUP(Tabla2[[#This Row],[TIENDA]],[1]INFO_LOCALES!$B:$D,3,FALSE),"")</f>
        <v/>
      </c>
      <c r="L1583" s="5" t="str">
        <f>IFERROR(VLOOKUP(I1583,[1]INFO_LOCALES!$B:$I,8,FALSE),"")</f>
        <v/>
      </c>
      <c r="M1583" s="5" t="str">
        <f>IFERROR(VLOOKUP(I1583,[1]INFO_LOCALES!$B:$H,7,FALSE),"")</f>
        <v/>
      </c>
      <c r="N1583" s="5" t="str">
        <f>IFERROR(VLOOKUP(I1583,[1]INFO_LOCALES!$B:$E,4,FALSE),"")</f>
        <v/>
      </c>
      <c r="O1583" s="5" t="e">
        <f>VLOOKUP(Tabla2[[#This Row],[TIENDA]],[1]INFO_LOCALES!$B:$J,9,0)</f>
        <v>#N/A</v>
      </c>
      <c r="P1583" s="5" t="str">
        <f>IFERROR(VLOOKUP(I1583,[1]INFO_LOCALES!$B:$F,5,FALSE),"")</f>
        <v/>
      </c>
      <c r="S1583" s="6"/>
      <c r="T1583" s="5" t="str">
        <f>UPPER(IF(Tabla2[[#This Row],[FECHA DE MUESTREO ]]=0,"",TEXT(Tabla2[[#This Row],[FECHA DE MUESTREO ]],("MMMM"))))</f>
        <v/>
      </c>
      <c r="U1583" s="6"/>
      <c r="W15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3" s="7">
        <f t="shared" si="45"/>
        <v>1</v>
      </c>
    </row>
    <row r="1584" spans="10:24" x14ac:dyDescent="0.25">
      <c r="J1584" s="5" t="str">
        <f>IFERROR(VLOOKUP(I1584,[1]INFO_LOCALES!$B:$C,2,FALSE),"")</f>
        <v/>
      </c>
      <c r="K1584" s="5" t="str">
        <f>IFERROR(VLOOKUP(Tabla2[[#This Row],[TIENDA]],[1]INFO_LOCALES!$B:$D,3,FALSE),"")</f>
        <v/>
      </c>
      <c r="L1584" s="5" t="str">
        <f>IFERROR(VLOOKUP(I1584,[1]INFO_LOCALES!$B:$I,8,FALSE),"")</f>
        <v/>
      </c>
      <c r="M1584" s="5" t="str">
        <f>IFERROR(VLOOKUP(I1584,[1]INFO_LOCALES!$B:$H,7,FALSE),"")</f>
        <v/>
      </c>
      <c r="N1584" s="5" t="str">
        <f>IFERROR(VLOOKUP(I1584,[1]INFO_LOCALES!$B:$E,4,FALSE),"")</f>
        <v/>
      </c>
      <c r="O1584" s="5" t="e">
        <f>VLOOKUP(Tabla2[[#This Row],[TIENDA]],[1]INFO_LOCALES!$B:$J,9,0)</f>
        <v>#N/A</v>
      </c>
      <c r="P1584" s="5" t="str">
        <f>IFERROR(VLOOKUP(I1584,[1]INFO_LOCALES!$B:$F,5,FALSE),"")</f>
        <v/>
      </c>
      <c r="S1584" s="6"/>
      <c r="T1584" s="5" t="str">
        <f>UPPER(IF(Tabla2[[#This Row],[FECHA DE MUESTREO ]]=0,"",TEXT(Tabla2[[#This Row],[FECHA DE MUESTREO ]],("MMMM"))))</f>
        <v/>
      </c>
      <c r="U1584" s="6"/>
      <c r="W15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4" s="7">
        <f t="shared" si="45"/>
        <v>1</v>
      </c>
    </row>
    <row r="1585" spans="10:24" x14ac:dyDescent="0.25">
      <c r="J1585" s="5" t="str">
        <f>IFERROR(VLOOKUP(I1585,[1]INFO_LOCALES!$B:$C,2,FALSE),"")</f>
        <v/>
      </c>
      <c r="K1585" s="5" t="str">
        <f>IFERROR(VLOOKUP(Tabla2[[#This Row],[TIENDA]],[1]INFO_LOCALES!$B:$D,3,FALSE),"")</f>
        <v/>
      </c>
      <c r="L1585" s="5" t="str">
        <f>IFERROR(VLOOKUP(I1585,[1]INFO_LOCALES!$B:$I,8,FALSE),"")</f>
        <v/>
      </c>
      <c r="M1585" s="5" t="str">
        <f>IFERROR(VLOOKUP(I1585,[1]INFO_LOCALES!$B:$H,7,FALSE),"")</f>
        <v/>
      </c>
      <c r="N1585" s="5" t="str">
        <f>IFERROR(VLOOKUP(I1585,[1]INFO_LOCALES!$B:$E,4,FALSE),"")</f>
        <v/>
      </c>
      <c r="O1585" s="5" t="e">
        <f>VLOOKUP(Tabla2[[#This Row],[TIENDA]],[1]INFO_LOCALES!$B:$J,9,0)</f>
        <v>#N/A</v>
      </c>
      <c r="P1585" s="5" t="str">
        <f>IFERROR(VLOOKUP(I1585,[1]INFO_LOCALES!$B:$F,5,FALSE),"")</f>
        <v/>
      </c>
      <c r="S1585" s="6"/>
      <c r="T1585" s="5" t="str">
        <f>UPPER(IF(Tabla2[[#This Row],[FECHA DE MUESTREO ]]=0,"",TEXT(Tabla2[[#This Row],[FECHA DE MUESTREO ]],("MMMM"))))</f>
        <v/>
      </c>
      <c r="U1585" s="6"/>
      <c r="W15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5" s="7">
        <f t="shared" si="45"/>
        <v>1</v>
      </c>
    </row>
    <row r="1586" spans="10:24" x14ac:dyDescent="0.25">
      <c r="J1586" s="5" t="str">
        <f>IFERROR(VLOOKUP(I1586,[1]INFO_LOCALES!$B:$C,2,FALSE),"")</f>
        <v/>
      </c>
      <c r="K1586" s="5" t="str">
        <f>IFERROR(VLOOKUP(Tabla2[[#This Row],[TIENDA]],[1]INFO_LOCALES!$B:$D,3,FALSE),"")</f>
        <v/>
      </c>
      <c r="L1586" s="5" t="str">
        <f>IFERROR(VLOOKUP(I1586,[1]INFO_LOCALES!$B:$I,8,FALSE),"")</f>
        <v/>
      </c>
      <c r="M1586" s="5" t="str">
        <f>IFERROR(VLOOKUP(I1586,[1]INFO_LOCALES!$B:$H,7,FALSE),"")</f>
        <v/>
      </c>
      <c r="N1586" s="5" t="str">
        <f>IFERROR(VLOOKUP(I1586,[1]INFO_LOCALES!$B:$E,4,FALSE),"")</f>
        <v/>
      </c>
      <c r="O1586" s="5" t="e">
        <f>VLOOKUP(Tabla2[[#This Row],[TIENDA]],[1]INFO_LOCALES!$B:$J,9,0)</f>
        <v>#N/A</v>
      </c>
      <c r="P1586" s="5" t="str">
        <f>IFERROR(VLOOKUP(I1586,[1]INFO_LOCALES!$B:$F,5,FALSE),"")</f>
        <v/>
      </c>
      <c r="S1586" s="6"/>
      <c r="T1586" s="5" t="str">
        <f>UPPER(IF(Tabla2[[#This Row],[FECHA DE MUESTREO ]]=0,"",TEXT(Tabla2[[#This Row],[FECHA DE MUESTREO ]],("MMMM"))))</f>
        <v/>
      </c>
      <c r="U1586" s="6"/>
      <c r="W15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6" s="7">
        <f t="shared" si="45"/>
        <v>1</v>
      </c>
    </row>
    <row r="1587" spans="10:24" x14ac:dyDescent="0.25">
      <c r="J1587" s="5" t="str">
        <f>IFERROR(VLOOKUP(I1587,[1]INFO_LOCALES!$B:$C,2,FALSE),"")</f>
        <v/>
      </c>
      <c r="K1587" s="5" t="str">
        <f>IFERROR(VLOOKUP(Tabla2[[#This Row],[TIENDA]],[1]INFO_LOCALES!$B:$D,3,FALSE),"")</f>
        <v/>
      </c>
      <c r="L1587" s="5" t="str">
        <f>IFERROR(VLOOKUP(I1587,[1]INFO_LOCALES!$B:$I,8,FALSE),"")</f>
        <v/>
      </c>
      <c r="M1587" s="5" t="str">
        <f>IFERROR(VLOOKUP(I1587,[1]INFO_LOCALES!$B:$H,7,FALSE),"")</f>
        <v/>
      </c>
      <c r="N1587" s="5" t="str">
        <f>IFERROR(VLOOKUP(I1587,[1]INFO_LOCALES!$B:$E,4,FALSE),"")</f>
        <v/>
      </c>
      <c r="O1587" s="5" t="e">
        <f>VLOOKUP(Tabla2[[#This Row],[TIENDA]],[1]INFO_LOCALES!$B:$J,9,0)</f>
        <v>#N/A</v>
      </c>
      <c r="P1587" s="5" t="str">
        <f>IFERROR(VLOOKUP(I1587,[1]INFO_LOCALES!$B:$F,5,FALSE),"")</f>
        <v/>
      </c>
      <c r="S1587" s="6"/>
      <c r="T1587" s="5" t="str">
        <f>UPPER(IF(Tabla2[[#This Row],[FECHA DE MUESTREO ]]=0,"",TEXT(Tabla2[[#This Row],[FECHA DE MUESTREO ]],("MMMM"))))</f>
        <v/>
      </c>
      <c r="U1587" s="6"/>
      <c r="W15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7" s="7">
        <f t="shared" si="45"/>
        <v>1</v>
      </c>
    </row>
    <row r="1588" spans="10:24" x14ac:dyDescent="0.25">
      <c r="J1588" s="5" t="str">
        <f>IFERROR(VLOOKUP(I1588,[1]INFO_LOCALES!$B:$C,2,FALSE),"")</f>
        <v/>
      </c>
      <c r="K1588" s="5" t="str">
        <f>IFERROR(VLOOKUP(Tabla2[[#This Row],[TIENDA]],[1]INFO_LOCALES!$B:$D,3,FALSE),"")</f>
        <v/>
      </c>
      <c r="L1588" s="5" t="str">
        <f>IFERROR(VLOOKUP(I1588,[1]INFO_LOCALES!$B:$I,8,FALSE),"")</f>
        <v/>
      </c>
      <c r="M1588" s="5" t="str">
        <f>IFERROR(VLOOKUP(I1588,[1]INFO_LOCALES!$B:$H,7,FALSE),"")</f>
        <v/>
      </c>
      <c r="N1588" s="5" t="str">
        <f>IFERROR(VLOOKUP(I1588,[1]INFO_LOCALES!$B:$E,4,FALSE),"")</f>
        <v/>
      </c>
      <c r="O1588" s="5" t="e">
        <f>VLOOKUP(Tabla2[[#This Row],[TIENDA]],[1]INFO_LOCALES!$B:$J,9,0)</f>
        <v>#N/A</v>
      </c>
      <c r="P1588" s="5" t="str">
        <f>IFERROR(VLOOKUP(I1588,[1]INFO_LOCALES!$B:$F,5,FALSE),"")</f>
        <v/>
      </c>
      <c r="S1588" s="6"/>
      <c r="T1588" s="5" t="str">
        <f>UPPER(IF(Tabla2[[#This Row],[FECHA DE MUESTREO ]]=0,"",TEXT(Tabla2[[#This Row],[FECHA DE MUESTREO ]],("MMMM"))))</f>
        <v/>
      </c>
      <c r="U1588" s="6"/>
      <c r="W15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8" s="7">
        <f t="shared" si="45"/>
        <v>1</v>
      </c>
    </row>
    <row r="1589" spans="10:24" x14ac:dyDescent="0.25">
      <c r="J1589" s="5" t="str">
        <f>IFERROR(VLOOKUP(I1589,[1]INFO_LOCALES!$B:$C,2,FALSE),"")</f>
        <v/>
      </c>
      <c r="K1589" s="5" t="str">
        <f>IFERROR(VLOOKUP(Tabla2[[#This Row],[TIENDA]],[1]INFO_LOCALES!$B:$D,3,FALSE),"")</f>
        <v/>
      </c>
      <c r="L1589" s="5" t="str">
        <f>IFERROR(VLOOKUP(I1589,[1]INFO_LOCALES!$B:$I,8,FALSE),"")</f>
        <v/>
      </c>
      <c r="M1589" s="5" t="str">
        <f>IFERROR(VLOOKUP(I1589,[1]INFO_LOCALES!$B:$H,7,FALSE),"")</f>
        <v/>
      </c>
      <c r="N1589" s="5" t="str">
        <f>IFERROR(VLOOKUP(I1589,[1]INFO_LOCALES!$B:$E,4,FALSE),"")</f>
        <v/>
      </c>
      <c r="O1589" s="5" t="e">
        <f>VLOOKUP(Tabla2[[#This Row],[TIENDA]],[1]INFO_LOCALES!$B:$J,9,0)</f>
        <v>#N/A</v>
      </c>
      <c r="P1589" s="5" t="str">
        <f>IFERROR(VLOOKUP(I1589,[1]INFO_LOCALES!$B:$F,5,FALSE),"")</f>
        <v/>
      </c>
      <c r="S1589" s="6"/>
      <c r="T1589" s="5" t="str">
        <f>UPPER(IF(Tabla2[[#This Row],[FECHA DE MUESTREO ]]=0,"",TEXT(Tabla2[[#This Row],[FECHA DE MUESTREO ]],("MMMM"))))</f>
        <v/>
      </c>
      <c r="U1589" s="6"/>
      <c r="W15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89" s="7">
        <f t="shared" si="45"/>
        <v>1</v>
      </c>
    </row>
    <row r="1590" spans="10:24" x14ac:dyDescent="0.25">
      <c r="J1590" s="5" t="str">
        <f>IFERROR(VLOOKUP(I1590,[1]INFO_LOCALES!$B:$C,2,FALSE),"")</f>
        <v/>
      </c>
      <c r="K1590" s="5" t="str">
        <f>IFERROR(VLOOKUP(Tabla2[[#This Row],[TIENDA]],[1]INFO_LOCALES!$B:$D,3,FALSE),"")</f>
        <v/>
      </c>
      <c r="L1590" s="5" t="str">
        <f>IFERROR(VLOOKUP(I1590,[1]INFO_LOCALES!$B:$I,8,FALSE),"")</f>
        <v/>
      </c>
      <c r="M1590" s="5" t="str">
        <f>IFERROR(VLOOKUP(I1590,[1]INFO_LOCALES!$B:$H,7,FALSE),"")</f>
        <v/>
      </c>
      <c r="N1590" s="5" t="str">
        <f>IFERROR(VLOOKUP(I1590,[1]INFO_LOCALES!$B:$E,4,FALSE),"")</f>
        <v/>
      </c>
      <c r="O1590" s="5" t="e">
        <f>VLOOKUP(Tabla2[[#This Row],[TIENDA]],[1]INFO_LOCALES!$B:$J,9,0)</f>
        <v>#N/A</v>
      </c>
      <c r="P1590" s="5" t="str">
        <f>IFERROR(VLOOKUP(I1590,[1]INFO_LOCALES!$B:$F,5,FALSE),"")</f>
        <v/>
      </c>
      <c r="S1590" s="6"/>
      <c r="T1590" s="5" t="str">
        <f>UPPER(IF(Tabla2[[#This Row],[FECHA DE MUESTREO ]]=0,"",TEXT(Tabla2[[#This Row],[FECHA DE MUESTREO ]],("MMMM"))))</f>
        <v/>
      </c>
      <c r="U1590" s="6"/>
      <c r="W15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0" s="7">
        <f t="shared" si="45"/>
        <v>1</v>
      </c>
    </row>
    <row r="1591" spans="10:24" x14ac:dyDescent="0.25">
      <c r="J1591" s="5" t="str">
        <f>IFERROR(VLOOKUP(I1591,[1]INFO_LOCALES!$B:$C,2,FALSE),"")</f>
        <v/>
      </c>
      <c r="K1591" s="5" t="str">
        <f>IFERROR(VLOOKUP(Tabla2[[#This Row],[TIENDA]],[1]INFO_LOCALES!$B:$D,3,FALSE),"")</f>
        <v/>
      </c>
      <c r="L1591" s="5" t="str">
        <f>IFERROR(VLOOKUP(I1591,[1]INFO_LOCALES!$B:$I,8,FALSE),"")</f>
        <v/>
      </c>
      <c r="M1591" s="5" t="str">
        <f>IFERROR(VLOOKUP(I1591,[1]INFO_LOCALES!$B:$H,7,FALSE),"")</f>
        <v/>
      </c>
      <c r="N1591" s="5" t="str">
        <f>IFERROR(VLOOKUP(I1591,[1]INFO_LOCALES!$B:$E,4,FALSE),"")</f>
        <v/>
      </c>
      <c r="O1591" s="5" t="e">
        <f>VLOOKUP(Tabla2[[#This Row],[TIENDA]],[1]INFO_LOCALES!$B:$J,9,0)</f>
        <v>#N/A</v>
      </c>
      <c r="P1591" s="5" t="str">
        <f>IFERROR(VLOOKUP(I1591,[1]INFO_LOCALES!$B:$F,5,FALSE),"")</f>
        <v/>
      </c>
      <c r="S1591" s="6"/>
      <c r="T1591" s="5" t="str">
        <f>UPPER(IF(Tabla2[[#This Row],[FECHA DE MUESTREO ]]=0,"",TEXT(Tabla2[[#This Row],[FECHA DE MUESTREO ]],("MMMM"))))</f>
        <v/>
      </c>
      <c r="U1591" s="6"/>
      <c r="W15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1" s="7">
        <f t="shared" si="45"/>
        <v>1</v>
      </c>
    </row>
    <row r="1592" spans="10:24" x14ac:dyDescent="0.25">
      <c r="J1592" s="5" t="str">
        <f>IFERROR(VLOOKUP(I1592,[1]INFO_LOCALES!$B:$C,2,FALSE),"")</f>
        <v/>
      </c>
      <c r="K1592" s="5" t="str">
        <f>IFERROR(VLOOKUP(Tabla2[[#This Row],[TIENDA]],[1]INFO_LOCALES!$B:$D,3,FALSE),"")</f>
        <v/>
      </c>
      <c r="L1592" s="5" t="str">
        <f>IFERROR(VLOOKUP(I1592,[1]INFO_LOCALES!$B:$I,8,FALSE),"")</f>
        <v/>
      </c>
      <c r="M1592" s="5" t="str">
        <f>IFERROR(VLOOKUP(I1592,[1]INFO_LOCALES!$B:$H,7,FALSE),"")</f>
        <v/>
      </c>
      <c r="N1592" s="5" t="str">
        <f>IFERROR(VLOOKUP(I1592,[1]INFO_LOCALES!$B:$E,4,FALSE),"")</f>
        <v/>
      </c>
      <c r="O1592" s="5" t="e">
        <f>VLOOKUP(Tabla2[[#This Row],[TIENDA]],[1]INFO_LOCALES!$B:$J,9,0)</f>
        <v>#N/A</v>
      </c>
      <c r="P1592" s="5" t="str">
        <f>IFERROR(VLOOKUP(I1592,[1]INFO_LOCALES!$B:$F,5,FALSE),"")</f>
        <v/>
      </c>
      <c r="S1592" s="6"/>
      <c r="T1592" s="5" t="str">
        <f>UPPER(IF(Tabla2[[#This Row],[FECHA DE MUESTREO ]]=0,"",TEXT(Tabla2[[#This Row],[FECHA DE MUESTREO ]],("MMMM"))))</f>
        <v/>
      </c>
      <c r="U1592" s="6"/>
      <c r="W15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2" s="7">
        <f t="shared" si="45"/>
        <v>1</v>
      </c>
    </row>
    <row r="1593" spans="10:24" x14ac:dyDescent="0.25">
      <c r="J1593" s="5" t="str">
        <f>IFERROR(VLOOKUP(I1593,[1]INFO_LOCALES!$B:$C,2,FALSE),"")</f>
        <v/>
      </c>
      <c r="K1593" s="5" t="str">
        <f>IFERROR(VLOOKUP(Tabla2[[#This Row],[TIENDA]],[1]INFO_LOCALES!$B:$D,3,FALSE),"")</f>
        <v/>
      </c>
      <c r="L1593" s="5" t="str">
        <f>IFERROR(VLOOKUP(I1593,[1]INFO_LOCALES!$B:$I,8,FALSE),"")</f>
        <v/>
      </c>
      <c r="M1593" s="5" t="str">
        <f>IFERROR(VLOOKUP(I1593,[1]INFO_LOCALES!$B:$H,7,FALSE),"")</f>
        <v/>
      </c>
      <c r="N1593" s="5" t="str">
        <f>IFERROR(VLOOKUP(I1593,[1]INFO_LOCALES!$B:$E,4,FALSE),"")</f>
        <v/>
      </c>
      <c r="O1593" s="5" t="e">
        <f>VLOOKUP(Tabla2[[#This Row],[TIENDA]],[1]INFO_LOCALES!$B:$J,9,0)</f>
        <v>#N/A</v>
      </c>
      <c r="P1593" s="5" t="str">
        <f>IFERROR(VLOOKUP(I1593,[1]INFO_LOCALES!$B:$F,5,FALSE),"")</f>
        <v/>
      </c>
      <c r="S1593" s="6"/>
      <c r="T1593" s="5" t="str">
        <f>UPPER(IF(Tabla2[[#This Row],[FECHA DE MUESTREO ]]=0,"",TEXT(Tabla2[[#This Row],[FECHA DE MUESTREO ]],("MMMM"))))</f>
        <v/>
      </c>
      <c r="U1593" s="6"/>
      <c r="W15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3" s="7">
        <f t="shared" si="45"/>
        <v>1</v>
      </c>
    </row>
    <row r="1594" spans="10:24" x14ac:dyDescent="0.25">
      <c r="J1594" s="5" t="str">
        <f>IFERROR(VLOOKUP(I1594,[1]INFO_LOCALES!$B:$C,2,FALSE),"")</f>
        <v/>
      </c>
      <c r="K1594" s="5" t="str">
        <f>IFERROR(VLOOKUP(Tabla2[[#This Row],[TIENDA]],[1]INFO_LOCALES!$B:$D,3,FALSE),"")</f>
        <v/>
      </c>
      <c r="L1594" s="5" t="str">
        <f>IFERROR(VLOOKUP(I1594,[1]INFO_LOCALES!$B:$I,8,FALSE),"")</f>
        <v/>
      </c>
      <c r="M1594" s="5" t="str">
        <f>IFERROR(VLOOKUP(I1594,[1]INFO_LOCALES!$B:$H,7,FALSE),"")</f>
        <v/>
      </c>
      <c r="N1594" s="5" t="str">
        <f>IFERROR(VLOOKUP(I1594,[1]INFO_LOCALES!$B:$E,4,FALSE),"")</f>
        <v/>
      </c>
      <c r="O1594" s="5" t="e">
        <f>VLOOKUP(Tabla2[[#This Row],[TIENDA]],[1]INFO_LOCALES!$B:$J,9,0)</f>
        <v>#N/A</v>
      </c>
      <c r="P1594" s="5" t="str">
        <f>IFERROR(VLOOKUP(I1594,[1]INFO_LOCALES!$B:$F,5,FALSE),"")</f>
        <v/>
      </c>
      <c r="S1594" s="6"/>
      <c r="T1594" s="5" t="str">
        <f>UPPER(IF(Tabla2[[#This Row],[FECHA DE MUESTREO ]]=0,"",TEXT(Tabla2[[#This Row],[FECHA DE MUESTREO ]],("MMMM"))))</f>
        <v/>
      </c>
      <c r="U1594" s="6"/>
      <c r="W15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4" s="7">
        <f t="shared" si="45"/>
        <v>1</v>
      </c>
    </row>
    <row r="1595" spans="10:24" x14ac:dyDescent="0.25">
      <c r="J1595" s="5" t="str">
        <f>IFERROR(VLOOKUP(I1595,[1]INFO_LOCALES!$B:$C,2,FALSE),"")</f>
        <v/>
      </c>
      <c r="K1595" s="5" t="str">
        <f>IFERROR(VLOOKUP(Tabla2[[#This Row],[TIENDA]],[1]INFO_LOCALES!$B:$D,3,FALSE),"")</f>
        <v/>
      </c>
      <c r="L1595" s="5" t="str">
        <f>IFERROR(VLOOKUP(I1595,[1]INFO_LOCALES!$B:$I,8,FALSE),"")</f>
        <v/>
      </c>
      <c r="M1595" s="5" t="str">
        <f>IFERROR(VLOOKUP(I1595,[1]INFO_LOCALES!$B:$H,7,FALSE),"")</f>
        <v/>
      </c>
      <c r="N1595" s="5" t="str">
        <f>IFERROR(VLOOKUP(I1595,[1]INFO_LOCALES!$B:$E,4,FALSE),"")</f>
        <v/>
      </c>
      <c r="O1595" s="5" t="e">
        <f>VLOOKUP(Tabla2[[#This Row],[TIENDA]],[1]INFO_LOCALES!$B:$J,9,0)</f>
        <v>#N/A</v>
      </c>
      <c r="P1595" s="5" t="str">
        <f>IFERROR(VLOOKUP(I1595,[1]INFO_LOCALES!$B:$F,5,FALSE),"")</f>
        <v/>
      </c>
      <c r="S1595" s="6"/>
      <c r="T1595" s="5" t="str">
        <f>UPPER(IF(Tabla2[[#This Row],[FECHA DE MUESTREO ]]=0,"",TEXT(Tabla2[[#This Row],[FECHA DE MUESTREO ]],("MMMM"))))</f>
        <v/>
      </c>
      <c r="U1595" s="6"/>
      <c r="W15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5" s="7">
        <f t="shared" si="45"/>
        <v>1</v>
      </c>
    </row>
    <row r="1596" spans="10:24" x14ac:dyDescent="0.25">
      <c r="J1596" s="5" t="str">
        <f>IFERROR(VLOOKUP(I1596,[1]INFO_LOCALES!$B:$C,2,FALSE),"")</f>
        <v/>
      </c>
      <c r="K1596" s="5" t="str">
        <f>IFERROR(VLOOKUP(Tabla2[[#This Row],[TIENDA]],[1]INFO_LOCALES!$B:$D,3,FALSE),"")</f>
        <v/>
      </c>
      <c r="L1596" s="5" t="str">
        <f>IFERROR(VLOOKUP(I1596,[1]INFO_LOCALES!$B:$I,8,FALSE),"")</f>
        <v/>
      </c>
      <c r="M1596" s="5" t="str">
        <f>IFERROR(VLOOKUP(I1596,[1]INFO_LOCALES!$B:$H,7,FALSE),"")</f>
        <v/>
      </c>
      <c r="N1596" s="5" t="str">
        <f>IFERROR(VLOOKUP(I1596,[1]INFO_LOCALES!$B:$E,4,FALSE),"")</f>
        <v/>
      </c>
      <c r="O1596" s="5" t="e">
        <f>VLOOKUP(Tabla2[[#This Row],[TIENDA]],[1]INFO_LOCALES!$B:$J,9,0)</f>
        <v>#N/A</v>
      </c>
      <c r="P1596" s="5" t="str">
        <f>IFERROR(VLOOKUP(I1596,[1]INFO_LOCALES!$B:$F,5,FALSE),"")</f>
        <v/>
      </c>
      <c r="S1596" s="6"/>
      <c r="T1596" s="5" t="str">
        <f>UPPER(IF(Tabla2[[#This Row],[FECHA DE MUESTREO ]]=0,"",TEXT(Tabla2[[#This Row],[FECHA DE MUESTREO ]],("MMMM"))))</f>
        <v/>
      </c>
      <c r="U1596" s="6"/>
      <c r="W15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6" s="7">
        <f t="shared" si="45"/>
        <v>1</v>
      </c>
    </row>
    <row r="1597" spans="10:24" x14ac:dyDescent="0.25">
      <c r="J1597" s="5" t="str">
        <f>IFERROR(VLOOKUP(I1597,[1]INFO_LOCALES!$B:$C,2,FALSE),"")</f>
        <v/>
      </c>
      <c r="K1597" s="5" t="str">
        <f>IFERROR(VLOOKUP(Tabla2[[#This Row],[TIENDA]],[1]INFO_LOCALES!$B:$D,3,FALSE),"")</f>
        <v/>
      </c>
      <c r="L1597" s="5" t="str">
        <f>IFERROR(VLOOKUP(I1597,[1]INFO_LOCALES!$B:$I,8,FALSE),"")</f>
        <v/>
      </c>
      <c r="M1597" s="5" t="str">
        <f>IFERROR(VLOOKUP(I1597,[1]INFO_LOCALES!$B:$H,7,FALSE),"")</f>
        <v/>
      </c>
      <c r="N1597" s="5" t="str">
        <f>IFERROR(VLOOKUP(I1597,[1]INFO_LOCALES!$B:$E,4,FALSE),"")</f>
        <v/>
      </c>
      <c r="O1597" s="5" t="e">
        <f>VLOOKUP(Tabla2[[#This Row],[TIENDA]],[1]INFO_LOCALES!$B:$J,9,0)</f>
        <v>#N/A</v>
      </c>
      <c r="P1597" s="5" t="str">
        <f>IFERROR(VLOOKUP(I1597,[1]INFO_LOCALES!$B:$F,5,FALSE),"")</f>
        <v/>
      </c>
      <c r="S1597" s="6"/>
      <c r="T1597" s="5" t="str">
        <f>UPPER(IF(Tabla2[[#This Row],[FECHA DE MUESTREO ]]=0,"",TEXT(Tabla2[[#This Row],[FECHA DE MUESTREO ]],("MMMM"))))</f>
        <v/>
      </c>
      <c r="U1597" s="6"/>
      <c r="W15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7" s="7">
        <f t="shared" si="45"/>
        <v>1</v>
      </c>
    </row>
    <row r="1598" spans="10:24" x14ac:dyDescent="0.25">
      <c r="J1598" s="5" t="str">
        <f>IFERROR(VLOOKUP(I1598,[1]INFO_LOCALES!$B:$C,2,FALSE),"")</f>
        <v/>
      </c>
      <c r="K1598" s="5" t="str">
        <f>IFERROR(VLOOKUP(Tabla2[[#This Row],[TIENDA]],[1]INFO_LOCALES!$B:$D,3,FALSE),"")</f>
        <v/>
      </c>
      <c r="L1598" s="5" t="str">
        <f>IFERROR(VLOOKUP(I1598,[1]INFO_LOCALES!$B:$I,8,FALSE),"")</f>
        <v/>
      </c>
      <c r="M1598" s="5" t="str">
        <f>IFERROR(VLOOKUP(I1598,[1]INFO_LOCALES!$B:$H,7,FALSE),"")</f>
        <v/>
      </c>
      <c r="N1598" s="5" t="str">
        <f>IFERROR(VLOOKUP(I1598,[1]INFO_LOCALES!$B:$E,4,FALSE),"")</f>
        <v/>
      </c>
      <c r="O1598" s="5" t="e">
        <f>VLOOKUP(Tabla2[[#This Row],[TIENDA]],[1]INFO_LOCALES!$B:$J,9,0)</f>
        <v>#N/A</v>
      </c>
      <c r="P1598" s="5" t="str">
        <f>IFERROR(VLOOKUP(I1598,[1]INFO_LOCALES!$B:$F,5,FALSE),"")</f>
        <v/>
      </c>
      <c r="S1598" s="6"/>
      <c r="T1598" s="5" t="str">
        <f>UPPER(IF(Tabla2[[#This Row],[FECHA DE MUESTREO ]]=0,"",TEXT(Tabla2[[#This Row],[FECHA DE MUESTREO ]],("MMMM"))))</f>
        <v/>
      </c>
      <c r="U1598" s="6"/>
      <c r="W15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8" s="7">
        <f t="shared" si="45"/>
        <v>1</v>
      </c>
    </row>
    <row r="1599" spans="10:24" x14ac:dyDescent="0.25">
      <c r="J1599" s="5" t="str">
        <f>IFERROR(VLOOKUP(I1599,[1]INFO_LOCALES!$B:$C,2,FALSE),"")</f>
        <v/>
      </c>
      <c r="K1599" s="5" t="str">
        <f>IFERROR(VLOOKUP(Tabla2[[#This Row],[TIENDA]],[1]INFO_LOCALES!$B:$D,3,FALSE),"")</f>
        <v/>
      </c>
      <c r="L1599" s="5" t="str">
        <f>IFERROR(VLOOKUP(I1599,[1]INFO_LOCALES!$B:$I,8,FALSE),"")</f>
        <v/>
      </c>
      <c r="M1599" s="5" t="str">
        <f>IFERROR(VLOOKUP(I1599,[1]INFO_LOCALES!$B:$H,7,FALSE),"")</f>
        <v/>
      </c>
      <c r="N1599" s="5" t="str">
        <f>IFERROR(VLOOKUP(I1599,[1]INFO_LOCALES!$B:$E,4,FALSE),"")</f>
        <v/>
      </c>
      <c r="O1599" s="5" t="e">
        <f>VLOOKUP(Tabla2[[#This Row],[TIENDA]],[1]INFO_LOCALES!$B:$J,9,0)</f>
        <v>#N/A</v>
      </c>
      <c r="P1599" s="5" t="str">
        <f>IFERROR(VLOOKUP(I1599,[1]INFO_LOCALES!$B:$F,5,FALSE),"")</f>
        <v/>
      </c>
      <c r="S1599" s="6"/>
      <c r="T1599" s="5" t="str">
        <f>UPPER(IF(Tabla2[[#This Row],[FECHA DE MUESTREO ]]=0,"",TEXT(Tabla2[[#This Row],[FECHA DE MUESTREO ]],("MMMM"))))</f>
        <v/>
      </c>
      <c r="U1599" s="6"/>
      <c r="W15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599" s="7">
        <f t="shared" si="45"/>
        <v>1</v>
      </c>
    </row>
    <row r="1600" spans="10:24" x14ac:dyDescent="0.25">
      <c r="J1600" s="5" t="str">
        <f>IFERROR(VLOOKUP(I1600,[1]INFO_LOCALES!$B:$C,2,FALSE),"")</f>
        <v/>
      </c>
      <c r="K1600" s="5" t="str">
        <f>IFERROR(VLOOKUP(Tabla2[[#This Row],[TIENDA]],[1]INFO_LOCALES!$B:$D,3,FALSE),"")</f>
        <v/>
      </c>
      <c r="L1600" s="5" t="str">
        <f>IFERROR(VLOOKUP(I1600,[1]INFO_LOCALES!$B:$I,8,FALSE),"")</f>
        <v/>
      </c>
      <c r="M1600" s="5" t="str">
        <f>IFERROR(VLOOKUP(I1600,[1]INFO_LOCALES!$B:$H,7,FALSE),"")</f>
        <v/>
      </c>
      <c r="N1600" s="5" t="str">
        <f>IFERROR(VLOOKUP(I1600,[1]INFO_LOCALES!$B:$E,4,FALSE),"")</f>
        <v/>
      </c>
      <c r="O1600" s="5" t="e">
        <f>VLOOKUP(Tabla2[[#This Row],[TIENDA]],[1]INFO_LOCALES!$B:$J,9,0)</f>
        <v>#N/A</v>
      </c>
      <c r="P1600" s="5" t="str">
        <f>IFERROR(VLOOKUP(I1600,[1]INFO_LOCALES!$B:$F,5,FALSE),"")</f>
        <v/>
      </c>
      <c r="S1600" s="6"/>
      <c r="T1600" s="5" t="str">
        <f>UPPER(IF(Tabla2[[#This Row],[FECHA DE MUESTREO ]]=0,"",TEXT(Tabla2[[#This Row],[FECHA DE MUESTREO ]],("MMMM"))))</f>
        <v/>
      </c>
      <c r="U1600" s="6"/>
      <c r="W16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0" s="7">
        <f t="shared" si="45"/>
        <v>1</v>
      </c>
    </row>
    <row r="1601" spans="10:24" x14ac:dyDescent="0.25">
      <c r="J1601" s="5" t="str">
        <f>IFERROR(VLOOKUP(I1601,[1]INFO_LOCALES!$B:$C,2,FALSE),"")</f>
        <v/>
      </c>
      <c r="K1601" s="5" t="str">
        <f>IFERROR(VLOOKUP(Tabla2[[#This Row],[TIENDA]],[1]INFO_LOCALES!$B:$D,3,FALSE),"")</f>
        <v/>
      </c>
      <c r="L1601" s="5" t="str">
        <f>IFERROR(VLOOKUP(I1601,[1]INFO_LOCALES!$B:$I,8,FALSE),"")</f>
        <v/>
      </c>
      <c r="M1601" s="5" t="str">
        <f>IFERROR(VLOOKUP(I1601,[1]INFO_LOCALES!$B:$H,7,FALSE),"")</f>
        <v/>
      </c>
      <c r="N1601" s="5" t="str">
        <f>IFERROR(VLOOKUP(I1601,[1]INFO_LOCALES!$B:$E,4,FALSE),"")</f>
        <v/>
      </c>
      <c r="O1601" s="5" t="e">
        <f>VLOOKUP(Tabla2[[#This Row],[TIENDA]],[1]INFO_LOCALES!$B:$J,9,0)</f>
        <v>#N/A</v>
      </c>
      <c r="P1601" s="5" t="str">
        <f>IFERROR(VLOOKUP(I1601,[1]INFO_LOCALES!$B:$F,5,FALSE),"")</f>
        <v/>
      </c>
      <c r="S1601" s="6"/>
      <c r="T1601" s="5" t="str">
        <f>UPPER(IF(Tabla2[[#This Row],[FECHA DE MUESTREO ]]=0,"",TEXT(Tabla2[[#This Row],[FECHA DE MUESTREO ]],("MMMM"))))</f>
        <v/>
      </c>
      <c r="U1601" s="6"/>
      <c r="W16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1" s="7">
        <f t="shared" si="45"/>
        <v>1</v>
      </c>
    </row>
    <row r="1602" spans="10:24" x14ac:dyDescent="0.25">
      <c r="J1602" s="5" t="str">
        <f>IFERROR(VLOOKUP(I1602,[1]INFO_LOCALES!$B:$C,2,FALSE),"")</f>
        <v/>
      </c>
      <c r="K1602" s="5" t="str">
        <f>IFERROR(VLOOKUP(Tabla2[[#This Row],[TIENDA]],[1]INFO_LOCALES!$B:$D,3,FALSE),"")</f>
        <v/>
      </c>
      <c r="L1602" s="5" t="str">
        <f>IFERROR(VLOOKUP(I1602,[1]INFO_LOCALES!$B:$I,8,FALSE),"")</f>
        <v/>
      </c>
      <c r="M1602" s="5" t="str">
        <f>IFERROR(VLOOKUP(I1602,[1]INFO_LOCALES!$B:$H,7,FALSE),"")</f>
        <v/>
      </c>
      <c r="N1602" s="5" t="str">
        <f>IFERROR(VLOOKUP(I1602,[1]INFO_LOCALES!$B:$E,4,FALSE),"")</f>
        <v/>
      </c>
      <c r="O1602" s="5" t="e">
        <f>VLOOKUP(Tabla2[[#This Row],[TIENDA]],[1]INFO_LOCALES!$B:$J,9,0)</f>
        <v>#N/A</v>
      </c>
      <c r="P1602" s="5" t="str">
        <f>IFERROR(VLOOKUP(I1602,[1]INFO_LOCALES!$B:$F,5,FALSE),"")</f>
        <v/>
      </c>
      <c r="S1602" s="6"/>
      <c r="T1602" s="5" t="str">
        <f>UPPER(IF(Tabla2[[#This Row],[FECHA DE MUESTREO ]]=0,"",TEXT(Tabla2[[#This Row],[FECHA DE MUESTREO ]],("MMMM"))))</f>
        <v/>
      </c>
      <c r="U1602" s="6"/>
      <c r="W16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2" s="7">
        <f t="shared" si="45"/>
        <v>1</v>
      </c>
    </row>
    <row r="1603" spans="10:24" x14ac:dyDescent="0.25">
      <c r="J1603" s="5" t="str">
        <f>IFERROR(VLOOKUP(I1603,[1]INFO_LOCALES!$B:$C,2,FALSE),"")</f>
        <v/>
      </c>
      <c r="K1603" s="5" t="str">
        <f>IFERROR(VLOOKUP(Tabla2[[#This Row],[TIENDA]],[1]INFO_LOCALES!$B:$D,3,FALSE),"")</f>
        <v/>
      </c>
      <c r="L1603" s="5" t="str">
        <f>IFERROR(VLOOKUP(I1603,[1]INFO_LOCALES!$B:$I,8,FALSE),"")</f>
        <v/>
      </c>
      <c r="M1603" s="5" t="str">
        <f>IFERROR(VLOOKUP(I1603,[1]INFO_LOCALES!$B:$H,7,FALSE),"")</f>
        <v/>
      </c>
      <c r="N1603" s="5" t="str">
        <f>IFERROR(VLOOKUP(I1603,[1]INFO_LOCALES!$B:$E,4,FALSE),"")</f>
        <v/>
      </c>
      <c r="O1603" s="5" t="e">
        <f>VLOOKUP(Tabla2[[#This Row],[TIENDA]],[1]INFO_LOCALES!$B:$J,9,0)</f>
        <v>#N/A</v>
      </c>
      <c r="P1603" s="5" t="str">
        <f>IFERROR(VLOOKUP(I1603,[1]INFO_LOCALES!$B:$F,5,FALSE),"")</f>
        <v/>
      </c>
      <c r="S1603" s="6"/>
      <c r="T1603" s="5" t="str">
        <f>UPPER(IF(Tabla2[[#This Row],[FECHA DE MUESTREO ]]=0,"",TEXT(Tabla2[[#This Row],[FECHA DE MUESTREO ]],("MMMM"))))</f>
        <v/>
      </c>
      <c r="U1603" s="6"/>
      <c r="W16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3" s="7">
        <f t="shared" si="45"/>
        <v>1</v>
      </c>
    </row>
    <row r="1604" spans="10:24" x14ac:dyDescent="0.25">
      <c r="J1604" s="5" t="str">
        <f>IFERROR(VLOOKUP(I1604,[1]INFO_LOCALES!$B:$C,2,FALSE),"")</f>
        <v/>
      </c>
      <c r="K1604" s="5" t="str">
        <f>IFERROR(VLOOKUP(Tabla2[[#This Row],[TIENDA]],[1]INFO_LOCALES!$B:$D,3,FALSE),"")</f>
        <v/>
      </c>
      <c r="L1604" s="5" t="str">
        <f>IFERROR(VLOOKUP(I1604,[1]INFO_LOCALES!$B:$I,8,FALSE),"")</f>
        <v/>
      </c>
      <c r="M1604" s="5" t="str">
        <f>IFERROR(VLOOKUP(I1604,[1]INFO_LOCALES!$B:$H,7,FALSE),"")</f>
        <v/>
      </c>
      <c r="N1604" s="5" t="str">
        <f>IFERROR(VLOOKUP(I1604,[1]INFO_LOCALES!$B:$E,4,FALSE),"")</f>
        <v/>
      </c>
      <c r="O1604" s="5" t="e">
        <f>VLOOKUP(Tabla2[[#This Row],[TIENDA]],[1]INFO_LOCALES!$B:$J,9,0)</f>
        <v>#N/A</v>
      </c>
      <c r="P1604" s="5" t="str">
        <f>IFERROR(VLOOKUP(I1604,[1]INFO_LOCALES!$B:$F,5,FALSE),"")</f>
        <v/>
      </c>
      <c r="S1604" s="6"/>
      <c r="T1604" s="5" t="str">
        <f>UPPER(IF(Tabla2[[#This Row],[FECHA DE MUESTREO ]]=0,"",TEXT(Tabla2[[#This Row],[FECHA DE MUESTREO ]],("MMMM"))))</f>
        <v/>
      </c>
      <c r="U1604" s="6"/>
      <c r="W16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4" s="7">
        <f t="shared" si="45"/>
        <v>1</v>
      </c>
    </row>
    <row r="1605" spans="10:24" x14ac:dyDescent="0.25">
      <c r="J1605" s="5" t="str">
        <f>IFERROR(VLOOKUP(I1605,[1]INFO_LOCALES!$B:$C,2,FALSE),"")</f>
        <v/>
      </c>
      <c r="K1605" s="5" t="str">
        <f>IFERROR(VLOOKUP(Tabla2[[#This Row],[TIENDA]],[1]INFO_LOCALES!$B:$D,3,FALSE),"")</f>
        <v/>
      </c>
      <c r="L1605" s="5" t="str">
        <f>IFERROR(VLOOKUP(I1605,[1]INFO_LOCALES!$B:$I,8,FALSE),"")</f>
        <v/>
      </c>
      <c r="M1605" s="5" t="str">
        <f>IFERROR(VLOOKUP(I1605,[1]INFO_LOCALES!$B:$H,7,FALSE),"")</f>
        <v/>
      </c>
      <c r="N1605" s="5" t="str">
        <f>IFERROR(VLOOKUP(I1605,[1]INFO_LOCALES!$B:$E,4,FALSE),"")</f>
        <v/>
      </c>
      <c r="O1605" s="5" t="e">
        <f>VLOOKUP(Tabla2[[#This Row],[TIENDA]],[1]INFO_LOCALES!$B:$J,9,0)</f>
        <v>#N/A</v>
      </c>
      <c r="P1605" s="5" t="str">
        <f>IFERROR(VLOOKUP(I1605,[1]INFO_LOCALES!$B:$F,5,FALSE),"")</f>
        <v/>
      </c>
      <c r="S1605" s="6"/>
      <c r="T1605" s="5" t="str">
        <f>UPPER(IF(Tabla2[[#This Row],[FECHA DE MUESTREO ]]=0,"",TEXT(Tabla2[[#This Row],[FECHA DE MUESTREO ]],("MMMM"))))</f>
        <v/>
      </c>
      <c r="U1605" s="6"/>
      <c r="W16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5" s="7">
        <f t="shared" si="45"/>
        <v>1</v>
      </c>
    </row>
    <row r="1606" spans="10:24" x14ac:dyDescent="0.25">
      <c r="J1606" s="5" t="str">
        <f>IFERROR(VLOOKUP(I1606,[1]INFO_LOCALES!$B:$C,2,FALSE),"")</f>
        <v/>
      </c>
      <c r="K1606" s="5" t="str">
        <f>IFERROR(VLOOKUP(Tabla2[[#This Row],[TIENDA]],[1]INFO_LOCALES!$B:$D,3,FALSE),"")</f>
        <v/>
      </c>
      <c r="L1606" s="5" t="str">
        <f>IFERROR(VLOOKUP(I1606,[1]INFO_LOCALES!$B:$I,8,FALSE),"")</f>
        <v/>
      </c>
      <c r="M1606" s="5" t="str">
        <f>IFERROR(VLOOKUP(I1606,[1]INFO_LOCALES!$B:$H,7,FALSE),"")</f>
        <v/>
      </c>
      <c r="N1606" s="5" t="str">
        <f>IFERROR(VLOOKUP(I1606,[1]INFO_LOCALES!$B:$E,4,FALSE),"")</f>
        <v/>
      </c>
      <c r="O1606" s="5" t="e">
        <f>VLOOKUP(Tabla2[[#This Row],[TIENDA]],[1]INFO_LOCALES!$B:$J,9,0)</f>
        <v>#N/A</v>
      </c>
      <c r="P1606" s="5" t="str">
        <f>IFERROR(VLOOKUP(I1606,[1]INFO_LOCALES!$B:$F,5,FALSE),"")</f>
        <v/>
      </c>
      <c r="S1606" s="6"/>
      <c r="T1606" s="5" t="str">
        <f>UPPER(IF(Tabla2[[#This Row],[FECHA DE MUESTREO ]]=0,"",TEXT(Tabla2[[#This Row],[FECHA DE MUESTREO ]],("MMMM"))))</f>
        <v/>
      </c>
      <c r="U1606" s="6"/>
      <c r="W16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6" s="7">
        <f t="shared" si="45"/>
        <v>1</v>
      </c>
    </row>
    <row r="1607" spans="10:24" x14ac:dyDescent="0.25">
      <c r="J1607" s="5" t="str">
        <f>IFERROR(VLOOKUP(I1607,[1]INFO_LOCALES!$B:$C,2,FALSE),"")</f>
        <v/>
      </c>
      <c r="K1607" s="5" t="str">
        <f>IFERROR(VLOOKUP(Tabla2[[#This Row],[TIENDA]],[1]INFO_LOCALES!$B:$D,3,FALSE),"")</f>
        <v/>
      </c>
      <c r="L1607" s="5" t="str">
        <f>IFERROR(VLOOKUP(I1607,[1]INFO_LOCALES!$B:$I,8,FALSE),"")</f>
        <v/>
      </c>
      <c r="M1607" s="5" t="str">
        <f>IFERROR(VLOOKUP(I1607,[1]INFO_LOCALES!$B:$H,7,FALSE),"")</f>
        <v/>
      </c>
      <c r="N1607" s="5" t="str">
        <f>IFERROR(VLOOKUP(I1607,[1]INFO_LOCALES!$B:$E,4,FALSE),"")</f>
        <v/>
      </c>
      <c r="O1607" s="5" t="e">
        <f>VLOOKUP(Tabla2[[#This Row],[TIENDA]],[1]INFO_LOCALES!$B:$J,9,0)</f>
        <v>#N/A</v>
      </c>
      <c r="P1607" s="5" t="str">
        <f>IFERROR(VLOOKUP(I1607,[1]INFO_LOCALES!$B:$F,5,FALSE),"")</f>
        <v/>
      </c>
      <c r="S1607" s="6"/>
      <c r="T1607" s="5" t="str">
        <f>UPPER(IF(Tabla2[[#This Row],[FECHA DE MUESTREO ]]=0,"",TEXT(Tabla2[[#This Row],[FECHA DE MUESTREO ]],("MMMM"))))</f>
        <v/>
      </c>
      <c r="U1607" s="6"/>
      <c r="W16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7" s="7">
        <f t="shared" si="45"/>
        <v>1</v>
      </c>
    </row>
    <row r="1608" spans="10:24" x14ac:dyDescent="0.25">
      <c r="J1608" s="5" t="str">
        <f>IFERROR(VLOOKUP(I1608,[1]INFO_LOCALES!$B:$C,2,FALSE),"")</f>
        <v/>
      </c>
      <c r="K1608" s="5" t="str">
        <f>IFERROR(VLOOKUP(Tabla2[[#This Row],[TIENDA]],[1]INFO_LOCALES!$B:$D,3,FALSE),"")</f>
        <v/>
      </c>
      <c r="L1608" s="5" t="str">
        <f>IFERROR(VLOOKUP(I1608,[1]INFO_LOCALES!$B:$I,8,FALSE),"")</f>
        <v/>
      </c>
      <c r="M1608" s="5" t="str">
        <f>IFERROR(VLOOKUP(I1608,[1]INFO_LOCALES!$B:$H,7,FALSE),"")</f>
        <v/>
      </c>
      <c r="N1608" s="5" t="str">
        <f>IFERROR(VLOOKUP(I1608,[1]INFO_LOCALES!$B:$E,4,FALSE),"")</f>
        <v/>
      </c>
      <c r="O1608" s="5" t="e">
        <f>VLOOKUP(Tabla2[[#This Row],[TIENDA]],[1]INFO_LOCALES!$B:$J,9,0)</f>
        <v>#N/A</v>
      </c>
      <c r="P1608" s="5" t="str">
        <f>IFERROR(VLOOKUP(I1608,[1]INFO_LOCALES!$B:$F,5,FALSE),"")</f>
        <v/>
      </c>
      <c r="S1608" s="6"/>
      <c r="T1608" s="5" t="str">
        <f>UPPER(IF(Tabla2[[#This Row],[FECHA DE MUESTREO ]]=0,"",TEXT(Tabla2[[#This Row],[FECHA DE MUESTREO ]],("MMMM"))))</f>
        <v/>
      </c>
      <c r="U1608" s="6"/>
      <c r="W16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8" s="7">
        <f t="shared" si="45"/>
        <v>1</v>
      </c>
    </row>
    <row r="1609" spans="10:24" x14ac:dyDescent="0.25">
      <c r="J1609" s="5" t="str">
        <f>IFERROR(VLOOKUP(I1609,[1]INFO_LOCALES!$B:$C,2,FALSE),"")</f>
        <v/>
      </c>
      <c r="K1609" s="5" t="str">
        <f>IFERROR(VLOOKUP(Tabla2[[#This Row],[TIENDA]],[1]INFO_LOCALES!$B:$D,3,FALSE),"")</f>
        <v/>
      </c>
      <c r="L1609" s="5" t="str">
        <f>IFERROR(VLOOKUP(I1609,[1]INFO_LOCALES!$B:$I,8,FALSE),"")</f>
        <v/>
      </c>
      <c r="M1609" s="5" t="str">
        <f>IFERROR(VLOOKUP(I1609,[1]INFO_LOCALES!$B:$H,7,FALSE),"")</f>
        <v/>
      </c>
      <c r="N1609" s="5" t="str">
        <f>IFERROR(VLOOKUP(I1609,[1]INFO_LOCALES!$B:$E,4,FALSE),"")</f>
        <v/>
      </c>
      <c r="O1609" s="5" t="e">
        <f>VLOOKUP(Tabla2[[#This Row],[TIENDA]],[1]INFO_LOCALES!$B:$J,9,0)</f>
        <v>#N/A</v>
      </c>
      <c r="P1609" s="5" t="str">
        <f>IFERROR(VLOOKUP(I1609,[1]INFO_LOCALES!$B:$F,5,FALSE),"")</f>
        <v/>
      </c>
      <c r="S1609" s="6"/>
      <c r="T1609" s="5" t="str">
        <f>UPPER(IF(Tabla2[[#This Row],[FECHA DE MUESTREO ]]=0,"",TEXT(Tabla2[[#This Row],[FECHA DE MUESTREO ]],("MMMM"))))</f>
        <v/>
      </c>
      <c r="U1609" s="6"/>
      <c r="W16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09" s="7">
        <f t="shared" si="45"/>
        <v>1</v>
      </c>
    </row>
    <row r="1610" spans="10:24" x14ac:dyDescent="0.25">
      <c r="J1610" s="5" t="str">
        <f>IFERROR(VLOOKUP(I1610,[1]INFO_LOCALES!$B:$C,2,FALSE),"")</f>
        <v/>
      </c>
      <c r="K1610" s="5" t="str">
        <f>IFERROR(VLOOKUP(Tabla2[[#This Row],[TIENDA]],[1]INFO_LOCALES!$B:$D,3,FALSE),"")</f>
        <v/>
      </c>
      <c r="L1610" s="5" t="str">
        <f>IFERROR(VLOOKUP(I1610,[1]INFO_LOCALES!$B:$I,8,FALSE),"")</f>
        <v/>
      </c>
      <c r="M1610" s="5" t="str">
        <f>IFERROR(VLOOKUP(I1610,[1]INFO_LOCALES!$B:$H,7,FALSE),"")</f>
        <v/>
      </c>
      <c r="N1610" s="5" t="str">
        <f>IFERROR(VLOOKUP(I1610,[1]INFO_LOCALES!$B:$E,4,FALSE),"")</f>
        <v/>
      </c>
      <c r="O1610" s="5" t="e">
        <f>VLOOKUP(Tabla2[[#This Row],[TIENDA]],[1]INFO_LOCALES!$B:$J,9,0)</f>
        <v>#N/A</v>
      </c>
      <c r="P1610" s="5" t="str">
        <f>IFERROR(VLOOKUP(I1610,[1]INFO_LOCALES!$B:$F,5,FALSE),"")</f>
        <v/>
      </c>
      <c r="S1610" s="6"/>
      <c r="T1610" s="5" t="str">
        <f>UPPER(IF(Tabla2[[#This Row],[FECHA DE MUESTREO ]]=0,"",TEXT(Tabla2[[#This Row],[FECHA DE MUESTREO ]],("MMMM"))))</f>
        <v/>
      </c>
      <c r="U1610" s="6"/>
      <c r="W16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0" s="7">
        <f t="shared" si="45"/>
        <v>1</v>
      </c>
    </row>
    <row r="1611" spans="10:24" x14ac:dyDescent="0.25">
      <c r="J1611" s="5" t="str">
        <f>IFERROR(VLOOKUP(I1611,[1]INFO_LOCALES!$B:$C,2,FALSE),"")</f>
        <v/>
      </c>
      <c r="K1611" s="5" t="str">
        <f>IFERROR(VLOOKUP(Tabla2[[#This Row],[TIENDA]],[1]INFO_LOCALES!$B:$D,3,FALSE),"")</f>
        <v/>
      </c>
      <c r="L1611" s="5" t="str">
        <f>IFERROR(VLOOKUP(I1611,[1]INFO_LOCALES!$B:$I,8,FALSE),"")</f>
        <v/>
      </c>
      <c r="M1611" s="5" t="str">
        <f>IFERROR(VLOOKUP(I1611,[1]INFO_LOCALES!$B:$H,7,FALSE),"")</f>
        <v/>
      </c>
      <c r="N1611" s="5" t="str">
        <f>IFERROR(VLOOKUP(I1611,[1]INFO_LOCALES!$B:$E,4,FALSE),"")</f>
        <v/>
      </c>
      <c r="O1611" s="5" t="e">
        <f>VLOOKUP(Tabla2[[#This Row],[TIENDA]],[1]INFO_LOCALES!$B:$J,9,0)</f>
        <v>#N/A</v>
      </c>
      <c r="P1611" s="5" t="str">
        <f>IFERROR(VLOOKUP(I1611,[1]INFO_LOCALES!$B:$F,5,FALSE),"")</f>
        <v/>
      </c>
      <c r="S1611" s="6"/>
      <c r="T1611" s="5" t="str">
        <f>UPPER(IF(Tabla2[[#This Row],[FECHA DE MUESTREO ]]=0,"",TEXT(Tabla2[[#This Row],[FECHA DE MUESTREO ]],("MMMM"))))</f>
        <v/>
      </c>
      <c r="U1611" s="6"/>
      <c r="W16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1" s="7">
        <f t="shared" si="45"/>
        <v>1</v>
      </c>
    </row>
    <row r="1612" spans="10:24" x14ac:dyDescent="0.25">
      <c r="J1612" s="5" t="str">
        <f>IFERROR(VLOOKUP(I1612,[1]INFO_LOCALES!$B:$C,2,FALSE),"")</f>
        <v/>
      </c>
      <c r="K1612" s="5" t="str">
        <f>IFERROR(VLOOKUP(Tabla2[[#This Row],[TIENDA]],[1]INFO_LOCALES!$B:$D,3,FALSE),"")</f>
        <v/>
      </c>
      <c r="L1612" s="5" t="str">
        <f>IFERROR(VLOOKUP(I1612,[1]INFO_LOCALES!$B:$I,8,FALSE),"")</f>
        <v/>
      </c>
      <c r="M1612" s="5" t="str">
        <f>IFERROR(VLOOKUP(I1612,[1]INFO_LOCALES!$B:$H,7,FALSE),"")</f>
        <v/>
      </c>
      <c r="N1612" s="5" t="str">
        <f>IFERROR(VLOOKUP(I1612,[1]INFO_LOCALES!$B:$E,4,FALSE),"")</f>
        <v/>
      </c>
      <c r="O1612" s="5" t="e">
        <f>VLOOKUP(Tabla2[[#This Row],[TIENDA]],[1]INFO_LOCALES!$B:$J,9,0)</f>
        <v>#N/A</v>
      </c>
      <c r="P1612" s="5" t="str">
        <f>IFERROR(VLOOKUP(I1612,[1]INFO_LOCALES!$B:$F,5,FALSE),"")</f>
        <v/>
      </c>
      <c r="S1612" s="6"/>
      <c r="T1612" s="5" t="str">
        <f>UPPER(IF(Tabla2[[#This Row],[FECHA DE MUESTREO ]]=0,"",TEXT(Tabla2[[#This Row],[FECHA DE MUESTREO ]],("MMMM"))))</f>
        <v/>
      </c>
      <c r="U1612" s="6"/>
      <c r="W16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2" s="7">
        <f t="shared" si="45"/>
        <v>1</v>
      </c>
    </row>
    <row r="1613" spans="10:24" x14ac:dyDescent="0.25">
      <c r="J1613" s="5" t="str">
        <f>IFERROR(VLOOKUP(I1613,[1]INFO_LOCALES!$B:$C,2,FALSE),"")</f>
        <v/>
      </c>
      <c r="K1613" s="5" t="str">
        <f>IFERROR(VLOOKUP(Tabla2[[#This Row],[TIENDA]],[1]INFO_LOCALES!$B:$D,3,FALSE),"")</f>
        <v/>
      </c>
      <c r="L1613" s="5" t="str">
        <f>IFERROR(VLOOKUP(I1613,[1]INFO_LOCALES!$B:$I,8,FALSE),"")</f>
        <v/>
      </c>
      <c r="M1613" s="5" t="str">
        <f>IFERROR(VLOOKUP(I1613,[1]INFO_LOCALES!$B:$H,7,FALSE),"")</f>
        <v/>
      </c>
      <c r="N1613" s="5" t="str">
        <f>IFERROR(VLOOKUP(I1613,[1]INFO_LOCALES!$B:$E,4,FALSE),"")</f>
        <v/>
      </c>
      <c r="O1613" s="5" t="e">
        <f>VLOOKUP(Tabla2[[#This Row],[TIENDA]],[1]INFO_LOCALES!$B:$J,9,0)</f>
        <v>#N/A</v>
      </c>
      <c r="P1613" s="5" t="str">
        <f>IFERROR(VLOOKUP(I1613,[1]INFO_LOCALES!$B:$F,5,FALSE),"")</f>
        <v/>
      </c>
      <c r="S1613" s="6"/>
      <c r="T1613" s="5" t="str">
        <f>UPPER(IF(Tabla2[[#This Row],[FECHA DE MUESTREO ]]=0,"",TEXT(Tabla2[[#This Row],[FECHA DE MUESTREO ]],("MMMM"))))</f>
        <v/>
      </c>
      <c r="U1613" s="6"/>
      <c r="W16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3" s="7">
        <f t="shared" si="45"/>
        <v>1</v>
      </c>
    </row>
    <row r="1614" spans="10:24" x14ac:dyDescent="0.25">
      <c r="J1614" s="5" t="str">
        <f>IFERROR(VLOOKUP(I1614,[1]INFO_LOCALES!$B:$C,2,FALSE),"")</f>
        <v/>
      </c>
      <c r="K1614" s="5" t="str">
        <f>IFERROR(VLOOKUP(Tabla2[[#This Row],[TIENDA]],[1]INFO_LOCALES!$B:$D,3,FALSE),"")</f>
        <v/>
      </c>
      <c r="L1614" s="5" t="str">
        <f>IFERROR(VLOOKUP(I1614,[1]INFO_LOCALES!$B:$I,8,FALSE),"")</f>
        <v/>
      </c>
      <c r="M1614" s="5" t="str">
        <f>IFERROR(VLOOKUP(I1614,[1]INFO_LOCALES!$B:$H,7,FALSE),"")</f>
        <v/>
      </c>
      <c r="N1614" s="5" t="str">
        <f>IFERROR(VLOOKUP(I1614,[1]INFO_LOCALES!$B:$E,4,FALSE),"")</f>
        <v/>
      </c>
      <c r="O1614" s="5" t="e">
        <f>VLOOKUP(Tabla2[[#This Row],[TIENDA]],[1]INFO_LOCALES!$B:$J,9,0)</f>
        <v>#N/A</v>
      </c>
      <c r="P1614" s="5" t="str">
        <f>IFERROR(VLOOKUP(I1614,[1]INFO_LOCALES!$B:$F,5,FALSE),"")</f>
        <v/>
      </c>
      <c r="S1614" s="6"/>
      <c r="T1614" s="5" t="str">
        <f>UPPER(IF(Tabla2[[#This Row],[FECHA DE MUESTREO ]]=0,"",TEXT(Tabla2[[#This Row],[FECHA DE MUESTREO ]],("MMMM"))))</f>
        <v/>
      </c>
      <c r="U1614" s="6"/>
      <c r="W16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4" s="7">
        <f t="shared" si="45"/>
        <v>1</v>
      </c>
    </row>
    <row r="1615" spans="10:24" x14ac:dyDescent="0.25">
      <c r="J1615" s="5" t="str">
        <f>IFERROR(VLOOKUP(I1615,[1]INFO_LOCALES!$B:$C,2,FALSE),"")</f>
        <v/>
      </c>
      <c r="K1615" s="5" t="str">
        <f>IFERROR(VLOOKUP(Tabla2[[#This Row],[TIENDA]],[1]INFO_LOCALES!$B:$D,3,FALSE),"")</f>
        <v/>
      </c>
      <c r="L1615" s="5" t="str">
        <f>IFERROR(VLOOKUP(I1615,[1]INFO_LOCALES!$B:$I,8,FALSE),"")</f>
        <v/>
      </c>
      <c r="M1615" s="5" t="str">
        <f>IFERROR(VLOOKUP(I1615,[1]INFO_LOCALES!$B:$H,7,FALSE),"")</f>
        <v/>
      </c>
      <c r="N1615" s="5" t="str">
        <f>IFERROR(VLOOKUP(I1615,[1]INFO_LOCALES!$B:$E,4,FALSE),"")</f>
        <v/>
      </c>
      <c r="O1615" s="5" t="e">
        <f>VLOOKUP(Tabla2[[#This Row],[TIENDA]],[1]INFO_LOCALES!$B:$J,9,0)</f>
        <v>#N/A</v>
      </c>
      <c r="P1615" s="5" t="str">
        <f>IFERROR(VLOOKUP(I1615,[1]INFO_LOCALES!$B:$F,5,FALSE),"")</f>
        <v/>
      </c>
      <c r="S1615" s="6"/>
      <c r="T1615" s="5" t="str">
        <f>UPPER(IF(Tabla2[[#This Row],[FECHA DE MUESTREO ]]=0,"",TEXT(Tabla2[[#This Row],[FECHA DE MUESTREO ]],("MMMM"))))</f>
        <v/>
      </c>
      <c r="U1615" s="6"/>
      <c r="W16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5" s="7">
        <f t="shared" si="45"/>
        <v>1</v>
      </c>
    </row>
    <row r="1616" spans="10:24" x14ac:dyDescent="0.25">
      <c r="J1616" s="5" t="str">
        <f>IFERROR(VLOOKUP(I1616,[1]INFO_LOCALES!$B:$C,2,FALSE),"")</f>
        <v/>
      </c>
      <c r="K1616" s="5" t="str">
        <f>IFERROR(VLOOKUP(Tabla2[[#This Row],[TIENDA]],[1]INFO_LOCALES!$B:$D,3,FALSE),"")</f>
        <v/>
      </c>
      <c r="L1616" s="5" t="str">
        <f>IFERROR(VLOOKUP(I1616,[1]INFO_LOCALES!$B:$I,8,FALSE),"")</f>
        <v/>
      </c>
      <c r="M1616" s="5" t="str">
        <f>IFERROR(VLOOKUP(I1616,[1]INFO_LOCALES!$B:$H,7,FALSE),"")</f>
        <v/>
      </c>
      <c r="N1616" s="5" t="str">
        <f>IFERROR(VLOOKUP(I1616,[1]INFO_LOCALES!$B:$E,4,FALSE),"")</f>
        <v/>
      </c>
      <c r="O1616" s="5" t="e">
        <f>VLOOKUP(Tabla2[[#This Row],[TIENDA]],[1]INFO_LOCALES!$B:$J,9,0)</f>
        <v>#N/A</v>
      </c>
      <c r="P1616" s="5" t="str">
        <f>IFERROR(VLOOKUP(I1616,[1]INFO_LOCALES!$B:$F,5,FALSE),"")</f>
        <v/>
      </c>
      <c r="S1616" s="6"/>
      <c r="T1616" s="5" t="str">
        <f>UPPER(IF(Tabla2[[#This Row],[FECHA DE MUESTREO ]]=0,"",TEXT(Tabla2[[#This Row],[FECHA DE MUESTREO ]],("MMMM"))))</f>
        <v/>
      </c>
      <c r="U1616" s="6"/>
      <c r="W16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6" s="7">
        <f t="shared" si="45"/>
        <v>1</v>
      </c>
    </row>
    <row r="1617" spans="10:24" x14ac:dyDescent="0.25">
      <c r="J1617" s="5" t="str">
        <f>IFERROR(VLOOKUP(I1617,[1]INFO_LOCALES!$B:$C,2,FALSE),"")</f>
        <v/>
      </c>
      <c r="K1617" s="5" t="str">
        <f>IFERROR(VLOOKUP(Tabla2[[#This Row],[TIENDA]],[1]INFO_LOCALES!$B:$D,3,FALSE),"")</f>
        <v/>
      </c>
      <c r="L1617" s="5" t="str">
        <f>IFERROR(VLOOKUP(I1617,[1]INFO_LOCALES!$B:$I,8,FALSE),"")</f>
        <v/>
      </c>
      <c r="M1617" s="5" t="str">
        <f>IFERROR(VLOOKUP(I1617,[1]INFO_LOCALES!$B:$H,7,FALSE),"")</f>
        <v/>
      </c>
      <c r="N1617" s="5" t="str">
        <f>IFERROR(VLOOKUP(I1617,[1]INFO_LOCALES!$B:$E,4,FALSE),"")</f>
        <v/>
      </c>
      <c r="O1617" s="5" t="e">
        <f>VLOOKUP(Tabla2[[#This Row],[TIENDA]],[1]INFO_LOCALES!$B:$J,9,0)</f>
        <v>#N/A</v>
      </c>
      <c r="P1617" s="5" t="str">
        <f>IFERROR(VLOOKUP(I1617,[1]INFO_LOCALES!$B:$F,5,FALSE),"")</f>
        <v/>
      </c>
      <c r="S1617" s="6"/>
      <c r="T1617" s="5" t="str">
        <f>UPPER(IF(Tabla2[[#This Row],[FECHA DE MUESTREO ]]=0,"",TEXT(Tabla2[[#This Row],[FECHA DE MUESTREO ]],("MMMM"))))</f>
        <v/>
      </c>
      <c r="U1617" s="6"/>
      <c r="W16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7" s="7">
        <f t="shared" si="45"/>
        <v>1</v>
      </c>
    </row>
    <row r="1618" spans="10:24" x14ac:dyDescent="0.25">
      <c r="J1618" s="5" t="str">
        <f>IFERROR(VLOOKUP(I1618,[1]INFO_LOCALES!$B:$C,2,FALSE),"")</f>
        <v/>
      </c>
      <c r="K1618" s="5" t="str">
        <f>IFERROR(VLOOKUP(Tabla2[[#This Row],[TIENDA]],[1]INFO_LOCALES!$B:$D,3,FALSE),"")</f>
        <v/>
      </c>
      <c r="L1618" s="5" t="str">
        <f>IFERROR(VLOOKUP(I1618,[1]INFO_LOCALES!$B:$I,8,FALSE),"")</f>
        <v/>
      </c>
      <c r="M1618" s="5" t="str">
        <f>IFERROR(VLOOKUP(I1618,[1]INFO_LOCALES!$B:$H,7,FALSE),"")</f>
        <v/>
      </c>
      <c r="N1618" s="5" t="str">
        <f>IFERROR(VLOOKUP(I1618,[1]INFO_LOCALES!$B:$E,4,FALSE),"")</f>
        <v/>
      </c>
      <c r="O1618" s="5" t="e">
        <f>VLOOKUP(Tabla2[[#This Row],[TIENDA]],[1]INFO_LOCALES!$B:$J,9,0)</f>
        <v>#N/A</v>
      </c>
      <c r="P1618" s="5" t="str">
        <f>IFERROR(VLOOKUP(I1618,[1]INFO_LOCALES!$B:$F,5,FALSE),"")</f>
        <v/>
      </c>
      <c r="S1618" s="6"/>
      <c r="T1618" s="5" t="str">
        <f>UPPER(IF(Tabla2[[#This Row],[FECHA DE MUESTREO ]]=0,"",TEXT(Tabla2[[#This Row],[FECHA DE MUESTREO ]],("MMMM"))))</f>
        <v/>
      </c>
      <c r="U1618" s="6"/>
      <c r="W16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8" s="7">
        <f t="shared" si="45"/>
        <v>1</v>
      </c>
    </row>
    <row r="1619" spans="10:24" x14ac:dyDescent="0.25">
      <c r="J1619" s="5" t="str">
        <f>IFERROR(VLOOKUP(I1619,[1]INFO_LOCALES!$B:$C,2,FALSE),"")</f>
        <v/>
      </c>
      <c r="K1619" s="5" t="str">
        <f>IFERROR(VLOOKUP(Tabla2[[#This Row],[TIENDA]],[1]INFO_LOCALES!$B:$D,3,FALSE),"")</f>
        <v/>
      </c>
      <c r="L1619" s="5" t="str">
        <f>IFERROR(VLOOKUP(I1619,[1]INFO_LOCALES!$B:$I,8,FALSE),"")</f>
        <v/>
      </c>
      <c r="M1619" s="5" t="str">
        <f>IFERROR(VLOOKUP(I1619,[1]INFO_LOCALES!$B:$H,7,FALSE),"")</f>
        <v/>
      </c>
      <c r="N1619" s="5" t="str">
        <f>IFERROR(VLOOKUP(I1619,[1]INFO_LOCALES!$B:$E,4,FALSE),"")</f>
        <v/>
      </c>
      <c r="O1619" s="5" t="e">
        <f>VLOOKUP(Tabla2[[#This Row],[TIENDA]],[1]INFO_LOCALES!$B:$J,9,0)</f>
        <v>#N/A</v>
      </c>
      <c r="P1619" s="5" t="str">
        <f>IFERROR(VLOOKUP(I1619,[1]INFO_LOCALES!$B:$F,5,FALSE),"")</f>
        <v/>
      </c>
      <c r="S1619" s="6"/>
      <c r="T1619" s="5" t="str">
        <f>UPPER(IF(Tabla2[[#This Row],[FECHA DE MUESTREO ]]=0,"",TEXT(Tabla2[[#This Row],[FECHA DE MUESTREO ]],("MMMM"))))</f>
        <v/>
      </c>
      <c r="U1619" s="6"/>
      <c r="W16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19" s="7">
        <f t="shared" si="45"/>
        <v>1</v>
      </c>
    </row>
    <row r="1620" spans="10:24" x14ac:dyDescent="0.25">
      <c r="J1620" s="5" t="str">
        <f>IFERROR(VLOOKUP(I1620,[1]INFO_LOCALES!$B:$C,2,FALSE),"")</f>
        <v/>
      </c>
      <c r="K1620" s="5" t="str">
        <f>IFERROR(VLOOKUP(Tabla2[[#This Row],[TIENDA]],[1]INFO_LOCALES!$B:$D,3,FALSE),"")</f>
        <v/>
      </c>
      <c r="L1620" s="5" t="str">
        <f>IFERROR(VLOOKUP(I1620,[1]INFO_LOCALES!$B:$I,8,FALSE),"")</f>
        <v/>
      </c>
      <c r="M1620" s="5" t="str">
        <f>IFERROR(VLOOKUP(I1620,[1]INFO_LOCALES!$B:$H,7,FALSE),"")</f>
        <v/>
      </c>
      <c r="N1620" s="5" t="str">
        <f>IFERROR(VLOOKUP(I1620,[1]INFO_LOCALES!$B:$E,4,FALSE),"")</f>
        <v/>
      </c>
      <c r="O1620" s="5" t="e">
        <f>VLOOKUP(Tabla2[[#This Row],[TIENDA]],[1]INFO_LOCALES!$B:$J,9,0)</f>
        <v>#N/A</v>
      </c>
      <c r="P1620" s="5" t="str">
        <f>IFERROR(VLOOKUP(I1620,[1]INFO_LOCALES!$B:$F,5,FALSE),"")</f>
        <v/>
      </c>
      <c r="S1620" s="6"/>
      <c r="T1620" s="5" t="str">
        <f>UPPER(IF(Tabla2[[#This Row],[FECHA DE MUESTREO ]]=0,"",TEXT(Tabla2[[#This Row],[FECHA DE MUESTREO ]],("MMMM"))))</f>
        <v/>
      </c>
      <c r="U1620" s="6"/>
      <c r="W16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0" s="7">
        <f t="shared" si="45"/>
        <v>1</v>
      </c>
    </row>
    <row r="1621" spans="10:24" x14ac:dyDescent="0.25">
      <c r="J1621" s="5" t="str">
        <f>IFERROR(VLOOKUP(I1621,[1]INFO_LOCALES!$B:$C,2,FALSE),"")</f>
        <v/>
      </c>
      <c r="K1621" s="5" t="str">
        <f>IFERROR(VLOOKUP(Tabla2[[#This Row],[TIENDA]],[1]INFO_LOCALES!$B:$D,3,FALSE),"")</f>
        <v/>
      </c>
      <c r="L1621" s="5" t="str">
        <f>IFERROR(VLOOKUP(I1621,[1]INFO_LOCALES!$B:$I,8,FALSE),"")</f>
        <v/>
      </c>
      <c r="M1621" s="5" t="str">
        <f>IFERROR(VLOOKUP(I1621,[1]INFO_LOCALES!$B:$H,7,FALSE),"")</f>
        <v/>
      </c>
      <c r="N1621" s="5" t="str">
        <f>IFERROR(VLOOKUP(I1621,[1]INFO_LOCALES!$B:$E,4,FALSE),"")</f>
        <v/>
      </c>
      <c r="O1621" s="5" t="e">
        <f>VLOOKUP(Tabla2[[#This Row],[TIENDA]],[1]INFO_LOCALES!$B:$J,9,0)</f>
        <v>#N/A</v>
      </c>
      <c r="P1621" s="5" t="str">
        <f>IFERROR(VLOOKUP(I1621,[1]INFO_LOCALES!$B:$F,5,FALSE),"")</f>
        <v/>
      </c>
      <c r="S1621" s="6"/>
      <c r="T1621" s="5" t="str">
        <f>UPPER(IF(Tabla2[[#This Row],[FECHA DE MUESTREO ]]=0,"",TEXT(Tabla2[[#This Row],[FECHA DE MUESTREO ]],("MMMM"))))</f>
        <v/>
      </c>
      <c r="U1621" s="6"/>
      <c r="W16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1" s="7">
        <f t="shared" si="45"/>
        <v>1</v>
      </c>
    </row>
    <row r="1622" spans="10:24" x14ac:dyDescent="0.25">
      <c r="J1622" s="5" t="str">
        <f>IFERROR(VLOOKUP(I1622,[1]INFO_LOCALES!$B:$C,2,FALSE),"")</f>
        <v/>
      </c>
      <c r="K1622" s="5" t="str">
        <f>IFERROR(VLOOKUP(Tabla2[[#This Row],[TIENDA]],[1]INFO_LOCALES!$B:$D,3,FALSE),"")</f>
        <v/>
      </c>
      <c r="L1622" s="5" t="str">
        <f>IFERROR(VLOOKUP(I1622,[1]INFO_LOCALES!$B:$I,8,FALSE),"")</f>
        <v/>
      </c>
      <c r="M1622" s="5" t="str">
        <f>IFERROR(VLOOKUP(I1622,[1]INFO_LOCALES!$B:$H,7,FALSE),"")</f>
        <v/>
      </c>
      <c r="N1622" s="5" t="str">
        <f>IFERROR(VLOOKUP(I1622,[1]INFO_LOCALES!$B:$E,4,FALSE),"")</f>
        <v/>
      </c>
      <c r="O1622" s="5" t="e">
        <f>VLOOKUP(Tabla2[[#This Row],[TIENDA]],[1]INFO_LOCALES!$B:$J,9,0)</f>
        <v>#N/A</v>
      </c>
      <c r="P1622" s="5" t="str">
        <f>IFERROR(VLOOKUP(I1622,[1]INFO_LOCALES!$B:$F,5,FALSE),"")</f>
        <v/>
      </c>
      <c r="S1622" s="6"/>
      <c r="T1622" s="5" t="str">
        <f>UPPER(IF(Tabla2[[#This Row],[FECHA DE MUESTREO ]]=0,"",TEXT(Tabla2[[#This Row],[FECHA DE MUESTREO ]],("MMMM"))))</f>
        <v/>
      </c>
      <c r="U1622" s="6"/>
      <c r="W16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2" s="7">
        <f t="shared" si="45"/>
        <v>1</v>
      </c>
    </row>
    <row r="1623" spans="10:24" x14ac:dyDescent="0.25">
      <c r="J1623" s="5" t="str">
        <f>IFERROR(VLOOKUP(I1623,[1]INFO_LOCALES!$B:$C,2,FALSE),"")</f>
        <v/>
      </c>
      <c r="K1623" s="5" t="str">
        <f>IFERROR(VLOOKUP(Tabla2[[#This Row],[TIENDA]],[1]INFO_LOCALES!$B:$D,3,FALSE),"")</f>
        <v/>
      </c>
      <c r="L1623" s="5" t="str">
        <f>IFERROR(VLOOKUP(I1623,[1]INFO_LOCALES!$B:$I,8,FALSE),"")</f>
        <v/>
      </c>
      <c r="M1623" s="5" t="str">
        <f>IFERROR(VLOOKUP(I1623,[1]INFO_LOCALES!$B:$H,7,FALSE),"")</f>
        <v/>
      </c>
      <c r="N1623" s="5" t="str">
        <f>IFERROR(VLOOKUP(I1623,[1]INFO_LOCALES!$B:$E,4,FALSE),"")</f>
        <v/>
      </c>
      <c r="O1623" s="5" t="e">
        <f>VLOOKUP(Tabla2[[#This Row],[TIENDA]],[1]INFO_LOCALES!$B:$J,9,0)</f>
        <v>#N/A</v>
      </c>
      <c r="P1623" s="5" t="str">
        <f>IFERROR(VLOOKUP(I1623,[1]INFO_LOCALES!$B:$F,5,FALSE),"")</f>
        <v/>
      </c>
      <c r="S1623" s="6"/>
      <c r="T1623" s="5" t="str">
        <f>UPPER(IF(Tabla2[[#This Row],[FECHA DE MUESTREO ]]=0,"",TEXT(Tabla2[[#This Row],[FECHA DE MUESTREO ]],("MMMM"))))</f>
        <v/>
      </c>
      <c r="U1623" s="6"/>
      <c r="W16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3" s="7">
        <f t="shared" si="45"/>
        <v>1</v>
      </c>
    </row>
    <row r="1624" spans="10:24" x14ac:dyDescent="0.25">
      <c r="J1624" s="5" t="str">
        <f>IFERROR(VLOOKUP(I1624,[1]INFO_LOCALES!$B:$C,2,FALSE),"")</f>
        <v/>
      </c>
      <c r="K1624" s="5" t="str">
        <f>IFERROR(VLOOKUP(Tabla2[[#This Row],[TIENDA]],[1]INFO_LOCALES!$B:$D,3,FALSE),"")</f>
        <v/>
      </c>
      <c r="L1624" s="5" t="str">
        <f>IFERROR(VLOOKUP(I1624,[1]INFO_LOCALES!$B:$I,8,FALSE),"")</f>
        <v/>
      </c>
      <c r="M1624" s="5" t="str">
        <f>IFERROR(VLOOKUP(I1624,[1]INFO_LOCALES!$B:$H,7,FALSE),"")</f>
        <v/>
      </c>
      <c r="N1624" s="5" t="str">
        <f>IFERROR(VLOOKUP(I1624,[1]INFO_LOCALES!$B:$E,4,FALSE),"")</f>
        <v/>
      </c>
      <c r="O1624" s="5" t="e">
        <f>VLOOKUP(Tabla2[[#This Row],[TIENDA]],[1]INFO_LOCALES!$B:$J,9,0)</f>
        <v>#N/A</v>
      </c>
      <c r="P1624" s="5" t="str">
        <f>IFERROR(VLOOKUP(I1624,[1]INFO_LOCALES!$B:$F,5,FALSE),"")</f>
        <v/>
      </c>
      <c r="S1624" s="6"/>
      <c r="T1624" s="5" t="str">
        <f>UPPER(IF(Tabla2[[#This Row],[FECHA DE MUESTREO ]]=0,"",TEXT(Tabla2[[#This Row],[FECHA DE MUESTREO ]],("MMMM"))))</f>
        <v/>
      </c>
      <c r="U1624" s="6"/>
      <c r="W16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4" s="7">
        <f t="shared" si="45"/>
        <v>1</v>
      </c>
    </row>
    <row r="1625" spans="10:24" x14ac:dyDescent="0.25">
      <c r="J1625" s="5" t="str">
        <f>IFERROR(VLOOKUP(I1625,[1]INFO_LOCALES!$B:$C,2,FALSE),"")</f>
        <v/>
      </c>
      <c r="K1625" s="5" t="str">
        <f>IFERROR(VLOOKUP(Tabla2[[#This Row],[TIENDA]],[1]INFO_LOCALES!$B:$D,3,FALSE),"")</f>
        <v/>
      </c>
      <c r="L1625" s="5" t="str">
        <f>IFERROR(VLOOKUP(I1625,[1]INFO_LOCALES!$B:$I,8,FALSE),"")</f>
        <v/>
      </c>
      <c r="M1625" s="5" t="str">
        <f>IFERROR(VLOOKUP(I1625,[1]INFO_LOCALES!$B:$H,7,FALSE),"")</f>
        <v/>
      </c>
      <c r="N1625" s="5" t="str">
        <f>IFERROR(VLOOKUP(I1625,[1]INFO_LOCALES!$B:$E,4,FALSE),"")</f>
        <v/>
      </c>
      <c r="O1625" s="5" t="e">
        <f>VLOOKUP(Tabla2[[#This Row],[TIENDA]],[1]INFO_LOCALES!$B:$J,9,0)</f>
        <v>#N/A</v>
      </c>
      <c r="P1625" s="5" t="str">
        <f>IFERROR(VLOOKUP(I1625,[1]INFO_LOCALES!$B:$F,5,FALSE),"")</f>
        <v/>
      </c>
      <c r="S1625" s="6"/>
      <c r="T1625" s="5" t="str">
        <f>UPPER(IF(Tabla2[[#This Row],[FECHA DE MUESTREO ]]=0,"",TEXT(Tabla2[[#This Row],[FECHA DE MUESTREO ]],("MMMM"))))</f>
        <v/>
      </c>
      <c r="U1625" s="6"/>
      <c r="W16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5" s="7">
        <f t="shared" si="45"/>
        <v>1</v>
      </c>
    </row>
    <row r="1626" spans="10:24" x14ac:dyDescent="0.25">
      <c r="J1626" s="5" t="str">
        <f>IFERROR(VLOOKUP(I1626,[1]INFO_LOCALES!$B:$C,2,FALSE),"")</f>
        <v/>
      </c>
      <c r="K1626" s="5" t="str">
        <f>IFERROR(VLOOKUP(Tabla2[[#This Row],[TIENDA]],[1]INFO_LOCALES!$B:$D,3,FALSE),"")</f>
        <v/>
      </c>
      <c r="L1626" s="5" t="str">
        <f>IFERROR(VLOOKUP(I1626,[1]INFO_LOCALES!$B:$I,8,FALSE),"")</f>
        <v/>
      </c>
      <c r="M1626" s="5" t="str">
        <f>IFERROR(VLOOKUP(I1626,[1]INFO_LOCALES!$B:$H,7,FALSE),"")</f>
        <v/>
      </c>
      <c r="N1626" s="5" t="str">
        <f>IFERROR(VLOOKUP(I1626,[1]INFO_LOCALES!$B:$E,4,FALSE),"")</f>
        <v/>
      </c>
      <c r="O1626" s="5" t="e">
        <f>VLOOKUP(Tabla2[[#This Row],[TIENDA]],[1]INFO_LOCALES!$B:$J,9,0)</f>
        <v>#N/A</v>
      </c>
      <c r="P1626" s="5" t="str">
        <f>IFERROR(VLOOKUP(I1626,[1]INFO_LOCALES!$B:$F,5,FALSE),"")</f>
        <v/>
      </c>
      <c r="S1626" s="6"/>
      <c r="T1626" s="5" t="str">
        <f>UPPER(IF(Tabla2[[#This Row],[FECHA DE MUESTREO ]]=0,"",TEXT(Tabla2[[#This Row],[FECHA DE MUESTREO ]],("MMMM"))))</f>
        <v/>
      </c>
      <c r="U1626" s="6"/>
      <c r="W16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6" s="7">
        <f t="shared" si="45"/>
        <v>1</v>
      </c>
    </row>
    <row r="1627" spans="10:24" x14ac:dyDescent="0.25">
      <c r="J1627" s="5" t="str">
        <f>IFERROR(VLOOKUP(I1627,[1]INFO_LOCALES!$B:$C,2,FALSE),"")</f>
        <v/>
      </c>
      <c r="K1627" s="5" t="str">
        <f>IFERROR(VLOOKUP(Tabla2[[#This Row],[TIENDA]],[1]INFO_LOCALES!$B:$D,3,FALSE),"")</f>
        <v/>
      </c>
      <c r="L1627" s="5" t="str">
        <f>IFERROR(VLOOKUP(I1627,[1]INFO_LOCALES!$B:$I,8,FALSE),"")</f>
        <v/>
      </c>
      <c r="M1627" s="5" t="str">
        <f>IFERROR(VLOOKUP(I1627,[1]INFO_LOCALES!$B:$H,7,FALSE),"")</f>
        <v/>
      </c>
      <c r="N1627" s="5" t="str">
        <f>IFERROR(VLOOKUP(I1627,[1]INFO_LOCALES!$B:$E,4,FALSE),"")</f>
        <v/>
      </c>
      <c r="O1627" s="5" t="e">
        <f>VLOOKUP(Tabla2[[#This Row],[TIENDA]],[1]INFO_LOCALES!$B:$J,9,0)</f>
        <v>#N/A</v>
      </c>
      <c r="P1627" s="5" t="str">
        <f>IFERROR(VLOOKUP(I1627,[1]INFO_LOCALES!$B:$F,5,FALSE),"")</f>
        <v/>
      </c>
      <c r="S1627" s="6"/>
      <c r="T1627" s="5" t="str">
        <f>UPPER(IF(Tabla2[[#This Row],[FECHA DE MUESTREO ]]=0,"",TEXT(Tabla2[[#This Row],[FECHA DE MUESTREO ]],("MMMM"))))</f>
        <v/>
      </c>
      <c r="U1627" s="6"/>
      <c r="W16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7" s="7">
        <f t="shared" si="45"/>
        <v>1</v>
      </c>
    </row>
    <row r="1628" spans="10:24" x14ac:dyDescent="0.25">
      <c r="J1628" s="5" t="str">
        <f>IFERROR(VLOOKUP(I1628,[1]INFO_LOCALES!$B:$C,2,FALSE),"")</f>
        <v/>
      </c>
      <c r="K1628" s="5" t="str">
        <f>IFERROR(VLOOKUP(Tabla2[[#This Row],[TIENDA]],[1]INFO_LOCALES!$B:$D,3,FALSE),"")</f>
        <v/>
      </c>
      <c r="L1628" s="5" t="str">
        <f>IFERROR(VLOOKUP(I1628,[1]INFO_LOCALES!$B:$I,8,FALSE),"")</f>
        <v/>
      </c>
      <c r="M1628" s="5" t="str">
        <f>IFERROR(VLOOKUP(I1628,[1]INFO_LOCALES!$B:$H,7,FALSE),"")</f>
        <v/>
      </c>
      <c r="N1628" s="5" t="str">
        <f>IFERROR(VLOOKUP(I1628,[1]INFO_LOCALES!$B:$E,4,FALSE),"")</f>
        <v/>
      </c>
      <c r="O1628" s="5" t="e">
        <f>VLOOKUP(Tabla2[[#This Row],[TIENDA]],[1]INFO_LOCALES!$B:$J,9,0)</f>
        <v>#N/A</v>
      </c>
      <c r="P1628" s="5" t="str">
        <f>IFERROR(VLOOKUP(I1628,[1]INFO_LOCALES!$B:$F,5,FALSE),"")</f>
        <v/>
      </c>
      <c r="S1628" s="6"/>
      <c r="T1628" s="5" t="str">
        <f>UPPER(IF(Tabla2[[#This Row],[FECHA DE MUESTREO ]]=0,"",TEXT(Tabla2[[#This Row],[FECHA DE MUESTREO ]],("MMMM"))))</f>
        <v/>
      </c>
      <c r="U1628" s="6"/>
      <c r="W162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8" s="7">
        <f t="shared" si="45"/>
        <v>1</v>
      </c>
    </row>
    <row r="1629" spans="10:24" x14ac:dyDescent="0.25">
      <c r="J1629" s="5" t="str">
        <f>IFERROR(VLOOKUP(I1629,[1]INFO_LOCALES!$B:$C,2,FALSE),"")</f>
        <v/>
      </c>
      <c r="K1629" s="5" t="str">
        <f>IFERROR(VLOOKUP(Tabla2[[#This Row],[TIENDA]],[1]INFO_LOCALES!$B:$D,3,FALSE),"")</f>
        <v/>
      </c>
      <c r="L1629" s="5" t="str">
        <f>IFERROR(VLOOKUP(I1629,[1]INFO_LOCALES!$B:$I,8,FALSE),"")</f>
        <v/>
      </c>
      <c r="M1629" s="5" t="str">
        <f>IFERROR(VLOOKUP(I1629,[1]INFO_LOCALES!$B:$H,7,FALSE),"")</f>
        <v/>
      </c>
      <c r="N1629" s="5" t="str">
        <f>IFERROR(VLOOKUP(I1629,[1]INFO_LOCALES!$B:$E,4,FALSE),"")</f>
        <v/>
      </c>
      <c r="O1629" s="5" t="e">
        <f>VLOOKUP(Tabla2[[#This Row],[TIENDA]],[1]INFO_LOCALES!$B:$J,9,0)</f>
        <v>#N/A</v>
      </c>
      <c r="P1629" s="5" t="str">
        <f>IFERROR(VLOOKUP(I1629,[1]INFO_LOCALES!$B:$F,5,FALSE),"")</f>
        <v/>
      </c>
      <c r="S1629" s="6"/>
      <c r="T1629" s="5" t="str">
        <f>UPPER(IF(Tabla2[[#This Row],[FECHA DE MUESTREO ]]=0,"",TEXT(Tabla2[[#This Row],[FECHA DE MUESTREO ]],("MMMM"))))</f>
        <v/>
      </c>
      <c r="U1629" s="6"/>
      <c r="W162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29" s="7">
        <f t="shared" si="45"/>
        <v>1</v>
      </c>
    </row>
    <row r="1630" spans="10:24" x14ac:dyDescent="0.25">
      <c r="J1630" s="5" t="str">
        <f>IFERROR(VLOOKUP(I1630,[1]INFO_LOCALES!$B:$C,2,FALSE),"")</f>
        <v/>
      </c>
      <c r="K1630" s="5" t="str">
        <f>IFERROR(VLOOKUP(Tabla2[[#This Row],[TIENDA]],[1]INFO_LOCALES!$B:$D,3,FALSE),"")</f>
        <v/>
      </c>
      <c r="L1630" s="5" t="str">
        <f>IFERROR(VLOOKUP(I1630,[1]INFO_LOCALES!$B:$I,8,FALSE),"")</f>
        <v/>
      </c>
      <c r="M1630" s="5" t="str">
        <f>IFERROR(VLOOKUP(I1630,[1]INFO_LOCALES!$B:$H,7,FALSE),"")</f>
        <v/>
      </c>
      <c r="N1630" s="5" t="str">
        <f>IFERROR(VLOOKUP(I1630,[1]INFO_LOCALES!$B:$E,4,FALSE),"")</f>
        <v/>
      </c>
      <c r="O1630" s="5" t="e">
        <f>VLOOKUP(Tabla2[[#This Row],[TIENDA]],[1]INFO_LOCALES!$B:$J,9,0)</f>
        <v>#N/A</v>
      </c>
      <c r="P1630" s="5" t="str">
        <f>IFERROR(VLOOKUP(I1630,[1]INFO_LOCALES!$B:$F,5,FALSE),"")</f>
        <v/>
      </c>
      <c r="S1630" s="6"/>
      <c r="T1630" s="5" t="str">
        <f>UPPER(IF(Tabla2[[#This Row],[FECHA DE MUESTREO ]]=0,"",TEXT(Tabla2[[#This Row],[FECHA DE MUESTREO ]],("MMMM"))))</f>
        <v/>
      </c>
      <c r="U1630" s="6"/>
      <c r="W163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0" s="7">
        <f t="shared" si="45"/>
        <v>1</v>
      </c>
    </row>
    <row r="1631" spans="10:24" x14ac:dyDescent="0.25">
      <c r="J1631" s="5" t="str">
        <f>IFERROR(VLOOKUP(I1631,[1]INFO_LOCALES!$B:$C,2,FALSE),"")</f>
        <v/>
      </c>
      <c r="K1631" s="5" t="str">
        <f>IFERROR(VLOOKUP(Tabla2[[#This Row],[TIENDA]],[1]INFO_LOCALES!$B:$D,3,FALSE),"")</f>
        <v/>
      </c>
      <c r="L1631" s="5" t="str">
        <f>IFERROR(VLOOKUP(I1631,[1]INFO_LOCALES!$B:$I,8,FALSE),"")</f>
        <v/>
      </c>
      <c r="M1631" s="5" t="str">
        <f>IFERROR(VLOOKUP(I1631,[1]INFO_LOCALES!$B:$H,7,FALSE),"")</f>
        <v/>
      </c>
      <c r="N1631" s="5" t="str">
        <f>IFERROR(VLOOKUP(I1631,[1]INFO_LOCALES!$B:$E,4,FALSE),"")</f>
        <v/>
      </c>
      <c r="O1631" s="5" t="e">
        <f>VLOOKUP(Tabla2[[#This Row],[TIENDA]],[1]INFO_LOCALES!$B:$J,9,0)</f>
        <v>#N/A</v>
      </c>
      <c r="P1631" s="5" t="str">
        <f>IFERROR(VLOOKUP(I1631,[1]INFO_LOCALES!$B:$F,5,FALSE),"")</f>
        <v/>
      </c>
      <c r="S1631" s="6"/>
      <c r="T1631" s="5" t="str">
        <f>UPPER(IF(Tabla2[[#This Row],[FECHA DE MUESTREO ]]=0,"",TEXT(Tabla2[[#This Row],[FECHA DE MUESTREO ]],("MMMM"))))</f>
        <v/>
      </c>
      <c r="U1631" s="6"/>
      <c r="W163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1" s="7">
        <f t="shared" si="45"/>
        <v>1</v>
      </c>
    </row>
    <row r="1632" spans="10:24" x14ac:dyDescent="0.25">
      <c r="J1632" s="5" t="str">
        <f>IFERROR(VLOOKUP(I1632,[1]INFO_LOCALES!$B:$C,2,FALSE),"")</f>
        <v/>
      </c>
      <c r="K1632" s="5" t="str">
        <f>IFERROR(VLOOKUP(Tabla2[[#This Row],[TIENDA]],[1]INFO_LOCALES!$B:$D,3,FALSE),"")</f>
        <v/>
      </c>
      <c r="L1632" s="5" t="str">
        <f>IFERROR(VLOOKUP(I1632,[1]INFO_LOCALES!$B:$I,8,FALSE),"")</f>
        <v/>
      </c>
      <c r="M1632" s="5" t="str">
        <f>IFERROR(VLOOKUP(I1632,[1]INFO_LOCALES!$B:$H,7,FALSE),"")</f>
        <v/>
      </c>
      <c r="N1632" s="5" t="str">
        <f>IFERROR(VLOOKUP(I1632,[1]INFO_LOCALES!$B:$E,4,FALSE),"")</f>
        <v/>
      </c>
      <c r="O1632" s="5" t="e">
        <f>VLOOKUP(Tabla2[[#This Row],[TIENDA]],[1]INFO_LOCALES!$B:$J,9,0)</f>
        <v>#N/A</v>
      </c>
      <c r="P1632" s="5" t="str">
        <f>IFERROR(VLOOKUP(I1632,[1]INFO_LOCALES!$B:$F,5,FALSE),"")</f>
        <v/>
      </c>
      <c r="S1632" s="6"/>
      <c r="T1632" s="5" t="str">
        <f>UPPER(IF(Tabla2[[#This Row],[FECHA DE MUESTREO ]]=0,"",TEXT(Tabla2[[#This Row],[FECHA DE MUESTREO ]],("MMMM"))))</f>
        <v/>
      </c>
      <c r="U1632" s="6"/>
      <c r="W163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2" s="7">
        <f t="shared" si="45"/>
        <v>1</v>
      </c>
    </row>
    <row r="1633" spans="10:24" x14ac:dyDescent="0.25">
      <c r="J1633" s="5" t="str">
        <f>IFERROR(VLOOKUP(I1633,[1]INFO_LOCALES!$B:$C,2,FALSE),"")</f>
        <v/>
      </c>
      <c r="K1633" s="5" t="str">
        <f>IFERROR(VLOOKUP(Tabla2[[#This Row],[TIENDA]],[1]INFO_LOCALES!$B:$D,3,FALSE),"")</f>
        <v/>
      </c>
      <c r="L1633" s="5" t="str">
        <f>IFERROR(VLOOKUP(I1633,[1]INFO_LOCALES!$B:$I,8,FALSE),"")</f>
        <v/>
      </c>
      <c r="M1633" s="5" t="str">
        <f>IFERROR(VLOOKUP(I1633,[1]INFO_LOCALES!$B:$H,7,FALSE),"")</f>
        <v/>
      </c>
      <c r="N1633" s="5" t="str">
        <f>IFERROR(VLOOKUP(I1633,[1]INFO_LOCALES!$B:$E,4,FALSE),"")</f>
        <v/>
      </c>
      <c r="O1633" s="5" t="e">
        <f>VLOOKUP(Tabla2[[#This Row],[TIENDA]],[1]INFO_LOCALES!$B:$J,9,0)</f>
        <v>#N/A</v>
      </c>
      <c r="P1633" s="5" t="str">
        <f>IFERROR(VLOOKUP(I1633,[1]INFO_LOCALES!$B:$F,5,FALSE),"")</f>
        <v/>
      </c>
      <c r="S1633" s="6"/>
      <c r="T1633" s="5" t="str">
        <f>UPPER(IF(Tabla2[[#This Row],[FECHA DE MUESTREO ]]=0,"",TEXT(Tabla2[[#This Row],[FECHA DE MUESTREO ]],("MMMM"))))</f>
        <v/>
      </c>
      <c r="U1633" s="6"/>
      <c r="W163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3" s="7">
        <f t="shared" si="45"/>
        <v>1</v>
      </c>
    </row>
    <row r="1634" spans="10:24" x14ac:dyDescent="0.25">
      <c r="J1634" s="5" t="str">
        <f>IFERROR(VLOOKUP(I1634,[1]INFO_LOCALES!$B:$C,2,FALSE),"")</f>
        <v/>
      </c>
      <c r="K1634" s="5" t="str">
        <f>IFERROR(VLOOKUP(Tabla2[[#This Row],[TIENDA]],[1]INFO_LOCALES!$B:$D,3,FALSE),"")</f>
        <v/>
      </c>
      <c r="L1634" s="5" t="str">
        <f>IFERROR(VLOOKUP(I1634,[1]INFO_LOCALES!$B:$I,8,FALSE),"")</f>
        <v/>
      </c>
      <c r="M1634" s="5" t="str">
        <f>IFERROR(VLOOKUP(I1634,[1]INFO_LOCALES!$B:$H,7,FALSE),"")</f>
        <v/>
      </c>
      <c r="N1634" s="5" t="str">
        <f>IFERROR(VLOOKUP(I1634,[1]INFO_LOCALES!$B:$E,4,FALSE),"")</f>
        <v/>
      </c>
      <c r="O1634" s="5" t="e">
        <f>VLOOKUP(Tabla2[[#This Row],[TIENDA]],[1]INFO_LOCALES!$B:$J,9,0)</f>
        <v>#N/A</v>
      </c>
      <c r="P1634" s="5" t="str">
        <f>IFERROR(VLOOKUP(I1634,[1]INFO_LOCALES!$B:$F,5,FALSE),"")</f>
        <v/>
      </c>
      <c r="S1634" s="6"/>
      <c r="T1634" s="5" t="str">
        <f>UPPER(IF(Tabla2[[#This Row],[FECHA DE MUESTREO ]]=0,"",TEXT(Tabla2[[#This Row],[FECHA DE MUESTREO ]],("MMMM"))))</f>
        <v/>
      </c>
      <c r="U1634" s="6"/>
      <c r="W163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4" s="7">
        <f t="shared" si="45"/>
        <v>1</v>
      </c>
    </row>
    <row r="1635" spans="10:24" x14ac:dyDescent="0.25">
      <c r="J1635" s="5" t="str">
        <f>IFERROR(VLOOKUP(I1635,[1]INFO_LOCALES!$B:$C,2,FALSE),"")</f>
        <v/>
      </c>
      <c r="K1635" s="5" t="str">
        <f>IFERROR(VLOOKUP(Tabla2[[#This Row],[TIENDA]],[1]INFO_LOCALES!$B:$D,3,FALSE),"")</f>
        <v/>
      </c>
      <c r="L1635" s="5" t="str">
        <f>IFERROR(VLOOKUP(I1635,[1]INFO_LOCALES!$B:$I,8,FALSE),"")</f>
        <v/>
      </c>
      <c r="M1635" s="5" t="str">
        <f>IFERROR(VLOOKUP(I1635,[1]INFO_LOCALES!$B:$H,7,FALSE),"")</f>
        <v/>
      </c>
      <c r="N1635" s="5" t="str">
        <f>IFERROR(VLOOKUP(I1635,[1]INFO_LOCALES!$B:$E,4,FALSE),"")</f>
        <v/>
      </c>
      <c r="O1635" s="5" t="e">
        <f>VLOOKUP(Tabla2[[#This Row],[TIENDA]],[1]INFO_LOCALES!$B:$J,9,0)</f>
        <v>#N/A</v>
      </c>
      <c r="P1635" s="5" t="str">
        <f>IFERROR(VLOOKUP(I1635,[1]INFO_LOCALES!$B:$F,5,FALSE),"")</f>
        <v/>
      </c>
      <c r="S1635" s="6"/>
      <c r="T1635" s="5" t="str">
        <f>UPPER(IF(Tabla2[[#This Row],[FECHA DE MUESTREO ]]=0,"",TEXT(Tabla2[[#This Row],[FECHA DE MUESTREO ]],("MMMM"))))</f>
        <v/>
      </c>
      <c r="U1635" s="6"/>
      <c r="W163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5" s="7">
        <f t="shared" si="45"/>
        <v>1</v>
      </c>
    </row>
    <row r="1636" spans="10:24" x14ac:dyDescent="0.25">
      <c r="J1636" s="5" t="str">
        <f>IFERROR(VLOOKUP(I1636,[1]INFO_LOCALES!$B:$C,2,FALSE),"")</f>
        <v/>
      </c>
      <c r="K1636" s="5" t="str">
        <f>IFERROR(VLOOKUP(Tabla2[[#This Row],[TIENDA]],[1]INFO_LOCALES!$B:$D,3,FALSE),"")</f>
        <v/>
      </c>
      <c r="L1636" s="5" t="str">
        <f>IFERROR(VLOOKUP(I1636,[1]INFO_LOCALES!$B:$I,8,FALSE),"")</f>
        <v/>
      </c>
      <c r="M1636" s="5" t="str">
        <f>IFERROR(VLOOKUP(I1636,[1]INFO_LOCALES!$B:$H,7,FALSE),"")</f>
        <v/>
      </c>
      <c r="N1636" s="5" t="str">
        <f>IFERROR(VLOOKUP(I1636,[1]INFO_LOCALES!$B:$E,4,FALSE),"")</f>
        <v/>
      </c>
      <c r="O1636" s="5" t="e">
        <f>VLOOKUP(Tabla2[[#This Row],[TIENDA]],[1]INFO_LOCALES!$B:$J,9,0)</f>
        <v>#N/A</v>
      </c>
      <c r="P1636" s="5" t="str">
        <f>IFERROR(VLOOKUP(I1636,[1]INFO_LOCALES!$B:$F,5,FALSE),"")</f>
        <v/>
      </c>
      <c r="S1636" s="6"/>
      <c r="T1636" s="5" t="str">
        <f>UPPER(IF(Tabla2[[#This Row],[FECHA DE MUESTREO ]]=0,"",TEXT(Tabla2[[#This Row],[FECHA DE MUESTREO ]],("MMMM"))))</f>
        <v/>
      </c>
      <c r="U1636" s="6"/>
      <c r="W163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6" s="7">
        <f t="shared" si="45"/>
        <v>1</v>
      </c>
    </row>
    <row r="1637" spans="10:24" x14ac:dyDescent="0.25">
      <c r="J1637" s="5" t="str">
        <f>IFERROR(VLOOKUP(I1637,[1]INFO_LOCALES!$B:$C,2,FALSE),"")</f>
        <v/>
      </c>
      <c r="K1637" s="5" t="str">
        <f>IFERROR(VLOOKUP(Tabla2[[#This Row],[TIENDA]],[1]INFO_LOCALES!$B:$D,3,FALSE),"")</f>
        <v/>
      </c>
      <c r="L1637" s="5" t="str">
        <f>IFERROR(VLOOKUP(I1637,[1]INFO_LOCALES!$B:$I,8,FALSE),"")</f>
        <v/>
      </c>
      <c r="M1637" s="5" t="str">
        <f>IFERROR(VLOOKUP(I1637,[1]INFO_LOCALES!$B:$H,7,FALSE),"")</f>
        <v/>
      </c>
      <c r="N1637" s="5" t="str">
        <f>IFERROR(VLOOKUP(I1637,[1]INFO_LOCALES!$B:$E,4,FALSE),"")</f>
        <v/>
      </c>
      <c r="O1637" s="5" t="e">
        <f>VLOOKUP(Tabla2[[#This Row],[TIENDA]],[1]INFO_LOCALES!$B:$J,9,0)</f>
        <v>#N/A</v>
      </c>
      <c r="P1637" s="5" t="str">
        <f>IFERROR(VLOOKUP(I1637,[1]INFO_LOCALES!$B:$F,5,FALSE),"")</f>
        <v/>
      </c>
      <c r="S1637" s="6"/>
      <c r="T1637" s="5" t="str">
        <f>UPPER(IF(Tabla2[[#This Row],[FECHA DE MUESTREO ]]=0,"",TEXT(Tabla2[[#This Row],[FECHA DE MUESTREO ]],("MMMM"))))</f>
        <v/>
      </c>
      <c r="U1637" s="6"/>
      <c r="W163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7" s="7">
        <f t="shared" si="45"/>
        <v>1</v>
      </c>
    </row>
    <row r="1638" spans="10:24" x14ac:dyDescent="0.25">
      <c r="J1638" s="5" t="str">
        <f>IFERROR(VLOOKUP(I1638,[1]INFO_LOCALES!$B:$C,2,FALSE),"")</f>
        <v/>
      </c>
      <c r="K1638" s="5" t="str">
        <f>IFERROR(VLOOKUP(Tabla2[[#This Row],[TIENDA]],[1]INFO_LOCALES!$B:$D,3,FALSE),"")</f>
        <v/>
      </c>
      <c r="L1638" s="5" t="str">
        <f>IFERROR(VLOOKUP(I1638,[1]INFO_LOCALES!$B:$I,8,FALSE),"")</f>
        <v/>
      </c>
      <c r="M1638" s="5" t="str">
        <f>IFERROR(VLOOKUP(I1638,[1]INFO_LOCALES!$B:$H,7,FALSE),"")</f>
        <v/>
      </c>
      <c r="N1638" s="5" t="str">
        <f>IFERROR(VLOOKUP(I1638,[1]INFO_LOCALES!$B:$E,4,FALSE),"")</f>
        <v/>
      </c>
      <c r="O1638" s="5" t="e">
        <f>VLOOKUP(Tabla2[[#This Row],[TIENDA]],[1]INFO_LOCALES!$B:$J,9,0)</f>
        <v>#N/A</v>
      </c>
      <c r="P1638" s="5" t="str">
        <f>IFERROR(VLOOKUP(I1638,[1]INFO_LOCALES!$B:$F,5,FALSE),"")</f>
        <v/>
      </c>
      <c r="S1638" s="6"/>
      <c r="T1638" s="5" t="str">
        <f>UPPER(IF(Tabla2[[#This Row],[FECHA DE MUESTREO ]]=0,"",TEXT(Tabla2[[#This Row],[FECHA DE MUESTREO ]],("MMMM"))))</f>
        <v/>
      </c>
      <c r="U1638" s="6"/>
      <c r="W163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8" s="7">
        <f t="shared" ref="X1638:X1701" si="46">IF(W1638="CUMPLE",1,IF(W1638="CUMPLE CON TOLERANCIA",2,IF(W1638="NO CUMPLE",3)))</f>
        <v>1</v>
      </c>
    </row>
    <row r="1639" spans="10:24" x14ac:dyDescent="0.25">
      <c r="J1639" s="5" t="str">
        <f>IFERROR(VLOOKUP(I1639,[1]INFO_LOCALES!$B:$C,2,FALSE),"")</f>
        <v/>
      </c>
      <c r="K1639" s="5" t="str">
        <f>IFERROR(VLOOKUP(Tabla2[[#This Row],[TIENDA]],[1]INFO_LOCALES!$B:$D,3,FALSE),"")</f>
        <v/>
      </c>
      <c r="L1639" s="5" t="str">
        <f>IFERROR(VLOOKUP(I1639,[1]INFO_LOCALES!$B:$I,8,FALSE),"")</f>
        <v/>
      </c>
      <c r="M1639" s="5" t="str">
        <f>IFERROR(VLOOKUP(I1639,[1]INFO_LOCALES!$B:$H,7,FALSE),"")</f>
        <v/>
      </c>
      <c r="N1639" s="5" t="str">
        <f>IFERROR(VLOOKUP(I1639,[1]INFO_LOCALES!$B:$E,4,FALSE),"")</f>
        <v/>
      </c>
      <c r="O1639" s="5" t="e">
        <f>VLOOKUP(Tabla2[[#This Row],[TIENDA]],[1]INFO_LOCALES!$B:$J,9,0)</f>
        <v>#N/A</v>
      </c>
      <c r="P1639" s="5" t="str">
        <f>IFERROR(VLOOKUP(I1639,[1]INFO_LOCALES!$B:$F,5,FALSE),"")</f>
        <v/>
      </c>
      <c r="S1639" s="6"/>
      <c r="T1639" s="5" t="str">
        <f>UPPER(IF(Tabla2[[#This Row],[FECHA DE MUESTREO ]]=0,"",TEXT(Tabla2[[#This Row],[FECHA DE MUESTREO ]],("MMMM"))))</f>
        <v/>
      </c>
      <c r="U1639" s="6"/>
      <c r="W163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39" s="7">
        <f t="shared" si="46"/>
        <v>1</v>
      </c>
    </row>
    <row r="1640" spans="10:24" x14ac:dyDescent="0.25">
      <c r="J1640" s="5" t="str">
        <f>IFERROR(VLOOKUP(I1640,[1]INFO_LOCALES!$B:$C,2,FALSE),"")</f>
        <v/>
      </c>
      <c r="K1640" s="5" t="str">
        <f>IFERROR(VLOOKUP(Tabla2[[#This Row],[TIENDA]],[1]INFO_LOCALES!$B:$D,3,FALSE),"")</f>
        <v/>
      </c>
      <c r="L1640" s="5" t="str">
        <f>IFERROR(VLOOKUP(I1640,[1]INFO_LOCALES!$B:$I,8,FALSE),"")</f>
        <v/>
      </c>
      <c r="M1640" s="5" t="str">
        <f>IFERROR(VLOOKUP(I1640,[1]INFO_LOCALES!$B:$H,7,FALSE),"")</f>
        <v/>
      </c>
      <c r="N1640" s="5" t="str">
        <f>IFERROR(VLOOKUP(I1640,[1]INFO_LOCALES!$B:$E,4,FALSE),"")</f>
        <v/>
      </c>
      <c r="O1640" s="5" t="e">
        <f>VLOOKUP(Tabla2[[#This Row],[TIENDA]],[1]INFO_LOCALES!$B:$J,9,0)</f>
        <v>#N/A</v>
      </c>
      <c r="P1640" s="5" t="str">
        <f>IFERROR(VLOOKUP(I1640,[1]INFO_LOCALES!$B:$F,5,FALSE),"")</f>
        <v/>
      </c>
      <c r="S1640" s="6"/>
      <c r="T1640" s="5" t="str">
        <f>UPPER(IF(Tabla2[[#This Row],[FECHA DE MUESTREO ]]=0,"",TEXT(Tabla2[[#This Row],[FECHA DE MUESTREO ]],("MMMM"))))</f>
        <v/>
      </c>
      <c r="U1640" s="6"/>
      <c r="W164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0" s="7">
        <f t="shared" si="46"/>
        <v>1</v>
      </c>
    </row>
    <row r="1641" spans="10:24" x14ac:dyDescent="0.25">
      <c r="J1641" s="5" t="str">
        <f>IFERROR(VLOOKUP(I1641,[1]INFO_LOCALES!$B:$C,2,FALSE),"")</f>
        <v/>
      </c>
      <c r="K1641" s="5" t="str">
        <f>IFERROR(VLOOKUP(Tabla2[[#This Row],[TIENDA]],[1]INFO_LOCALES!$B:$D,3,FALSE),"")</f>
        <v/>
      </c>
      <c r="L1641" s="5" t="str">
        <f>IFERROR(VLOOKUP(I1641,[1]INFO_LOCALES!$B:$I,8,FALSE),"")</f>
        <v/>
      </c>
      <c r="M1641" s="5" t="str">
        <f>IFERROR(VLOOKUP(I1641,[1]INFO_LOCALES!$B:$H,7,FALSE),"")</f>
        <v/>
      </c>
      <c r="N1641" s="5" t="str">
        <f>IFERROR(VLOOKUP(I1641,[1]INFO_LOCALES!$B:$E,4,FALSE),"")</f>
        <v/>
      </c>
      <c r="O1641" s="5" t="e">
        <f>VLOOKUP(Tabla2[[#This Row],[TIENDA]],[1]INFO_LOCALES!$B:$J,9,0)</f>
        <v>#N/A</v>
      </c>
      <c r="P1641" s="5" t="str">
        <f>IFERROR(VLOOKUP(I1641,[1]INFO_LOCALES!$B:$F,5,FALSE),"")</f>
        <v/>
      </c>
      <c r="S1641" s="6"/>
      <c r="T1641" s="5" t="str">
        <f>UPPER(IF(Tabla2[[#This Row],[FECHA DE MUESTREO ]]=0,"",TEXT(Tabla2[[#This Row],[FECHA DE MUESTREO ]],("MMMM"))))</f>
        <v/>
      </c>
      <c r="U1641" s="6"/>
      <c r="W164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1" s="7">
        <f t="shared" si="46"/>
        <v>1</v>
      </c>
    </row>
    <row r="1642" spans="10:24" x14ac:dyDescent="0.25">
      <c r="J1642" s="5" t="str">
        <f>IFERROR(VLOOKUP(I1642,[1]INFO_LOCALES!$B:$C,2,FALSE),"")</f>
        <v/>
      </c>
      <c r="K1642" s="5" t="str">
        <f>IFERROR(VLOOKUP(Tabla2[[#This Row],[TIENDA]],[1]INFO_LOCALES!$B:$D,3,FALSE),"")</f>
        <v/>
      </c>
      <c r="L1642" s="5" t="str">
        <f>IFERROR(VLOOKUP(I1642,[1]INFO_LOCALES!$B:$I,8,FALSE),"")</f>
        <v/>
      </c>
      <c r="M1642" s="5" t="str">
        <f>IFERROR(VLOOKUP(I1642,[1]INFO_LOCALES!$B:$H,7,FALSE),"")</f>
        <v/>
      </c>
      <c r="N1642" s="5" t="str">
        <f>IFERROR(VLOOKUP(I1642,[1]INFO_LOCALES!$B:$E,4,FALSE),"")</f>
        <v/>
      </c>
      <c r="O1642" s="5" t="e">
        <f>VLOOKUP(Tabla2[[#This Row],[TIENDA]],[1]INFO_LOCALES!$B:$J,9,0)</f>
        <v>#N/A</v>
      </c>
      <c r="P1642" s="5" t="str">
        <f>IFERROR(VLOOKUP(I1642,[1]INFO_LOCALES!$B:$F,5,FALSE),"")</f>
        <v/>
      </c>
      <c r="S1642" s="6"/>
      <c r="T1642" s="5" t="str">
        <f>UPPER(IF(Tabla2[[#This Row],[FECHA DE MUESTREO ]]=0,"",TEXT(Tabla2[[#This Row],[FECHA DE MUESTREO ]],("MMMM"))))</f>
        <v/>
      </c>
      <c r="U1642" s="6"/>
      <c r="W164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2" s="7">
        <f t="shared" si="46"/>
        <v>1</v>
      </c>
    </row>
    <row r="1643" spans="10:24" x14ac:dyDescent="0.25">
      <c r="J1643" s="5" t="str">
        <f>IFERROR(VLOOKUP(I1643,[1]INFO_LOCALES!$B:$C,2,FALSE),"")</f>
        <v/>
      </c>
      <c r="K1643" s="5" t="str">
        <f>IFERROR(VLOOKUP(Tabla2[[#This Row],[TIENDA]],[1]INFO_LOCALES!$B:$D,3,FALSE),"")</f>
        <v/>
      </c>
      <c r="L1643" s="5" t="str">
        <f>IFERROR(VLOOKUP(I1643,[1]INFO_LOCALES!$B:$I,8,FALSE),"")</f>
        <v/>
      </c>
      <c r="M1643" s="5" t="str">
        <f>IFERROR(VLOOKUP(I1643,[1]INFO_LOCALES!$B:$H,7,FALSE),"")</f>
        <v/>
      </c>
      <c r="N1643" s="5" t="str">
        <f>IFERROR(VLOOKUP(I1643,[1]INFO_LOCALES!$B:$E,4,FALSE),"")</f>
        <v/>
      </c>
      <c r="O1643" s="5" t="e">
        <f>VLOOKUP(Tabla2[[#This Row],[TIENDA]],[1]INFO_LOCALES!$B:$J,9,0)</f>
        <v>#N/A</v>
      </c>
      <c r="P1643" s="5" t="str">
        <f>IFERROR(VLOOKUP(I1643,[1]INFO_LOCALES!$B:$F,5,FALSE),"")</f>
        <v/>
      </c>
      <c r="S1643" s="6"/>
      <c r="T1643" s="5" t="str">
        <f>UPPER(IF(Tabla2[[#This Row],[FECHA DE MUESTREO ]]=0,"",TEXT(Tabla2[[#This Row],[FECHA DE MUESTREO ]],("MMMM"))))</f>
        <v/>
      </c>
      <c r="U1643" s="6"/>
      <c r="W164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3" s="7">
        <f t="shared" si="46"/>
        <v>1</v>
      </c>
    </row>
    <row r="1644" spans="10:24" x14ac:dyDescent="0.25">
      <c r="J1644" s="5" t="str">
        <f>IFERROR(VLOOKUP(I1644,[1]INFO_LOCALES!$B:$C,2,FALSE),"")</f>
        <v/>
      </c>
      <c r="K1644" s="5" t="str">
        <f>IFERROR(VLOOKUP(Tabla2[[#This Row],[TIENDA]],[1]INFO_LOCALES!$B:$D,3,FALSE),"")</f>
        <v/>
      </c>
      <c r="L1644" s="5" t="str">
        <f>IFERROR(VLOOKUP(I1644,[1]INFO_LOCALES!$B:$I,8,FALSE),"")</f>
        <v/>
      </c>
      <c r="M1644" s="5" t="str">
        <f>IFERROR(VLOOKUP(I1644,[1]INFO_LOCALES!$B:$H,7,FALSE),"")</f>
        <v/>
      </c>
      <c r="N1644" s="5" t="str">
        <f>IFERROR(VLOOKUP(I1644,[1]INFO_LOCALES!$B:$E,4,FALSE),"")</f>
        <v/>
      </c>
      <c r="O1644" s="5" t="e">
        <f>VLOOKUP(Tabla2[[#This Row],[TIENDA]],[1]INFO_LOCALES!$B:$J,9,0)</f>
        <v>#N/A</v>
      </c>
      <c r="P1644" s="5" t="str">
        <f>IFERROR(VLOOKUP(I1644,[1]INFO_LOCALES!$B:$F,5,FALSE),"")</f>
        <v/>
      </c>
      <c r="S1644" s="6"/>
      <c r="T1644" s="5" t="str">
        <f>UPPER(IF(Tabla2[[#This Row],[FECHA DE MUESTREO ]]=0,"",TEXT(Tabla2[[#This Row],[FECHA DE MUESTREO ]],("MMMM"))))</f>
        <v/>
      </c>
      <c r="U1644" s="6"/>
      <c r="W164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4" s="7">
        <f t="shared" si="46"/>
        <v>1</v>
      </c>
    </row>
    <row r="1645" spans="10:24" x14ac:dyDescent="0.25">
      <c r="J1645" s="5" t="str">
        <f>IFERROR(VLOOKUP(I1645,[1]INFO_LOCALES!$B:$C,2,FALSE),"")</f>
        <v/>
      </c>
      <c r="K1645" s="5" t="str">
        <f>IFERROR(VLOOKUP(Tabla2[[#This Row],[TIENDA]],[1]INFO_LOCALES!$B:$D,3,FALSE),"")</f>
        <v/>
      </c>
      <c r="L1645" s="5" t="str">
        <f>IFERROR(VLOOKUP(I1645,[1]INFO_LOCALES!$B:$I,8,FALSE),"")</f>
        <v/>
      </c>
      <c r="M1645" s="5" t="str">
        <f>IFERROR(VLOOKUP(I1645,[1]INFO_LOCALES!$B:$H,7,FALSE),"")</f>
        <v/>
      </c>
      <c r="N1645" s="5" t="str">
        <f>IFERROR(VLOOKUP(I1645,[1]INFO_LOCALES!$B:$E,4,FALSE),"")</f>
        <v/>
      </c>
      <c r="O1645" s="5" t="e">
        <f>VLOOKUP(Tabla2[[#This Row],[TIENDA]],[1]INFO_LOCALES!$B:$J,9,0)</f>
        <v>#N/A</v>
      </c>
      <c r="P1645" s="5" t="str">
        <f>IFERROR(VLOOKUP(I1645,[1]INFO_LOCALES!$B:$F,5,FALSE),"")</f>
        <v/>
      </c>
      <c r="S1645" s="6"/>
      <c r="T1645" s="5" t="str">
        <f>UPPER(IF(Tabla2[[#This Row],[FECHA DE MUESTREO ]]=0,"",TEXT(Tabla2[[#This Row],[FECHA DE MUESTREO ]],("MMMM"))))</f>
        <v/>
      </c>
      <c r="U1645" s="6"/>
      <c r="W164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5" s="7">
        <f t="shared" si="46"/>
        <v>1</v>
      </c>
    </row>
    <row r="1646" spans="10:24" x14ac:dyDescent="0.25">
      <c r="J1646" s="5" t="str">
        <f>IFERROR(VLOOKUP(I1646,[1]INFO_LOCALES!$B:$C,2,FALSE),"")</f>
        <v/>
      </c>
      <c r="K1646" s="5" t="str">
        <f>IFERROR(VLOOKUP(Tabla2[[#This Row],[TIENDA]],[1]INFO_LOCALES!$B:$D,3,FALSE),"")</f>
        <v/>
      </c>
      <c r="L1646" s="5" t="str">
        <f>IFERROR(VLOOKUP(I1646,[1]INFO_LOCALES!$B:$I,8,FALSE),"")</f>
        <v/>
      </c>
      <c r="M1646" s="5" t="str">
        <f>IFERROR(VLOOKUP(I1646,[1]INFO_LOCALES!$B:$H,7,FALSE),"")</f>
        <v/>
      </c>
      <c r="N1646" s="5" t="str">
        <f>IFERROR(VLOOKUP(I1646,[1]INFO_LOCALES!$B:$E,4,FALSE),"")</f>
        <v/>
      </c>
      <c r="O1646" s="5" t="e">
        <f>VLOOKUP(Tabla2[[#This Row],[TIENDA]],[1]INFO_LOCALES!$B:$J,9,0)</f>
        <v>#N/A</v>
      </c>
      <c r="P1646" s="5" t="str">
        <f>IFERROR(VLOOKUP(I1646,[1]INFO_LOCALES!$B:$F,5,FALSE),"")</f>
        <v/>
      </c>
      <c r="S1646" s="6"/>
      <c r="T1646" s="5" t="str">
        <f>UPPER(IF(Tabla2[[#This Row],[FECHA DE MUESTREO ]]=0,"",TEXT(Tabla2[[#This Row],[FECHA DE MUESTREO ]],("MMMM"))))</f>
        <v/>
      </c>
      <c r="U1646" s="6"/>
      <c r="W164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6" s="7">
        <f t="shared" si="46"/>
        <v>1</v>
      </c>
    </row>
    <row r="1647" spans="10:24" x14ac:dyDescent="0.25">
      <c r="J1647" s="5" t="str">
        <f>IFERROR(VLOOKUP(I1647,[1]INFO_LOCALES!$B:$C,2,FALSE),"")</f>
        <v/>
      </c>
      <c r="K1647" s="5" t="str">
        <f>IFERROR(VLOOKUP(Tabla2[[#This Row],[TIENDA]],[1]INFO_LOCALES!$B:$D,3,FALSE),"")</f>
        <v/>
      </c>
      <c r="L1647" s="5" t="str">
        <f>IFERROR(VLOOKUP(I1647,[1]INFO_LOCALES!$B:$I,8,FALSE),"")</f>
        <v/>
      </c>
      <c r="M1647" s="5" t="str">
        <f>IFERROR(VLOOKUP(I1647,[1]INFO_LOCALES!$B:$H,7,FALSE),"")</f>
        <v/>
      </c>
      <c r="N1647" s="5" t="str">
        <f>IFERROR(VLOOKUP(I1647,[1]INFO_LOCALES!$B:$E,4,FALSE),"")</f>
        <v/>
      </c>
      <c r="O1647" s="5" t="e">
        <f>VLOOKUP(Tabla2[[#This Row],[TIENDA]],[1]INFO_LOCALES!$B:$J,9,0)</f>
        <v>#N/A</v>
      </c>
      <c r="P1647" s="5" t="str">
        <f>IFERROR(VLOOKUP(I1647,[1]INFO_LOCALES!$B:$F,5,FALSE),"")</f>
        <v/>
      </c>
      <c r="S1647" s="6"/>
      <c r="T1647" s="5" t="str">
        <f>UPPER(IF(Tabla2[[#This Row],[FECHA DE MUESTREO ]]=0,"",TEXT(Tabla2[[#This Row],[FECHA DE MUESTREO ]],("MMMM"))))</f>
        <v/>
      </c>
      <c r="U1647" s="6"/>
      <c r="W164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7" s="7">
        <f t="shared" si="46"/>
        <v>1</v>
      </c>
    </row>
    <row r="1648" spans="10:24" x14ac:dyDescent="0.25">
      <c r="J1648" s="5" t="str">
        <f>IFERROR(VLOOKUP(I1648,[1]INFO_LOCALES!$B:$C,2,FALSE),"")</f>
        <v/>
      </c>
      <c r="K1648" s="5" t="str">
        <f>IFERROR(VLOOKUP(Tabla2[[#This Row],[TIENDA]],[1]INFO_LOCALES!$B:$D,3,FALSE),"")</f>
        <v/>
      </c>
      <c r="L1648" s="5" t="str">
        <f>IFERROR(VLOOKUP(I1648,[1]INFO_LOCALES!$B:$I,8,FALSE),"")</f>
        <v/>
      </c>
      <c r="M1648" s="5" t="str">
        <f>IFERROR(VLOOKUP(I1648,[1]INFO_LOCALES!$B:$H,7,FALSE),"")</f>
        <v/>
      </c>
      <c r="N1648" s="5" t="str">
        <f>IFERROR(VLOOKUP(I1648,[1]INFO_LOCALES!$B:$E,4,FALSE),"")</f>
        <v/>
      </c>
      <c r="O1648" s="5" t="e">
        <f>VLOOKUP(Tabla2[[#This Row],[TIENDA]],[1]INFO_LOCALES!$B:$J,9,0)</f>
        <v>#N/A</v>
      </c>
      <c r="P1648" s="5" t="str">
        <f>IFERROR(VLOOKUP(I1648,[1]INFO_LOCALES!$B:$F,5,FALSE),"")</f>
        <v/>
      </c>
      <c r="S1648" s="6"/>
      <c r="T1648" s="5" t="str">
        <f>UPPER(IF(Tabla2[[#This Row],[FECHA DE MUESTREO ]]=0,"",TEXT(Tabla2[[#This Row],[FECHA DE MUESTREO ]],("MMMM"))))</f>
        <v/>
      </c>
      <c r="U1648" s="6"/>
      <c r="W164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8" s="7">
        <f t="shared" si="46"/>
        <v>1</v>
      </c>
    </row>
    <row r="1649" spans="10:24" x14ac:dyDescent="0.25">
      <c r="J1649" s="5" t="str">
        <f>IFERROR(VLOOKUP(I1649,[1]INFO_LOCALES!$B:$C,2,FALSE),"")</f>
        <v/>
      </c>
      <c r="K1649" s="5" t="str">
        <f>IFERROR(VLOOKUP(Tabla2[[#This Row],[TIENDA]],[1]INFO_LOCALES!$B:$D,3,FALSE),"")</f>
        <v/>
      </c>
      <c r="L1649" s="5" t="str">
        <f>IFERROR(VLOOKUP(I1649,[1]INFO_LOCALES!$B:$I,8,FALSE),"")</f>
        <v/>
      </c>
      <c r="M1649" s="5" t="str">
        <f>IFERROR(VLOOKUP(I1649,[1]INFO_LOCALES!$B:$H,7,FALSE),"")</f>
        <v/>
      </c>
      <c r="N1649" s="5" t="str">
        <f>IFERROR(VLOOKUP(I1649,[1]INFO_LOCALES!$B:$E,4,FALSE),"")</f>
        <v/>
      </c>
      <c r="O1649" s="5" t="e">
        <f>VLOOKUP(Tabla2[[#This Row],[TIENDA]],[1]INFO_LOCALES!$B:$J,9,0)</f>
        <v>#N/A</v>
      </c>
      <c r="P1649" s="5" t="str">
        <f>IFERROR(VLOOKUP(I1649,[1]INFO_LOCALES!$B:$F,5,FALSE),"")</f>
        <v/>
      </c>
      <c r="S1649" s="6"/>
      <c r="T1649" s="5" t="str">
        <f>UPPER(IF(Tabla2[[#This Row],[FECHA DE MUESTREO ]]=0,"",TEXT(Tabla2[[#This Row],[FECHA DE MUESTREO ]],("MMMM"))))</f>
        <v/>
      </c>
      <c r="U1649" s="6"/>
      <c r="W164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49" s="7">
        <f t="shared" si="46"/>
        <v>1</v>
      </c>
    </row>
    <row r="1650" spans="10:24" x14ac:dyDescent="0.25">
      <c r="J1650" s="5" t="str">
        <f>IFERROR(VLOOKUP(I1650,[1]INFO_LOCALES!$B:$C,2,FALSE),"")</f>
        <v/>
      </c>
      <c r="K1650" s="5" t="str">
        <f>IFERROR(VLOOKUP(Tabla2[[#This Row],[TIENDA]],[1]INFO_LOCALES!$B:$D,3,FALSE),"")</f>
        <v/>
      </c>
      <c r="L1650" s="5" t="str">
        <f>IFERROR(VLOOKUP(I1650,[1]INFO_LOCALES!$B:$I,8,FALSE),"")</f>
        <v/>
      </c>
      <c r="M1650" s="5" t="str">
        <f>IFERROR(VLOOKUP(I1650,[1]INFO_LOCALES!$B:$H,7,FALSE),"")</f>
        <v/>
      </c>
      <c r="N1650" s="5" t="str">
        <f>IFERROR(VLOOKUP(I1650,[1]INFO_LOCALES!$B:$E,4,FALSE),"")</f>
        <v/>
      </c>
      <c r="O1650" s="5" t="e">
        <f>VLOOKUP(Tabla2[[#This Row],[TIENDA]],[1]INFO_LOCALES!$B:$J,9,0)</f>
        <v>#N/A</v>
      </c>
      <c r="P1650" s="5" t="str">
        <f>IFERROR(VLOOKUP(I1650,[1]INFO_LOCALES!$B:$F,5,FALSE),"")</f>
        <v/>
      </c>
      <c r="S1650" s="6"/>
      <c r="T1650" s="5" t="str">
        <f>UPPER(IF(Tabla2[[#This Row],[FECHA DE MUESTREO ]]=0,"",TEXT(Tabla2[[#This Row],[FECHA DE MUESTREO ]],("MMMM"))))</f>
        <v/>
      </c>
      <c r="U1650" s="6"/>
      <c r="W165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0" s="7">
        <f t="shared" si="46"/>
        <v>1</v>
      </c>
    </row>
    <row r="1651" spans="10:24" x14ac:dyDescent="0.25">
      <c r="J1651" s="5" t="str">
        <f>IFERROR(VLOOKUP(I1651,[1]INFO_LOCALES!$B:$C,2,FALSE),"")</f>
        <v/>
      </c>
      <c r="K1651" s="5" t="str">
        <f>IFERROR(VLOOKUP(Tabla2[[#This Row],[TIENDA]],[1]INFO_LOCALES!$B:$D,3,FALSE),"")</f>
        <v/>
      </c>
      <c r="L1651" s="5" t="str">
        <f>IFERROR(VLOOKUP(I1651,[1]INFO_LOCALES!$B:$I,8,FALSE),"")</f>
        <v/>
      </c>
      <c r="M1651" s="5" t="str">
        <f>IFERROR(VLOOKUP(I1651,[1]INFO_LOCALES!$B:$H,7,FALSE),"")</f>
        <v/>
      </c>
      <c r="N1651" s="5" t="str">
        <f>IFERROR(VLOOKUP(I1651,[1]INFO_LOCALES!$B:$E,4,FALSE),"")</f>
        <v/>
      </c>
      <c r="O1651" s="5" t="e">
        <f>VLOOKUP(Tabla2[[#This Row],[TIENDA]],[1]INFO_LOCALES!$B:$J,9,0)</f>
        <v>#N/A</v>
      </c>
      <c r="P1651" s="5" t="str">
        <f>IFERROR(VLOOKUP(I1651,[1]INFO_LOCALES!$B:$F,5,FALSE),"")</f>
        <v/>
      </c>
      <c r="S1651" s="6"/>
      <c r="T1651" s="5" t="str">
        <f>UPPER(IF(Tabla2[[#This Row],[FECHA DE MUESTREO ]]=0,"",TEXT(Tabla2[[#This Row],[FECHA DE MUESTREO ]],("MMMM"))))</f>
        <v/>
      </c>
      <c r="U1651" s="6"/>
      <c r="W165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1" s="7">
        <f t="shared" si="46"/>
        <v>1</v>
      </c>
    </row>
    <row r="1652" spans="10:24" x14ac:dyDescent="0.25">
      <c r="J1652" s="5" t="str">
        <f>IFERROR(VLOOKUP(I1652,[1]INFO_LOCALES!$B:$C,2,FALSE),"")</f>
        <v/>
      </c>
      <c r="K1652" s="5" t="str">
        <f>IFERROR(VLOOKUP(Tabla2[[#This Row],[TIENDA]],[1]INFO_LOCALES!$B:$D,3,FALSE),"")</f>
        <v/>
      </c>
      <c r="L1652" s="5" t="str">
        <f>IFERROR(VLOOKUP(I1652,[1]INFO_LOCALES!$B:$I,8,FALSE),"")</f>
        <v/>
      </c>
      <c r="M1652" s="5" t="str">
        <f>IFERROR(VLOOKUP(I1652,[1]INFO_LOCALES!$B:$H,7,FALSE),"")</f>
        <v/>
      </c>
      <c r="N1652" s="5" t="str">
        <f>IFERROR(VLOOKUP(I1652,[1]INFO_LOCALES!$B:$E,4,FALSE),"")</f>
        <v/>
      </c>
      <c r="O1652" s="5" t="e">
        <f>VLOOKUP(Tabla2[[#This Row],[TIENDA]],[1]INFO_LOCALES!$B:$J,9,0)</f>
        <v>#N/A</v>
      </c>
      <c r="P1652" s="5" t="str">
        <f>IFERROR(VLOOKUP(I1652,[1]INFO_LOCALES!$B:$F,5,FALSE),"")</f>
        <v/>
      </c>
      <c r="S1652" s="6"/>
      <c r="T1652" s="5" t="str">
        <f>UPPER(IF(Tabla2[[#This Row],[FECHA DE MUESTREO ]]=0,"",TEXT(Tabla2[[#This Row],[FECHA DE MUESTREO ]],("MMMM"))))</f>
        <v/>
      </c>
      <c r="U1652" s="6"/>
      <c r="W165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2" s="7">
        <f t="shared" si="46"/>
        <v>1</v>
      </c>
    </row>
    <row r="1653" spans="10:24" x14ac:dyDescent="0.25">
      <c r="J1653" s="5" t="str">
        <f>IFERROR(VLOOKUP(I1653,[1]INFO_LOCALES!$B:$C,2,FALSE),"")</f>
        <v/>
      </c>
      <c r="K1653" s="5" t="str">
        <f>IFERROR(VLOOKUP(Tabla2[[#This Row],[TIENDA]],[1]INFO_LOCALES!$B:$D,3,FALSE),"")</f>
        <v/>
      </c>
      <c r="L1653" s="5" t="str">
        <f>IFERROR(VLOOKUP(I1653,[1]INFO_LOCALES!$B:$I,8,FALSE),"")</f>
        <v/>
      </c>
      <c r="M1653" s="5" t="str">
        <f>IFERROR(VLOOKUP(I1653,[1]INFO_LOCALES!$B:$H,7,FALSE),"")</f>
        <v/>
      </c>
      <c r="N1653" s="5" t="str">
        <f>IFERROR(VLOOKUP(I1653,[1]INFO_LOCALES!$B:$E,4,FALSE),"")</f>
        <v/>
      </c>
      <c r="O1653" s="5" t="e">
        <f>VLOOKUP(Tabla2[[#This Row],[TIENDA]],[1]INFO_LOCALES!$B:$J,9,0)</f>
        <v>#N/A</v>
      </c>
      <c r="P1653" s="5" t="str">
        <f>IFERROR(VLOOKUP(I1653,[1]INFO_LOCALES!$B:$F,5,FALSE),"")</f>
        <v/>
      </c>
      <c r="S1653" s="6"/>
      <c r="T1653" s="5" t="str">
        <f>UPPER(IF(Tabla2[[#This Row],[FECHA DE MUESTREO ]]=0,"",TEXT(Tabla2[[#This Row],[FECHA DE MUESTREO ]],("MMMM"))))</f>
        <v/>
      </c>
      <c r="U1653" s="6"/>
      <c r="W165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3" s="7">
        <f t="shared" si="46"/>
        <v>1</v>
      </c>
    </row>
    <row r="1654" spans="10:24" x14ac:dyDescent="0.25">
      <c r="J1654" s="5" t="str">
        <f>IFERROR(VLOOKUP(I1654,[1]INFO_LOCALES!$B:$C,2,FALSE),"")</f>
        <v/>
      </c>
      <c r="K1654" s="5" t="str">
        <f>IFERROR(VLOOKUP(Tabla2[[#This Row],[TIENDA]],[1]INFO_LOCALES!$B:$D,3,FALSE),"")</f>
        <v/>
      </c>
      <c r="L1654" s="5" t="str">
        <f>IFERROR(VLOOKUP(I1654,[1]INFO_LOCALES!$B:$I,8,FALSE),"")</f>
        <v/>
      </c>
      <c r="M1654" s="5" t="str">
        <f>IFERROR(VLOOKUP(I1654,[1]INFO_LOCALES!$B:$H,7,FALSE),"")</f>
        <v/>
      </c>
      <c r="N1654" s="5" t="str">
        <f>IFERROR(VLOOKUP(I1654,[1]INFO_LOCALES!$B:$E,4,FALSE),"")</f>
        <v/>
      </c>
      <c r="O1654" s="5" t="e">
        <f>VLOOKUP(Tabla2[[#This Row],[TIENDA]],[1]INFO_LOCALES!$B:$J,9,0)</f>
        <v>#N/A</v>
      </c>
      <c r="P1654" s="5" t="str">
        <f>IFERROR(VLOOKUP(I1654,[1]INFO_LOCALES!$B:$F,5,FALSE),"")</f>
        <v/>
      </c>
      <c r="S1654" s="6"/>
      <c r="T1654" s="5" t="str">
        <f>UPPER(IF(Tabla2[[#This Row],[FECHA DE MUESTREO ]]=0,"",TEXT(Tabla2[[#This Row],[FECHA DE MUESTREO ]],("MMMM"))))</f>
        <v/>
      </c>
      <c r="U1654" s="6"/>
      <c r="W165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4" s="7">
        <f t="shared" si="46"/>
        <v>1</v>
      </c>
    </row>
    <row r="1655" spans="10:24" x14ac:dyDescent="0.25">
      <c r="J1655" s="5" t="str">
        <f>IFERROR(VLOOKUP(I1655,[1]INFO_LOCALES!$B:$C,2,FALSE),"")</f>
        <v/>
      </c>
      <c r="K1655" s="5" t="str">
        <f>IFERROR(VLOOKUP(Tabla2[[#This Row],[TIENDA]],[1]INFO_LOCALES!$B:$D,3,FALSE),"")</f>
        <v/>
      </c>
      <c r="L1655" s="5" t="str">
        <f>IFERROR(VLOOKUP(I1655,[1]INFO_LOCALES!$B:$I,8,FALSE),"")</f>
        <v/>
      </c>
      <c r="M1655" s="5" t="str">
        <f>IFERROR(VLOOKUP(I1655,[1]INFO_LOCALES!$B:$H,7,FALSE),"")</f>
        <v/>
      </c>
      <c r="N1655" s="5" t="str">
        <f>IFERROR(VLOOKUP(I1655,[1]INFO_LOCALES!$B:$E,4,FALSE),"")</f>
        <v/>
      </c>
      <c r="O1655" s="5" t="e">
        <f>VLOOKUP(Tabla2[[#This Row],[TIENDA]],[1]INFO_LOCALES!$B:$J,9,0)</f>
        <v>#N/A</v>
      </c>
      <c r="P1655" s="5" t="str">
        <f>IFERROR(VLOOKUP(I1655,[1]INFO_LOCALES!$B:$F,5,FALSE),"")</f>
        <v/>
      </c>
      <c r="S1655" s="6"/>
      <c r="T1655" s="5" t="str">
        <f>UPPER(IF(Tabla2[[#This Row],[FECHA DE MUESTREO ]]=0,"",TEXT(Tabla2[[#This Row],[FECHA DE MUESTREO ]],("MMMM"))))</f>
        <v/>
      </c>
      <c r="U1655" s="6"/>
      <c r="W165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5" s="7">
        <f t="shared" si="46"/>
        <v>1</v>
      </c>
    </row>
    <row r="1656" spans="10:24" x14ac:dyDescent="0.25">
      <c r="J1656" s="5" t="str">
        <f>IFERROR(VLOOKUP(I1656,[1]INFO_LOCALES!$B:$C,2,FALSE),"")</f>
        <v/>
      </c>
      <c r="K1656" s="5" t="str">
        <f>IFERROR(VLOOKUP(Tabla2[[#This Row],[TIENDA]],[1]INFO_LOCALES!$B:$D,3,FALSE),"")</f>
        <v/>
      </c>
      <c r="L1656" s="5" t="str">
        <f>IFERROR(VLOOKUP(I1656,[1]INFO_LOCALES!$B:$I,8,FALSE),"")</f>
        <v/>
      </c>
      <c r="M1656" s="5" t="str">
        <f>IFERROR(VLOOKUP(I1656,[1]INFO_LOCALES!$B:$H,7,FALSE),"")</f>
        <v/>
      </c>
      <c r="N1656" s="5" t="str">
        <f>IFERROR(VLOOKUP(I1656,[1]INFO_LOCALES!$B:$E,4,FALSE),"")</f>
        <v/>
      </c>
      <c r="O1656" s="5" t="e">
        <f>VLOOKUP(Tabla2[[#This Row],[TIENDA]],[1]INFO_LOCALES!$B:$J,9,0)</f>
        <v>#N/A</v>
      </c>
      <c r="P1656" s="5" t="str">
        <f>IFERROR(VLOOKUP(I1656,[1]INFO_LOCALES!$B:$F,5,FALSE),"")</f>
        <v/>
      </c>
      <c r="S1656" s="6"/>
      <c r="T1656" s="5" t="str">
        <f>UPPER(IF(Tabla2[[#This Row],[FECHA DE MUESTREO ]]=0,"",TEXT(Tabla2[[#This Row],[FECHA DE MUESTREO ]],("MMMM"))))</f>
        <v/>
      </c>
      <c r="U1656" s="6"/>
      <c r="W165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6" s="7">
        <f t="shared" si="46"/>
        <v>1</v>
      </c>
    </row>
    <row r="1657" spans="10:24" x14ac:dyDescent="0.25">
      <c r="J1657" s="5" t="str">
        <f>IFERROR(VLOOKUP(I1657,[1]INFO_LOCALES!$B:$C,2,FALSE),"")</f>
        <v/>
      </c>
      <c r="K1657" s="5" t="str">
        <f>IFERROR(VLOOKUP(Tabla2[[#This Row],[TIENDA]],[1]INFO_LOCALES!$B:$D,3,FALSE),"")</f>
        <v/>
      </c>
      <c r="L1657" s="5" t="str">
        <f>IFERROR(VLOOKUP(I1657,[1]INFO_LOCALES!$B:$I,8,FALSE),"")</f>
        <v/>
      </c>
      <c r="M1657" s="5" t="str">
        <f>IFERROR(VLOOKUP(I1657,[1]INFO_LOCALES!$B:$H,7,FALSE),"")</f>
        <v/>
      </c>
      <c r="N1657" s="5" t="str">
        <f>IFERROR(VLOOKUP(I1657,[1]INFO_LOCALES!$B:$E,4,FALSE),"")</f>
        <v/>
      </c>
      <c r="O1657" s="5" t="e">
        <f>VLOOKUP(Tabla2[[#This Row],[TIENDA]],[1]INFO_LOCALES!$B:$J,9,0)</f>
        <v>#N/A</v>
      </c>
      <c r="P1657" s="5" t="str">
        <f>IFERROR(VLOOKUP(I1657,[1]INFO_LOCALES!$B:$F,5,FALSE),"")</f>
        <v/>
      </c>
      <c r="S1657" s="6"/>
      <c r="T1657" s="5" t="str">
        <f>UPPER(IF(Tabla2[[#This Row],[FECHA DE MUESTREO ]]=0,"",TEXT(Tabla2[[#This Row],[FECHA DE MUESTREO ]],("MMMM"))))</f>
        <v/>
      </c>
      <c r="U1657" s="6"/>
      <c r="W165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7" s="7">
        <f t="shared" si="46"/>
        <v>1</v>
      </c>
    </row>
    <row r="1658" spans="10:24" x14ac:dyDescent="0.25">
      <c r="J1658" s="5" t="str">
        <f>IFERROR(VLOOKUP(I1658,[1]INFO_LOCALES!$B:$C,2,FALSE),"")</f>
        <v/>
      </c>
      <c r="K1658" s="5" t="str">
        <f>IFERROR(VLOOKUP(Tabla2[[#This Row],[TIENDA]],[1]INFO_LOCALES!$B:$D,3,FALSE),"")</f>
        <v/>
      </c>
      <c r="L1658" s="5" t="str">
        <f>IFERROR(VLOOKUP(I1658,[1]INFO_LOCALES!$B:$I,8,FALSE),"")</f>
        <v/>
      </c>
      <c r="M1658" s="5" t="str">
        <f>IFERROR(VLOOKUP(I1658,[1]INFO_LOCALES!$B:$H,7,FALSE),"")</f>
        <v/>
      </c>
      <c r="N1658" s="5" t="str">
        <f>IFERROR(VLOOKUP(I1658,[1]INFO_LOCALES!$B:$E,4,FALSE),"")</f>
        <v/>
      </c>
      <c r="O1658" s="5" t="e">
        <f>VLOOKUP(Tabla2[[#This Row],[TIENDA]],[1]INFO_LOCALES!$B:$J,9,0)</f>
        <v>#N/A</v>
      </c>
      <c r="P1658" s="5" t="str">
        <f>IFERROR(VLOOKUP(I1658,[1]INFO_LOCALES!$B:$F,5,FALSE),"")</f>
        <v/>
      </c>
      <c r="S1658" s="6"/>
      <c r="T1658" s="5" t="str">
        <f>UPPER(IF(Tabla2[[#This Row],[FECHA DE MUESTREO ]]=0,"",TEXT(Tabla2[[#This Row],[FECHA DE MUESTREO ]],("MMMM"))))</f>
        <v/>
      </c>
      <c r="U1658" s="6"/>
      <c r="W165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8" s="7">
        <f t="shared" si="46"/>
        <v>1</v>
      </c>
    </row>
    <row r="1659" spans="10:24" x14ac:dyDescent="0.25">
      <c r="J1659" s="5" t="str">
        <f>IFERROR(VLOOKUP(I1659,[1]INFO_LOCALES!$B:$C,2,FALSE),"")</f>
        <v/>
      </c>
      <c r="K1659" s="5" t="str">
        <f>IFERROR(VLOOKUP(Tabla2[[#This Row],[TIENDA]],[1]INFO_LOCALES!$B:$D,3,FALSE),"")</f>
        <v/>
      </c>
      <c r="L1659" s="5" t="str">
        <f>IFERROR(VLOOKUP(I1659,[1]INFO_LOCALES!$B:$I,8,FALSE),"")</f>
        <v/>
      </c>
      <c r="M1659" s="5" t="str">
        <f>IFERROR(VLOOKUP(I1659,[1]INFO_LOCALES!$B:$H,7,FALSE),"")</f>
        <v/>
      </c>
      <c r="N1659" s="5" t="str">
        <f>IFERROR(VLOOKUP(I1659,[1]INFO_LOCALES!$B:$E,4,FALSE),"")</f>
        <v/>
      </c>
      <c r="O1659" s="5" t="e">
        <f>VLOOKUP(Tabla2[[#This Row],[TIENDA]],[1]INFO_LOCALES!$B:$J,9,0)</f>
        <v>#N/A</v>
      </c>
      <c r="P1659" s="5" t="str">
        <f>IFERROR(VLOOKUP(I1659,[1]INFO_LOCALES!$B:$F,5,FALSE),"")</f>
        <v/>
      </c>
      <c r="S1659" s="6"/>
      <c r="T1659" s="5" t="str">
        <f>UPPER(IF(Tabla2[[#This Row],[FECHA DE MUESTREO ]]=0,"",TEXT(Tabla2[[#This Row],[FECHA DE MUESTREO ]],("MMMM"))))</f>
        <v/>
      </c>
      <c r="U1659" s="6"/>
      <c r="W165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59" s="7">
        <f t="shared" si="46"/>
        <v>1</v>
      </c>
    </row>
    <row r="1660" spans="10:24" x14ac:dyDescent="0.25">
      <c r="J1660" s="5" t="str">
        <f>IFERROR(VLOOKUP(I1660,[1]INFO_LOCALES!$B:$C,2,FALSE),"")</f>
        <v/>
      </c>
      <c r="K1660" s="5" t="str">
        <f>IFERROR(VLOOKUP(Tabla2[[#This Row],[TIENDA]],[1]INFO_LOCALES!$B:$D,3,FALSE),"")</f>
        <v/>
      </c>
      <c r="L1660" s="5" t="str">
        <f>IFERROR(VLOOKUP(I1660,[1]INFO_LOCALES!$B:$I,8,FALSE),"")</f>
        <v/>
      </c>
      <c r="M1660" s="5" t="str">
        <f>IFERROR(VLOOKUP(I1660,[1]INFO_LOCALES!$B:$H,7,FALSE),"")</f>
        <v/>
      </c>
      <c r="N1660" s="5" t="str">
        <f>IFERROR(VLOOKUP(I1660,[1]INFO_LOCALES!$B:$E,4,FALSE),"")</f>
        <v/>
      </c>
      <c r="O1660" s="5" t="e">
        <f>VLOOKUP(Tabla2[[#This Row],[TIENDA]],[1]INFO_LOCALES!$B:$J,9,0)</f>
        <v>#N/A</v>
      </c>
      <c r="P1660" s="5" t="str">
        <f>IFERROR(VLOOKUP(I1660,[1]INFO_LOCALES!$B:$F,5,FALSE),"")</f>
        <v/>
      </c>
      <c r="S1660" s="6"/>
      <c r="T1660" s="5" t="str">
        <f>UPPER(IF(Tabla2[[#This Row],[FECHA DE MUESTREO ]]=0,"",TEXT(Tabla2[[#This Row],[FECHA DE MUESTREO ]],("MMMM"))))</f>
        <v/>
      </c>
      <c r="U1660" s="6"/>
      <c r="W166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0" s="7">
        <f t="shared" si="46"/>
        <v>1</v>
      </c>
    </row>
    <row r="1661" spans="10:24" x14ac:dyDescent="0.25">
      <c r="J1661" s="5" t="str">
        <f>IFERROR(VLOOKUP(I1661,[1]INFO_LOCALES!$B:$C,2,FALSE),"")</f>
        <v/>
      </c>
      <c r="K1661" s="5" t="str">
        <f>IFERROR(VLOOKUP(Tabla2[[#This Row],[TIENDA]],[1]INFO_LOCALES!$B:$D,3,FALSE),"")</f>
        <v/>
      </c>
      <c r="L1661" s="5" t="str">
        <f>IFERROR(VLOOKUP(I1661,[1]INFO_LOCALES!$B:$I,8,FALSE),"")</f>
        <v/>
      </c>
      <c r="M1661" s="5" t="str">
        <f>IFERROR(VLOOKUP(I1661,[1]INFO_LOCALES!$B:$H,7,FALSE),"")</f>
        <v/>
      </c>
      <c r="N1661" s="5" t="str">
        <f>IFERROR(VLOOKUP(I1661,[1]INFO_LOCALES!$B:$E,4,FALSE),"")</f>
        <v/>
      </c>
      <c r="O1661" s="5" t="e">
        <f>VLOOKUP(Tabla2[[#This Row],[TIENDA]],[1]INFO_LOCALES!$B:$J,9,0)</f>
        <v>#N/A</v>
      </c>
      <c r="P1661" s="5" t="str">
        <f>IFERROR(VLOOKUP(I1661,[1]INFO_LOCALES!$B:$F,5,FALSE),"")</f>
        <v/>
      </c>
      <c r="S1661" s="6"/>
      <c r="T1661" s="5" t="str">
        <f>UPPER(IF(Tabla2[[#This Row],[FECHA DE MUESTREO ]]=0,"",TEXT(Tabla2[[#This Row],[FECHA DE MUESTREO ]],("MMMM"))))</f>
        <v/>
      </c>
      <c r="U1661" s="6"/>
      <c r="W166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1" s="7">
        <f t="shared" si="46"/>
        <v>1</v>
      </c>
    </row>
    <row r="1662" spans="10:24" x14ac:dyDescent="0.25">
      <c r="J1662" s="5" t="str">
        <f>IFERROR(VLOOKUP(I1662,[1]INFO_LOCALES!$B:$C,2,FALSE),"")</f>
        <v/>
      </c>
      <c r="K1662" s="5" t="str">
        <f>IFERROR(VLOOKUP(Tabla2[[#This Row],[TIENDA]],[1]INFO_LOCALES!$B:$D,3,FALSE),"")</f>
        <v/>
      </c>
      <c r="L1662" s="5" t="str">
        <f>IFERROR(VLOOKUP(I1662,[1]INFO_LOCALES!$B:$I,8,FALSE),"")</f>
        <v/>
      </c>
      <c r="M1662" s="5" t="str">
        <f>IFERROR(VLOOKUP(I1662,[1]INFO_LOCALES!$B:$H,7,FALSE),"")</f>
        <v/>
      </c>
      <c r="N1662" s="5" t="str">
        <f>IFERROR(VLOOKUP(I1662,[1]INFO_LOCALES!$B:$E,4,FALSE),"")</f>
        <v/>
      </c>
      <c r="O1662" s="5" t="e">
        <f>VLOOKUP(Tabla2[[#This Row],[TIENDA]],[1]INFO_LOCALES!$B:$J,9,0)</f>
        <v>#N/A</v>
      </c>
      <c r="P1662" s="5" t="str">
        <f>IFERROR(VLOOKUP(I1662,[1]INFO_LOCALES!$B:$F,5,FALSE),"")</f>
        <v/>
      </c>
      <c r="S1662" s="6"/>
      <c r="T1662" s="5" t="str">
        <f>UPPER(IF(Tabla2[[#This Row],[FECHA DE MUESTREO ]]=0,"",TEXT(Tabla2[[#This Row],[FECHA DE MUESTREO ]],("MMMM"))))</f>
        <v/>
      </c>
      <c r="U1662" s="6"/>
      <c r="W166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2" s="7">
        <f t="shared" si="46"/>
        <v>1</v>
      </c>
    </row>
    <row r="1663" spans="10:24" x14ac:dyDescent="0.25">
      <c r="J1663" s="5" t="str">
        <f>IFERROR(VLOOKUP(I1663,[1]INFO_LOCALES!$B:$C,2,FALSE),"")</f>
        <v/>
      </c>
      <c r="K1663" s="5" t="str">
        <f>IFERROR(VLOOKUP(Tabla2[[#This Row],[TIENDA]],[1]INFO_LOCALES!$B:$D,3,FALSE),"")</f>
        <v/>
      </c>
      <c r="L1663" s="5" t="str">
        <f>IFERROR(VLOOKUP(I1663,[1]INFO_LOCALES!$B:$I,8,FALSE),"")</f>
        <v/>
      </c>
      <c r="M1663" s="5" t="str">
        <f>IFERROR(VLOOKUP(I1663,[1]INFO_LOCALES!$B:$H,7,FALSE),"")</f>
        <v/>
      </c>
      <c r="N1663" s="5" t="str">
        <f>IFERROR(VLOOKUP(I1663,[1]INFO_LOCALES!$B:$E,4,FALSE),"")</f>
        <v/>
      </c>
      <c r="O1663" s="5" t="e">
        <f>VLOOKUP(Tabla2[[#This Row],[TIENDA]],[1]INFO_LOCALES!$B:$J,9,0)</f>
        <v>#N/A</v>
      </c>
      <c r="P1663" s="5" t="str">
        <f>IFERROR(VLOOKUP(I1663,[1]INFO_LOCALES!$B:$F,5,FALSE),"")</f>
        <v/>
      </c>
      <c r="S1663" s="6"/>
      <c r="T1663" s="5" t="str">
        <f>UPPER(IF(Tabla2[[#This Row],[FECHA DE MUESTREO ]]=0,"",TEXT(Tabla2[[#This Row],[FECHA DE MUESTREO ]],("MMMM"))))</f>
        <v/>
      </c>
      <c r="U1663" s="6"/>
      <c r="W166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3" s="7">
        <f t="shared" si="46"/>
        <v>1</v>
      </c>
    </row>
    <row r="1664" spans="10:24" x14ac:dyDescent="0.25">
      <c r="J1664" s="5" t="str">
        <f>IFERROR(VLOOKUP(I1664,[1]INFO_LOCALES!$B:$C,2,FALSE),"")</f>
        <v/>
      </c>
      <c r="K1664" s="5" t="str">
        <f>IFERROR(VLOOKUP(Tabla2[[#This Row],[TIENDA]],[1]INFO_LOCALES!$B:$D,3,FALSE),"")</f>
        <v/>
      </c>
      <c r="L1664" s="5" t="str">
        <f>IFERROR(VLOOKUP(I1664,[1]INFO_LOCALES!$B:$I,8,FALSE),"")</f>
        <v/>
      </c>
      <c r="M1664" s="5" t="str">
        <f>IFERROR(VLOOKUP(I1664,[1]INFO_LOCALES!$B:$H,7,FALSE),"")</f>
        <v/>
      </c>
      <c r="N1664" s="5" t="str">
        <f>IFERROR(VLOOKUP(I1664,[1]INFO_LOCALES!$B:$E,4,FALSE),"")</f>
        <v/>
      </c>
      <c r="O1664" s="5" t="e">
        <f>VLOOKUP(Tabla2[[#This Row],[TIENDA]],[1]INFO_LOCALES!$B:$J,9,0)</f>
        <v>#N/A</v>
      </c>
      <c r="P1664" s="5" t="str">
        <f>IFERROR(VLOOKUP(I1664,[1]INFO_LOCALES!$B:$F,5,FALSE),"")</f>
        <v/>
      </c>
      <c r="S1664" s="6"/>
      <c r="T1664" s="5" t="str">
        <f>UPPER(IF(Tabla2[[#This Row],[FECHA DE MUESTREO ]]=0,"",TEXT(Tabla2[[#This Row],[FECHA DE MUESTREO ]],("MMMM"))))</f>
        <v/>
      </c>
      <c r="U1664" s="6"/>
      <c r="W166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4" s="7">
        <f t="shared" si="46"/>
        <v>1</v>
      </c>
    </row>
    <row r="1665" spans="10:24" x14ac:dyDescent="0.25">
      <c r="J1665" s="5" t="str">
        <f>IFERROR(VLOOKUP(I1665,[1]INFO_LOCALES!$B:$C,2,FALSE),"")</f>
        <v/>
      </c>
      <c r="K1665" s="5" t="str">
        <f>IFERROR(VLOOKUP(Tabla2[[#This Row],[TIENDA]],[1]INFO_LOCALES!$B:$D,3,FALSE),"")</f>
        <v/>
      </c>
      <c r="L1665" s="5" t="str">
        <f>IFERROR(VLOOKUP(I1665,[1]INFO_LOCALES!$B:$I,8,FALSE),"")</f>
        <v/>
      </c>
      <c r="M1665" s="5" t="str">
        <f>IFERROR(VLOOKUP(I1665,[1]INFO_LOCALES!$B:$H,7,FALSE),"")</f>
        <v/>
      </c>
      <c r="N1665" s="5" t="str">
        <f>IFERROR(VLOOKUP(I1665,[1]INFO_LOCALES!$B:$E,4,FALSE),"")</f>
        <v/>
      </c>
      <c r="O1665" s="5" t="e">
        <f>VLOOKUP(Tabla2[[#This Row],[TIENDA]],[1]INFO_LOCALES!$B:$J,9,0)</f>
        <v>#N/A</v>
      </c>
      <c r="P1665" s="5" t="str">
        <f>IFERROR(VLOOKUP(I1665,[1]INFO_LOCALES!$B:$F,5,FALSE),"")</f>
        <v/>
      </c>
      <c r="S1665" s="6"/>
      <c r="T1665" s="5" t="str">
        <f>UPPER(IF(Tabla2[[#This Row],[FECHA DE MUESTREO ]]=0,"",TEXT(Tabla2[[#This Row],[FECHA DE MUESTREO ]],("MMMM"))))</f>
        <v/>
      </c>
      <c r="U1665" s="6"/>
      <c r="W166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5" s="7">
        <f t="shared" si="46"/>
        <v>1</v>
      </c>
    </row>
    <row r="1666" spans="10:24" x14ac:dyDescent="0.25">
      <c r="J1666" s="5" t="str">
        <f>IFERROR(VLOOKUP(I1666,[1]INFO_LOCALES!$B:$C,2,FALSE),"")</f>
        <v/>
      </c>
      <c r="K1666" s="5" t="str">
        <f>IFERROR(VLOOKUP(Tabla2[[#This Row],[TIENDA]],[1]INFO_LOCALES!$B:$D,3,FALSE),"")</f>
        <v/>
      </c>
      <c r="L1666" s="5" t="str">
        <f>IFERROR(VLOOKUP(I1666,[1]INFO_LOCALES!$B:$I,8,FALSE),"")</f>
        <v/>
      </c>
      <c r="M1666" s="5" t="str">
        <f>IFERROR(VLOOKUP(I1666,[1]INFO_LOCALES!$B:$H,7,FALSE),"")</f>
        <v/>
      </c>
      <c r="N1666" s="5" t="str">
        <f>IFERROR(VLOOKUP(I1666,[1]INFO_LOCALES!$B:$E,4,FALSE),"")</f>
        <v/>
      </c>
      <c r="O1666" s="5" t="e">
        <f>VLOOKUP(Tabla2[[#This Row],[TIENDA]],[1]INFO_LOCALES!$B:$J,9,0)</f>
        <v>#N/A</v>
      </c>
      <c r="P1666" s="5" t="str">
        <f>IFERROR(VLOOKUP(I1666,[1]INFO_LOCALES!$B:$F,5,FALSE),"")</f>
        <v/>
      </c>
      <c r="S1666" s="6"/>
      <c r="T1666" s="5" t="str">
        <f>UPPER(IF(Tabla2[[#This Row],[FECHA DE MUESTREO ]]=0,"",TEXT(Tabla2[[#This Row],[FECHA DE MUESTREO ]],("MMMM"))))</f>
        <v/>
      </c>
      <c r="U1666" s="6"/>
      <c r="W166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6" s="7">
        <f t="shared" si="46"/>
        <v>1</v>
      </c>
    </row>
    <row r="1667" spans="10:24" x14ac:dyDescent="0.25">
      <c r="J1667" s="5" t="str">
        <f>IFERROR(VLOOKUP(I1667,[1]INFO_LOCALES!$B:$C,2,FALSE),"")</f>
        <v/>
      </c>
      <c r="K1667" s="5" t="str">
        <f>IFERROR(VLOOKUP(Tabla2[[#This Row],[TIENDA]],[1]INFO_LOCALES!$B:$D,3,FALSE),"")</f>
        <v/>
      </c>
      <c r="L1667" s="5" t="str">
        <f>IFERROR(VLOOKUP(I1667,[1]INFO_LOCALES!$B:$I,8,FALSE),"")</f>
        <v/>
      </c>
      <c r="M1667" s="5" t="str">
        <f>IFERROR(VLOOKUP(I1667,[1]INFO_LOCALES!$B:$H,7,FALSE),"")</f>
        <v/>
      </c>
      <c r="N1667" s="5" t="str">
        <f>IFERROR(VLOOKUP(I1667,[1]INFO_LOCALES!$B:$E,4,FALSE),"")</f>
        <v/>
      </c>
      <c r="O1667" s="5" t="e">
        <f>VLOOKUP(Tabla2[[#This Row],[TIENDA]],[1]INFO_LOCALES!$B:$J,9,0)</f>
        <v>#N/A</v>
      </c>
      <c r="P1667" s="5" t="str">
        <f>IFERROR(VLOOKUP(I1667,[1]INFO_LOCALES!$B:$F,5,FALSE),"")</f>
        <v/>
      </c>
      <c r="S1667" s="6"/>
      <c r="T1667" s="5" t="str">
        <f>UPPER(IF(Tabla2[[#This Row],[FECHA DE MUESTREO ]]=0,"",TEXT(Tabla2[[#This Row],[FECHA DE MUESTREO ]],("MMMM"))))</f>
        <v/>
      </c>
      <c r="U1667" s="6"/>
      <c r="W166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7" s="7">
        <f t="shared" si="46"/>
        <v>1</v>
      </c>
    </row>
    <row r="1668" spans="10:24" x14ac:dyDescent="0.25">
      <c r="J1668" s="5" t="str">
        <f>IFERROR(VLOOKUP(I1668,[1]INFO_LOCALES!$B:$C,2,FALSE),"")</f>
        <v/>
      </c>
      <c r="K1668" s="5" t="str">
        <f>IFERROR(VLOOKUP(Tabla2[[#This Row],[TIENDA]],[1]INFO_LOCALES!$B:$D,3,FALSE),"")</f>
        <v/>
      </c>
      <c r="L1668" s="5" t="str">
        <f>IFERROR(VLOOKUP(I1668,[1]INFO_LOCALES!$B:$I,8,FALSE),"")</f>
        <v/>
      </c>
      <c r="M1668" s="5" t="str">
        <f>IFERROR(VLOOKUP(I1668,[1]INFO_LOCALES!$B:$H,7,FALSE),"")</f>
        <v/>
      </c>
      <c r="N1668" s="5" t="str">
        <f>IFERROR(VLOOKUP(I1668,[1]INFO_LOCALES!$B:$E,4,FALSE),"")</f>
        <v/>
      </c>
      <c r="O1668" s="5" t="e">
        <f>VLOOKUP(Tabla2[[#This Row],[TIENDA]],[1]INFO_LOCALES!$B:$J,9,0)</f>
        <v>#N/A</v>
      </c>
      <c r="P1668" s="5" t="str">
        <f>IFERROR(VLOOKUP(I1668,[1]INFO_LOCALES!$B:$F,5,FALSE),"")</f>
        <v/>
      </c>
      <c r="S1668" s="6"/>
      <c r="T1668" s="5" t="str">
        <f>UPPER(IF(Tabla2[[#This Row],[FECHA DE MUESTREO ]]=0,"",TEXT(Tabla2[[#This Row],[FECHA DE MUESTREO ]],("MMMM"))))</f>
        <v/>
      </c>
      <c r="U1668" s="6"/>
      <c r="W166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8" s="7">
        <f t="shared" si="46"/>
        <v>1</v>
      </c>
    </row>
    <row r="1669" spans="10:24" x14ac:dyDescent="0.25">
      <c r="J1669" s="5" t="str">
        <f>IFERROR(VLOOKUP(I1669,[1]INFO_LOCALES!$B:$C,2,FALSE),"")</f>
        <v/>
      </c>
      <c r="K1669" s="5" t="str">
        <f>IFERROR(VLOOKUP(Tabla2[[#This Row],[TIENDA]],[1]INFO_LOCALES!$B:$D,3,FALSE),"")</f>
        <v/>
      </c>
      <c r="L1669" s="5" t="str">
        <f>IFERROR(VLOOKUP(I1669,[1]INFO_LOCALES!$B:$I,8,FALSE),"")</f>
        <v/>
      </c>
      <c r="M1669" s="5" t="str">
        <f>IFERROR(VLOOKUP(I1669,[1]INFO_LOCALES!$B:$H,7,FALSE),"")</f>
        <v/>
      </c>
      <c r="N1669" s="5" t="str">
        <f>IFERROR(VLOOKUP(I1669,[1]INFO_LOCALES!$B:$E,4,FALSE),"")</f>
        <v/>
      </c>
      <c r="O1669" s="5" t="e">
        <f>VLOOKUP(Tabla2[[#This Row],[TIENDA]],[1]INFO_LOCALES!$B:$J,9,0)</f>
        <v>#N/A</v>
      </c>
      <c r="P1669" s="5" t="str">
        <f>IFERROR(VLOOKUP(I1669,[1]INFO_LOCALES!$B:$F,5,FALSE),"")</f>
        <v/>
      </c>
      <c r="S1669" s="6"/>
      <c r="T1669" s="5" t="str">
        <f>UPPER(IF(Tabla2[[#This Row],[FECHA DE MUESTREO ]]=0,"",TEXT(Tabla2[[#This Row],[FECHA DE MUESTREO ]],("MMMM"))))</f>
        <v/>
      </c>
      <c r="U1669" s="6"/>
      <c r="W166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69" s="7">
        <f t="shared" si="46"/>
        <v>1</v>
      </c>
    </row>
    <row r="1670" spans="10:24" x14ac:dyDescent="0.25">
      <c r="J1670" s="5" t="str">
        <f>IFERROR(VLOOKUP(I1670,[1]INFO_LOCALES!$B:$C,2,FALSE),"")</f>
        <v/>
      </c>
      <c r="K1670" s="5" t="str">
        <f>IFERROR(VLOOKUP(Tabla2[[#This Row],[TIENDA]],[1]INFO_LOCALES!$B:$D,3,FALSE),"")</f>
        <v/>
      </c>
      <c r="L1670" s="5" t="str">
        <f>IFERROR(VLOOKUP(I1670,[1]INFO_LOCALES!$B:$I,8,FALSE),"")</f>
        <v/>
      </c>
      <c r="M1670" s="5" t="str">
        <f>IFERROR(VLOOKUP(I1670,[1]INFO_LOCALES!$B:$H,7,FALSE),"")</f>
        <v/>
      </c>
      <c r="N1670" s="5" t="str">
        <f>IFERROR(VLOOKUP(I1670,[1]INFO_LOCALES!$B:$E,4,FALSE),"")</f>
        <v/>
      </c>
      <c r="O1670" s="5" t="e">
        <f>VLOOKUP(Tabla2[[#This Row],[TIENDA]],[1]INFO_LOCALES!$B:$J,9,0)</f>
        <v>#N/A</v>
      </c>
      <c r="P1670" s="5" t="str">
        <f>IFERROR(VLOOKUP(I1670,[1]INFO_LOCALES!$B:$F,5,FALSE),"")</f>
        <v/>
      </c>
      <c r="S1670" s="6"/>
      <c r="T1670" s="5" t="str">
        <f>UPPER(IF(Tabla2[[#This Row],[FECHA DE MUESTREO ]]=0,"",TEXT(Tabla2[[#This Row],[FECHA DE MUESTREO ]],("MMMM"))))</f>
        <v/>
      </c>
      <c r="U1670" s="6"/>
      <c r="W167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0" s="7">
        <f t="shared" si="46"/>
        <v>1</v>
      </c>
    </row>
    <row r="1671" spans="10:24" x14ac:dyDescent="0.25">
      <c r="J1671" s="5" t="str">
        <f>IFERROR(VLOOKUP(I1671,[1]INFO_LOCALES!$B:$C,2,FALSE),"")</f>
        <v/>
      </c>
      <c r="K1671" s="5" t="str">
        <f>IFERROR(VLOOKUP(Tabla2[[#This Row],[TIENDA]],[1]INFO_LOCALES!$B:$D,3,FALSE),"")</f>
        <v/>
      </c>
      <c r="L1671" s="5" t="str">
        <f>IFERROR(VLOOKUP(I1671,[1]INFO_LOCALES!$B:$I,8,FALSE),"")</f>
        <v/>
      </c>
      <c r="M1671" s="5" t="str">
        <f>IFERROR(VLOOKUP(I1671,[1]INFO_LOCALES!$B:$H,7,FALSE),"")</f>
        <v/>
      </c>
      <c r="N1671" s="5" t="str">
        <f>IFERROR(VLOOKUP(I1671,[1]INFO_LOCALES!$B:$E,4,FALSE),"")</f>
        <v/>
      </c>
      <c r="O1671" s="5" t="e">
        <f>VLOOKUP(Tabla2[[#This Row],[TIENDA]],[1]INFO_LOCALES!$B:$J,9,0)</f>
        <v>#N/A</v>
      </c>
      <c r="P1671" s="5" t="str">
        <f>IFERROR(VLOOKUP(I1671,[1]INFO_LOCALES!$B:$F,5,FALSE),"")</f>
        <v/>
      </c>
      <c r="S1671" s="6"/>
      <c r="T1671" s="5" t="str">
        <f>UPPER(IF(Tabla2[[#This Row],[FECHA DE MUESTREO ]]=0,"",TEXT(Tabla2[[#This Row],[FECHA DE MUESTREO ]],("MMMM"))))</f>
        <v/>
      </c>
      <c r="U1671" s="6"/>
      <c r="W167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1" s="7">
        <f t="shared" si="46"/>
        <v>1</v>
      </c>
    </row>
    <row r="1672" spans="10:24" x14ac:dyDescent="0.25">
      <c r="J1672" s="5" t="str">
        <f>IFERROR(VLOOKUP(I1672,[1]INFO_LOCALES!$B:$C,2,FALSE),"")</f>
        <v/>
      </c>
      <c r="K1672" s="5" t="str">
        <f>IFERROR(VLOOKUP(Tabla2[[#This Row],[TIENDA]],[1]INFO_LOCALES!$B:$D,3,FALSE),"")</f>
        <v/>
      </c>
      <c r="L1672" s="5" t="str">
        <f>IFERROR(VLOOKUP(I1672,[1]INFO_LOCALES!$B:$I,8,FALSE),"")</f>
        <v/>
      </c>
      <c r="M1672" s="5" t="str">
        <f>IFERROR(VLOOKUP(I1672,[1]INFO_LOCALES!$B:$H,7,FALSE),"")</f>
        <v/>
      </c>
      <c r="N1672" s="5" t="str">
        <f>IFERROR(VLOOKUP(I1672,[1]INFO_LOCALES!$B:$E,4,FALSE),"")</f>
        <v/>
      </c>
      <c r="O1672" s="5" t="e">
        <f>VLOOKUP(Tabla2[[#This Row],[TIENDA]],[1]INFO_LOCALES!$B:$J,9,0)</f>
        <v>#N/A</v>
      </c>
      <c r="P1672" s="5" t="str">
        <f>IFERROR(VLOOKUP(I1672,[1]INFO_LOCALES!$B:$F,5,FALSE),"")</f>
        <v/>
      </c>
      <c r="S1672" s="6"/>
      <c r="T1672" s="5" t="str">
        <f>UPPER(IF(Tabla2[[#This Row],[FECHA DE MUESTREO ]]=0,"",TEXT(Tabla2[[#This Row],[FECHA DE MUESTREO ]],("MMMM"))))</f>
        <v/>
      </c>
      <c r="U1672" s="6"/>
      <c r="W167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2" s="7">
        <f t="shared" si="46"/>
        <v>1</v>
      </c>
    </row>
    <row r="1673" spans="10:24" x14ac:dyDescent="0.25">
      <c r="J1673" s="5" t="str">
        <f>IFERROR(VLOOKUP(I1673,[1]INFO_LOCALES!$B:$C,2,FALSE),"")</f>
        <v/>
      </c>
      <c r="K1673" s="5" t="str">
        <f>IFERROR(VLOOKUP(Tabla2[[#This Row],[TIENDA]],[1]INFO_LOCALES!$B:$D,3,FALSE),"")</f>
        <v/>
      </c>
      <c r="L1673" s="5" t="str">
        <f>IFERROR(VLOOKUP(I1673,[1]INFO_LOCALES!$B:$I,8,FALSE),"")</f>
        <v/>
      </c>
      <c r="M1673" s="5" t="str">
        <f>IFERROR(VLOOKUP(I1673,[1]INFO_LOCALES!$B:$H,7,FALSE),"")</f>
        <v/>
      </c>
      <c r="N1673" s="5" t="str">
        <f>IFERROR(VLOOKUP(I1673,[1]INFO_LOCALES!$B:$E,4,FALSE),"")</f>
        <v/>
      </c>
      <c r="O1673" s="5" t="e">
        <f>VLOOKUP(Tabla2[[#This Row],[TIENDA]],[1]INFO_LOCALES!$B:$J,9,0)</f>
        <v>#N/A</v>
      </c>
      <c r="P1673" s="5" t="str">
        <f>IFERROR(VLOOKUP(I1673,[1]INFO_LOCALES!$B:$F,5,FALSE),"")</f>
        <v/>
      </c>
      <c r="S1673" s="6"/>
      <c r="T1673" s="5" t="str">
        <f>UPPER(IF(Tabla2[[#This Row],[FECHA DE MUESTREO ]]=0,"",TEXT(Tabla2[[#This Row],[FECHA DE MUESTREO ]],("MMMM"))))</f>
        <v/>
      </c>
      <c r="U1673" s="6"/>
      <c r="W167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3" s="7">
        <f t="shared" si="46"/>
        <v>1</v>
      </c>
    </row>
    <row r="1674" spans="10:24" x14ac:dyDescent="0.25">
      <c r="J1674" s="5" t="str">
        <f>IFERROR(VLOOKUP(I1674,[1]INFO_LOCALES!$B:$C,2,FALSE),"")</f>
        <v/>
      </c>
      <c r="K1674" s="5" t="str">
        <f>IFERROR(VLOOKUP(Tabla2[[#This Row],[TIENDA]],[1]INFO_LOCALES!$B:$D,3,FALSE),"")</f>
        <v/>
      </c>
      <c r="L1674" s="5" t="str">
        <f>IFERROR(VLOOKUP(I1674,[1]INFO_LOCALES!$B:$I,8,FALSE),"")</f>
        <v/>
      </c>
      <c r="M1674" s="5" t="str">
        <f>IFERROR(VLOOKUP(I1674,[1]INFO_LOCALES!$B:$H,7,FALSE),"")</f>
        <v/>
      </c>
      <c r="N1674" s="5" t="str">
        <f>IFERROR(VLOOKUP(I1674,[1]INFO_LOCALES!$B:$E,4,FALSE),"")</f>
        <v/>
      </c>
      <c r="O1674" s="5" t="e">
        <f>VLOOKUP(Tabla2[[#This Row],[TIENDA]],[1]INFO_LOCALES!$B:$J,9,0)</f>
        <v>#N/A</v>
      </c>
      <c r="P1674" s="5" t="str">
        <f>IFERROR(VLOOKUP(I1674,[1]INFO_LOCALES!$B:$F,5,FALSE),"")</f>
        <v/>
      </c>
      <c r="S1674" s="6"/>
      <c r="T1674" s="5" t="str">
        <f>UPPER(IF(Tabla2[[#This Row],[FECHA DE MUESTREO ]]=0,"",TEXT(Tabla2[[#This Row],[FECHA DE MUESTREO ]],("MMMM"))))</f>
        <v/>
      </c>
      <c r="U1674" s="6"/>
      <c r="W167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4" s="7">
        <f t="shared" si="46"/>
        <v>1</v>
      </c>
    </row>
    <row r="1675" spans="10:24" x14ac:dyDescent="0.25">
      <c r="J1675" s="5" t="str">
        <f>IFERROR(VLOOKUP(I1675,[1]INFO_LOCALES!$B:$C,2,FALSE),"")</f>
        <v/>
      </c>
      <c r="K1675" s="5" t="str">
        <f>IFERROR(VLOOKUP(Tabla2[[#This Row],[TIENDA]],[1]INFO_LOCALES!$B:$D,3,FALSE),"")</f>
        <v/>
      </c>
      <c r="L1675" s="5" t="str">
        <f>IFERROR(VLOOKUP(I1675,[1]INFO_LOCALES!$B:$I,8,FALSE),"")</f>
        <v/>
      </c>
      <c r="M1675" s="5" t="str">
        <f>IFERROR(VLOOKUP(I1675,[1]INFO_LOCALES!$B:$H,7,FALSE),"")</f>
        <v/>
      </c>
      <c r="N1675" s="5" t="str">
        <f>IFERROR(VLOOKUP(I1675,[1]INFO_LOCALES!$B:$E,4,FALSE),"")</f>
        <v/>
      </c>
      <c r="O1675" s="5" t="e">
        <f>VLOOKUP(Tabla2[[#This Row],[TIENDA]],[1]INFO_LOCALES!$B:$J,9,0)</f>
        <v>#N/A</v>
      </c>
      <c r="P1675" s="5" t="str">
        <f>IFERROR(VLOOKUP(I1675,[1]INFO_LOCALES!$B:$F,5,FALSE),"")</f>
        <v/>
      </c>
      <c r="S1675" s="6"/>
      <c r="T1675" s="5" t="str">
        <f>UPPER(IF(Tabla2[[#This Row],[FECHA DE MUESTREO ]]=0,"",TEXT(Tabla2[[#This Row],[FECHA DE MUESTREO ]],("MMMM"))))</f>
        <v/>
      </c>
      <c r="U1675" s="6"/>
      <c r="W167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5" s="7">
        <f t="shared" si="46"/>
        <v>1</v>
      </c>
    </row>
    <row r="1676" spans="10:24" x14ac:dyDescent="0.25">
      <c r="J1676" s="5" t="str">
        <f>IFERROR(VLOOKUP(I1676,[1]INFO_LOCALES!$B:$C,2,FALSE),"")</f>
        <v/>
      </c>
      <c r="K1676" s="5" t="str">
        <f>IFERROR(VLOOKUP(Tabla2[[#This Row],[TIENDA]],[1]INFO_LOCALES!$B:$D,3,FALSE),"")</f>
        <v/>
      </c>
      <c r="L1676" s="5" t="str">
        <f>IFERROR(VLOOKUP(I1676,[1]INFO_LOCALES!$B:$I,8,FALSE),"")</f>
        <v/>
      </c>
      <c r="M1676" s="5" t="str">
        <f>IFERROR(VLOOKUP(I1676,[1]INFO_LOCALES!$B:$H,7,FALSE),"")</f>
        <v/>
      </c>
      <c r="N1676" s="5" t="str">
        <f>IFERROR(VLOOKUP(I1676,[1]INFO_LOCALES!$B:$E,4,FALSE),"")</f>
        <v/>
      </c>
      <c r="O1676" s="5" t="e">
        <f>VLOOKUP(Tabla2[[#This Row],[TIENDA]],[1]INFO_LOCALES!$B:$J,9,0)</f>
        <v>#N/A</v>
      </c>
      <c r="P1676" s="5" t="str">
        <f>IFERROR(VLOOKUP(I1676,[1]INFO_LOCALES!$B:$F,5,FALSE),"")</f>
        <v/>
      </c>
      <c r="S1676" s="6"/>
      <c r="T1676" s="5" t="str">
        <f>UPPER(IF(Tabla2[[#This Row],[FECHA DE MUESTREO ]]=0,"",TEXT(Tabla2[[#This Row],[FECHA DE MUESTREO ]],("MMMM"))))</f>
        <v/>
      </c>
      <c r="U1676" s="6"/>
      <c r="W167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6" s="7">
        <f t="shared" si="46"/>
        <v>1</v>
      </c>
    </row>
    <row r="1677" spans="10:24" x14ac:dyDescent="0.25">
      <c r="J1677" s="5" t="str">
        <f>IFERROR(VLOOKUP(I1677,[1]INFO_LOCALES!$B:$C,2,FALSE),"")</f>
        <v/>
      </c>
      <c r="K1677" s="5" t="str">
        <f>IFERROR(VLOOKUP(Tabla2[[#This Row],[TIENDA]],[1]INFO_LOCALES!$B:$D,3,FALSE),"")</f>
        <v/>
      </c>
      <c r="L1677" s="5" t="str">
        <f>IFERROR(VLOOKUP(I1677,[1]INFO_LOCALES!$B:$I,8,FALSE),"")</f>
        <v/>
      </c>
      <c r="M1677" s="5" t="str">
        <f>IFERROR(VLOOKUP(I1677,[1]INFO_LOCALES!$B:$H,7,FALSE),"")</f>
        <v/>
      </c>
      <c r="N1677" s="5" t="str">
        <f>IFERROR(VLOOKUP(I1677,[1]INFO_LOCALES!$B:$E,4,FALSE),"")</f>
        <v/>
      </c>
      <c r="O1677" s="5" t="e">
        <f>VLOOKUP(Tabla2[[#This Row],[TIENDA]],[1]INFO_LOCALES!$B:$J,9,0)</f>
        <v>#N/A</v>
      </c>
      <c r="P1677" s="5" t="str">
        <f>IFERROR(VLOOKUP(I1677,[1]INFO_LOCALES!$B:$F,5,FALSE),"")</f>
        <v/>
      </c>
      <c r="S1677" s="6"/>
      <c r="T1677" s="5" t="str">
        <f>UPPER(IF(Tabla2[[#This Row],[FECHA DE MUESTREO ]]=0,"",TEXT(Tabla2[[#This Row],[FECHA DE MUESTREO ]],("MMMM"))))</f>
        <v/>
      </c>
      <c r="U1677" s="6"/>
      <c r="W167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7" s="7">
        <f t="shared" si="46"/>
        <v>1</v>
      </c>
    </row>
    <row r="1678" spans="10:24" x14ac:dyDescent="0.25">
      <c r="J1678" s="5" t="str">
        <f>IFERROR(VLOOKUP(I1678,[1]INFO_LOCALES!$B:$C,2,FALSE),"")</f>
        <v/>
      </c>
      <c r="K1678" s="5" t="str">
        <f>IFERROR(VLOOKUP(Tabla2[[#This Row],[TIENDA]],[1]INFO_LOCALES!$B:$D,3,FALSE),"")</f>
        <v/>
      </c>
      <c r="L1678" s="5" t="str">
        <f>IFERROR(VLOOKUP(I1678,[1]INFO_LOCALES!$B:$I,8,FALSE),"")</f>
        <v/>
      </c>
      <c r="M1678" s="5" t="str">
        <f>IFERROR(VLOOKUP(I1678,[1]INFO_LOCALES!$B:$H,7,FALSE),"")</f>
        <v/>
      </c>
      <c r="N1678" s="5" t="str">
        <f>IFERROR(VLOOKUP(I1678,[1]INFO_LOCALES!$B:$E,4,FALSE),"")</f>
        <v/>
      </c>
      <c r="O1678" s="5" t="e">
        <f>VLOOKUP(Tabla2[[#This Row],[TIENDA]],[1]INFO_LOCALES!$B:$J,9,0)</f>
        <v>#N/A</v>
      </c>
      <c r="P1678" s="5" t="str">
        <f>IFERROR(VLOOKUP(I1678,[1]INFO_LOCALES!$B:$F,5,FALSE),"")</f>
        <v/>
      </c>
      <c r="S1678" s="6"/>
      <c r="T1678" s="5" t="str">
        <f>UPPER(IF(Tabla2[[#This Row],[FECHA DE MUESTREO ]]=0,"",TEXT(Tabla2[[#This Row],[FECHA DE MUESTREO ]],("MMMM"))))</f>
        <v/>
      </c>
      <c r="U1678" s="6"/>
      <c r="W167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8" s="7">
        <f t="shared" si="46"/>
        <v>1</v>
      </c>
    </row>
    <row r="1679" spans="10:24" x14ac:dyDescent="0.25">
      <c r="J1679" s="5" t="str">
        <f>IFERROR(VLOOKUP(I1679,[1]INFO_LOCALES!$B:$C,2,FALSE),"")</f>
        <v/>
      </c>
      <c r="K1679" s="5" t="str">
        <f>IFERROR(VLOOKUP(Tabla2[[#This Row],[TIENDA]],[1]INFO_LOCALES!$B:$D,3,FALSE),"")</f>
        <v/>
      </c>
      <c r="L1679" s="5" t="str">
        <f>IFERROR(VLOOKUP(I1679,[1]INFO_LOCALES!$B:$I,8,FALSE),"")</f>
        <v/>
      </c>
      <c r="M1679" s="5" t="str">
        <f>IFERROR(VLOOKUP(I1679,[1]INFO_LOCALES!$B:$H,7,FALSE),"")</f>
        <v/>
      </c>
      <c r="N1679" s="5" t="str">
        <f>IFERROR(VLOOKUP(I1679,[1]INFO_LOCALES!$B:$E,4,FALSE),"")</f>
        <v/>
      </c>
      <c r="O1679" s="5" t="e">
        <f>VLOOKUP(Tabla2[[#This Row],[TIENDA]],[1]INFO_LOCALES!$B:$J,9,0)</f>
        <v>#N/A</v>
      </c>
      <c r="P1679" s="5" t="str">
        <f>IFERROR(VLOOKUP(I1679,[1]INFO_LOCALES!$B:$F,5,FALSE),"")</f>
        <v/>
      </c>
      <c r="S1679" s="6"/>
      <c r="T1679" s="5" t="str">
        <f>UPPER(IF(Tabla2[[#This Row],[FECHA DE MUESTREO ]]=0,"",TEXT(Tabla2[[#This Row],[FECHA DE MUESTREO ]],("MMMM"))))</f>
        <v/>
      </c>
      <c r="U1679" s="6"/>
      <c r="W167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79" s="7">
        <f t="shared" si="46"/>
        <v>1</v>
      </c>
    </row>
    <row r="1680" spans="10:24" x14ac:dyDescent="0.25">
      <c r="J1680" s="5" t="str">
        <f>IFERROR(VLOOKUP(I1680,[1]INFO_LOCALES!$B:$C,2,FALSE),"")</f>
        <v/>
      </c>
      <c r="K1680" s="5" t="str">
        <f>IFERROR(VLOOKUP(Tabla2[[#This Row],[TIENDA]],[1]INFO_LOCALES!$B:$D,3,FALSE),"")</f>
        <v/>
      </c>
      <c r="L1680" s="5" t="str">
        <f>IFERROR(VLOOKUP(I1680,[1]INFO_LOCALES!$B:$I,8,FALSE),"")</f>
        <v/>
      </c>
      <c r="M1680" s="5" t="str">
        <f>IFERROR(VLOOKUP(I1680,[1]INFO_LOCALES!$B:$H,7,FALSE),"")</f>
        <v/>
      </c>
      <c r="N1680" s="5" t="str">
        <f>IFERROR(VLOOKUP(I1680,[1]INFO_LOCALES!$B:$E,4,FALSE),"")</f>
        <v/>
      </c>
      <c r="O1680" s="5" t="e">
        <f>VLOOKUP(Tabla2[[#This Row],[TIENDA]],[1]INFO_LOCALES!$B:$J,9,0)</f>
        <v>#N/A</v>
      </c>
      <c r="P1680" s="5" t="str">
        <f>IFERROR(VLOOKUP(I1680,[1]INFO_LOCALES!$B:$F,5,FALSE),"")</f>
        <v/>
      </c>
      <c r="S1680" s="6"/>
      <c r="T1680" s="5" t="str">
        <f>UPPER(IF(Tabla2[[#This Row],[FECHA DE MUESTREO ]]=0,"",TEXT(Tabla2[[#This Row],[FECHA DE MUESTREO ]],("MMMM"))))</f>
        <v/>
      </c>
      <c r="U1680" s="6"/>
      <c r="W168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0" s="7">
        <f t="shared" si="46"/>
        <v>1</v>
      </c>
    </row>
    <row r="1681" spans="10:24" x14ac:dyDescent="0.25">
      <c r="J1681" s="5" t="str">
        <f>IFERROR(VLOOKUP(I1681,[1]INFO_LOCALES!$B:$C,2,FALSE),"")</f>
        <v/>
      </c>
      <c r="K1681" s="5" t="str">
        <f>IFERROR(VLOOKUP(Tabla2[[#This Row],[TIENDA]],[1]INFO_LOCALES!$B:$D,3,FALSE),"")</f>
        <v/>
      </c>
      <c r="L1681" s="5" t="str">
        <f>IFERROR(VLOOKUP(I1681,[1]INFO_LOCALES!$B:$I,8,FALSE),"")</f>
        <v/>
      </c>
      <c r="M1681" s="5" t="str">
        <f>IFERROR(VLOOKUP(I1681,[1]INFO_LOCALES!$B:$H,7,FALSE),"")</f>
        <v/>
      </c>
      <c r="N1681" s="5" t="str">
        <f>IFERROR(VLOOKUP(I1681,[1]INFO_LOCALES!$B:$E,4,FALSE),"")</f>
        <v/>
      </c>
      <c r="O1681" s="5" t="e">
        <f>VLOOKUP(Tabla2[[#This Row],[TIENDA]],[1]INFO_LOCALES!$B:$J,9,0)</f>
        <v>#N/A</v>
      </c>
      <c r="P1681" s="5" t="str">
        <f>IFERROR(VLOOKUP(I1681,[1]INFO_LOCALES!$B:$F,5,FALSE),"")</f>
        <v/>
      </c>
      <c r="S1681" s="6"/>
      <c r="T1681" s="5" t="str">
        <f>UPPER(IF(Tabla2[[#This Row],[FECHA DE MUESTREO ]]=0,"",TEXT(Tabla2[[#This Row],[FECHA DE MUESTREO ]],("MMMM"))))</f>
        <v/>
      </c>
      <c r="U1681" s="6"/>
      <c r="W168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1" s="7">
        <f t="shared" si="46"/>
        <v>1</v>
      </c>
    </row>
    <row r="1682" spans="10:24" x14ac:dyDescent="0.25">
      <c r="J1682" s="5" t="str">
        <f>IFERROR(VLOOKUP(I1682,[1]INFO_LOCALES!$B:$C,2,FALSE),"")</f>
        <v/>
      </c>
      <c r="K1682" s="5" t="str">
        <f>IFERROR(VLOOKUP(Tabla2[[#This Row],[TIENDA]],[1]INFO_LOCALES!$B:$D,3,FALSE),"")</f>
        <v/>
      </c>
      <c r="L1682" s="5" t="str">
        <f>IFERROR(VLOOKUP(I1682,[1]INFO_LOCALES!$B:$I,8,FALSE),"")</f>
        <v/>
      </c>
      <c r="M1682" s="5" t="str">
        <f>IFERROR(VLOOKUP(I1682,[1]INFO_LOCALES!$B:$H,7,FALSE),"")</f>
        <v/>
      </c>
      <c r="N1682" s="5" t="str">
        <f>IFERROR(VLOOKUP(I1682,[1]INFO_LOCALES!$B:$E,4,FALSE),"")</f>
        <v/>
      </c>
      <c r="O1682" s="5" t="e">
        <f>VLOOKUP(Tabla2[[#This Row],[TIENDA]],[1]INFO_LOCALES!$B:$J,9,0)</f>
        <v>#N/A</v>
      </c>
      <c r="P1682" s="5" t="str">
        <f>IFERROR(VLOOKUP(I1682,[1]INFO_LOCALES!$B:$F,5,FALSE),"")</f>
        <v/>
      </c>
      <c r="S1682" s="6"/>
      <c r="T1682" s="5" t="str">
        <f>UPPER(IF(Tabla2[[#This Row],[FECHA DE MUESTREO ]]=0,"",TEXT(Tabla2[[#This Row],[FECHA DE MUESTREO ]],("MMMM"))))</f>
        <v/>
      </c>
      <c r="U1682" s="6"/>
      <c r="W168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2" s="7">
        <f t="shared" si="46"/>
        <v>1</v>
      </c>
    </row>
    <row r="1683" spans="10:24" x14ac:dyDescent="0.25">
      <c r="J1683" s="5" t="str">
        <f>IFERROR(VLOOKUP(I1683,[1]INFO_LOCALES!$B:$C,2,FALSE),"")</f>
        <v/>
      </c>
      <c r="K1683" s="5" t="str">
        <f>IFERROR(VLOOKUP(Tabla2[[#This Row],[TIENDA]],[1]INFO_LOCALES!$B:$D,3,FALSE),"")</f>
        <v/>
      </c>
      <c r="L1683" s="5" t="str">
        <f>IFERROR(VLOOKUP(I1683,[1]INFO_LOCALES!$B:$I,8,FALSE),"")</f>
        <v/>
      </c>
      <c r="M1683" s="5" t="str">
        <f>IFERROR(VLOOKUP(I1683,[1]INFO_LOCALES!$B:$H,7,FALSE),"")</f>
        <v/>
      </c>
      <c r="N1683" s="5" t="str">
        <f>IFERROR(VLOOKUP(I1683,[1]INFO_LOCALES!$B:$E,4,FALSE),"")</f>
        <v/>
      </c>
      <c r="O1683" s="5" t="e">
        <f>VLOOKUP(Tabla2[[#This Row],[TIENDA]],[1]INFO_LOCALES!$B:$J,9,0)</f>
        <v>#N/A</v>
      </c>
      <c r="P1683" s="5" t="str">
        <f>IFERROR(VLOOKUP(I1683,[1]INFO_LOCALES!$B:$F,5,FALSE),"")</f>
        <v/>
      </c>
      <c r="S1683" s="6"/>
      <c r="T1683" s="5" t="str">
        <f>UPPER(IF(Tabla2[[#This Row],[FECHA DE MUESTREO ]]=0,"",TEXT(Tabla2[[#This Row],[FECHA DE MUESTREO ]],("MMMM"))))</f>
        <v/>
      </c>
      <c r="U1683" s="6"/>
      <c r="W168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3" s="7">
        <f t="shared" si="46"/>
        <v>1</v>
      </c>
    </row>
    <row r="1684" spans="10:24" x14ac:dyDescent="0.25">
      <c r="J1684" s="5" t="str">
        <f>IFERROR(VLOOKUP(I1684,[1]INFO_LOCALES!$B:$C,2,FALSE),"")</f>
        <v/>
      </c>
      <c r="K1684" s="5" t="str">
        <f>IFERROR(VLOOKUP(Tabla2[[#This Row],[TIENDA]],[1]INFO_LOCALES!$B:$D,3,FALSE),"")</f>
        <v/>
      </c>
      <c r="L1684" s="5" t="str">
        <f>IFERROR(VLOOKUP(I1684,[1]INFO_LOCALES!$B:$I,8,FALSE),"")</f>
        <v/>
      </c>
      <c r="M1684" s="5" t="str">
        <f>IFERROR(VLOOKUP(I1684,[1]INFO_LOCALES!$B:$H,7,FALSE),"")</f>
        <v/>
      </c>
      <c r="N1684" s="5" t="str">
        <f>IFERROR(VLOOKUP(I1684,[1]INFO_LOCALES!$B:$E,4,FALSE),"")</f>
        <v/>
      </c>
      <c r="O1684" s="5" t="e">
        <f>VLOOKUP(Tabla2[[#This Row],[TIENDA]],[1]INFO_LOCALES!$B:$J,9,0)</f>
        <v>#N/A</v>
      </c>
      <c r="P1684" s="5" t="str">
        <f>IFERROR(VLOOKUP(I1684,[1]INFO_LOCALES!$B:$F,5,FALSE),"")</f>
        <v/>
      </c>
      <c r="S1684" s="6"/>
      <c r="T1684" s="5" t="str">
        <f>UPPER(IF(Tabla2[[#This Row],[FECHA DE MUESTREO ]]=0,"",TEXT(Tabla2[[#This Row],[FECHA DE MUESTREO ]],("MMMM"))))</f>
        <v/>
      </c>
      <c r="U1684" s="6"/>
      <c r="W168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4" s="7">
        <f t="shared" si="46"/>
        <v>1</v>
      </c>
    </row>
    <row r="1685" spans="10:24" x14ac:dyDescent="0.25">
      <c r="J1685" s="5" t="str">
        <f>IFERROR(VLOOKUP(I1685,[1]INFO_LOCALES!$B:$C,2,FALSE),"")</f>
        <v/>
      </c>
      <c r="K1685" s="5" t="str">
        <f>IFERROR(VLOOKUP(Tabla2[[#This Row],[TIENDA]],[1]INFO_LOCALES!$B:$D,3,FALSE),"")</f>
        <v/>
      </c>
      <c r="L1685" s="5" t="str">
        <f>IFERROR(VLOOKUP(I1685,[1]INFO_LOCALES!$B:$I,8,FALSE),"")</f>
        <v/>
      </c>
      <c r="M1685" s="5" t="str">
        <f>IFERROR(VLOOKUP(I1685,[1]INFO_LOCALES!$B:$H,7,FALSE),"")</f>
        <v/>
      </c>
      <c r="N1685" s="5" t="str">
        <f>IFERROR(VLOOKUP(I1685,[1]INFO_LOCALES!$B:$E,4,FALSE),"")</f>
        <v/>
      </c>
      <c r="O1685" s="5" t="e">
        <f>VLOOKUP(Tabla2[[#This Row],[TIENDA]],[1]INFO_LOCALES!$B:$J,9,0)</f>
        <v>#N/A</v>
      </c>
      <c r="P1685" s="5" t="str">
        <f>IFERROR(VLOOKUP(I1685,[1]INFO_LOCALES!$B:$F,5,FALSE),"")</f>
        <v/>
      </c>
      <c r="S1685" s="6"/>
      <c r="T1685" s="5" t="str">
        <f>UPPER(IF(Tabla2[[#This Row],[FECHA DE MUESTREO ]]=0,"",TEXT(Tabla2[[#This Row],[FECHA DE MUESTREO ]],("MMMM"))))</f>
        <v/>
      </c>
      <c r="U1685" s="6"/>
      <c r="W168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5" s="7">
        <f t="shared" si="46"/>
        <v>1</v>
      </c>
    </row>
    <row r="1686" spans="10:24" x14ac:dyDescent="0.25">
      <c r="J1686" s="5" t="str">
        <f>IFERROR(VLOOKUP(I1686,[1]INFO_LOCALES!$B:$C,2,FALSE),"")</f>
        <v/>
      </c>
      <c r="K1686" s="5" t="str">
        <f>IFERROR(VLOOKUP(Tabla2[[#This Row],[TIENDA]],[1]INFO_LOCALES!$B:$D,3,FALSE),"")</f>
        <v/>
      </c>
      <c r="L1686" s="5" t="str">
        <f>IFERROR(VLOOKUP(I1686,[1]INFO_LOCALES!$B:$I,8,FALSE),"")</f>
        <v/>
      </c>
      <c r="M1686" s="5" t="str">
        <f>IFERROR(VLOOKUP(I1686,[1]INFO_LOCALES!$B:$H,7,FALSE),"")</f>
        <v/>
      </c>
      <c r="N1686" s="5" t="str">
        <f>IFERROR(VLOOKUP(I1686,[1]INFO_LOCALES!$B:$E,4,FALSE),"")</f>
        <v/>
      </c>
      <c r="O1686" s="5" t="e">
        <f>VLOOKUP(Tabla2[[#This Row],[TIENDA]],[1]INFO_LOCALES!$B:$J,9,0)</f>
        <v>#N/A</v>
      </c>
      <c r="P1686" s="5" t="str">
        <f>IFERROR(VLOOKUP(I1686,[1]INFO_LOCALES!$B:$F,5,FALSE),"")</f>
        <v/>
      </c>
      <c r="S1686" s="6"/>
      <c r="T1686" s="5" t="str">
        <f>UPPER(IF(Tabla2[[#This Row],[FECHA DE MUESTREO ]]=0,"",TEXT(Tabla2[[#This Row],[FECHA DE MUESTREO ]],("MMMM"))))</f>
        <v/>
      </c>
      <c r="U1686" s="6"/>
      <c r="W168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6" s="7">
        <f t="shared" si="46"/>
        <v>1</v>
      </c>
    </row>
    <row r="1687" spans="10:24" x14ac:dyDescent="0.25">
      <c r="J1687" s="5" t="str">
        <f>IFERROR(VLOOKUP(I1687,[1]INFO_LOCALES!$B:$C,2,FALSE),"")</f>
        <v/>
      </c>
      <c r="K1687" s="5" t="str">
        <f>IFERROR(VLOOKUP(Tabla2[[#This Row],[TIENDA]],[1]INFO_LOCALES!$B:$D,3,FALSE),"")</f>
        <v/>
      </c>
      <c r="L1687" s="5" t="str">
        <f>IFERROR(VLOOKUP(I1687,[1]INFO_LOCALES!$B:$I,8,FALSE),"")</f>
        <v/>
      </c>
      <c r="M1687" s="5" t="str">
        <f>IFERROR(VLOOKUP(I1687,[1]INFO_LOCALES!$B:$H,7,FALSE),"")</f>
        <v/>
      </c>
      <c r="N1687" s="5" t="str">
        <f>IFERROR(VLOOKUP(I1687,[1]INFO_LOCALES!$B:$E,4,FALSE),"")</f>
        <v/>
      </c>
      <c r="O1687" s="5" t="e">
        <f>VLOOKUP(Tabla2[[#This Row],[TIENDA]],[1]INFO_LOCALES!$B:$J,9,0)</f>
        <v>#N/A</v>
      </c>
      <c r="P1687" s="5" t="str">
        <f>IFERROR(VLOOKUP(I1687,[1]INFO_LOCALES!$B:$F,5,FALSE),"")</f>
        <v/>
      </c>
      <c r="S1687" s="6"/>
      <c r="T1687" s="5" t="str">
        <f>UPPER(IF(Tabla2[[#This Row],[FECHA DE MUESTREO ]]=0,"",TEXT(Tabla2[[#This Row],[FECHA DE MUESTREO ]],("MMMM"))))</f>
        <v/>
      </c>
      <c r="U1687" s="6"/>
      <c r="W168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7" s="7">
        <f t="shared" si="46"/>
        <v>1</v>
      </c>
    </row>
    <row r="1688" spans="10:24" x14ac:dyDescent="0.25">
      <c r="J1688" s="5" t="str">
        <f>IFERROR(VLOOKUP(I1688,[1]INFO_LOCALES!$B:$C,2,FALSE),"")</f>
        <v/>
      </c>
      <c r="K1688" s="5" t="str">
        <f>IFERROR(VLOOKUP(Tabla2[[#This Row],[TIENDA]],[1]INFO_LOCALES!$B:$D,3,FALSE),"")</f>
        <v/>
      </c>
      <c r="L1688" s="5" t="str">
        <f>IFERROR(VLOOKUP(I1688,[1]INFO_LOCALES!$B:$I,8,FALSE),"")</f>
        <v/>
      </c>
      <c r="M1688" s="5" t="str">
        <f>IFERROR(VLOOKUP(I1688,[1]INFO_LOCALES!$B:$H,7,FALSE),"")</f>
        <v/>
      </c>
      <c r="N1688" s="5" t="str">
        <f>IFERROR(VLOOKUP(I1688,[1]INFO_LOCALES!$B:$E,4,FALSE),"")</f>
        <v/>
      </c>
      <c r="O1688" s="5" t="e">
        <f>VLOOKUP(Tabla2[[#This Row],[TIENDA]],[1]INFO_LOCALES!$B:$J,9,0)</f>
        <v>#N/A</v>
      </c>
      <c r="P1688" s="5" t="str">
        <f>IFERROR(VLOOKUP(I1688,[1]INFO_LOCALES!$B:$F,5,FALSE),"")</f>
        <v/>
      </c>
      <c r="S1688" s="6"/>
      <c r="T1688" s="5" t="str">
        <f>UPPER(IF(Tabla2[[#This Row],[FECHA DE MUESTREO ]]=0,"",TEXT(Tabla2[[#This Row],[FECHA DE MUESTREO ]],("MMMM"))))</f>
        <v/>
      </c>
      <c r="U1688" s="6"/>
      <c r="W168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8" s="7">
        <f t="shared" si="46"/>
        <v>1</v>
      </c>
    </row>
    <row r="1689" spans="10:24" x14ac:dyDescent="0.25">
      <c r="J1689" s="5" t="str">
        <f>IFERROR(VLOOKUP(I1689,[1]INFO_LOCALES!$B:$C,2,FALSE),"")</f>
        <v/>
      </c>
      <c r="K1689" s="5" t="str">
        <f>IFERROR(VLOOKUP(Tabla2[[#This Row],[TIENDA]],[1]INFO_LOCALES!$B:$D,3,FALSE),"")</f>
        <v/>
      </c>
      <c r="L1689" s="5" t="str">
        <f>IFERROR(VLOOKUP(I1689,[1]INFO_LOCALES!$B:$I,8,FALSE),"")</f>
        <v/>
      </c>
      <c r="M1689" s="5" t="str">
        <f>IFERROR(VLOOKUP(I1689,[1]INFO_LOCALES!$B:$H,7,FALSE),"")</f>
        <v/>
      </c>
      <c r="N1689" s="5" t="str">
        <f>IFERROR(VLOOKUP(I1689,[1]INFO_LOCALES!$B:$E,4,FALSE),"")</f>
        <v/>
      </c>
      <c r="O1689" s="5" t="e">
        <f>VLOOKUP(Tabla2[[#This Row],[TIENDA]],[1]INFO_LOCALES!$B:$J,9,0)</f>
        <v>#N/A</v>
      </c>
      <c r="P1689" s="5" t="str">
        <f>IFERROR(VLOOKUP(I1689,[1]INFO_LOCALES!$B:$F,5,FALSE),"")</f>
        <v/>
      </c>
      <c r="S1689" s="6"/>
      <c r="T1689" s="5" t="str">
        <f>UPPER(IF(Tabla2[[#This Row],[FECHA DE MUESTREO ]]=0,"",TEXT(Tabla2[[#This Row],[FECHA DE MUESTREO ]],("MMMM"))))</f>
        <v/>
      </c>
      <c r="U1689" s="6"/>
      <c r="W168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89" s="7">
        <f t="shared" si="46"/>
        <v>1</v>
      </c>
    </row>
    <row r="1690" spans="10:24" x14ac:dyDescent="0.25">
      <c r="J1690" s="5" t="str">
        <f>IFERROR(VLOOKUP(I1690,[1]INFO_LOCALES!$B:$C,2,FALSE),"")</f>
        <v/>
      </c>
      <c r="K1690" s="5" t="str">
        <f>IFERROR(VLOOKUP(Tabla2[[#This Row],[TIENDA]],[1]INFO_LOCALES!$B:$D,3,FALSE),"")</f>
        <v/>
      </c>
      <c r="L1690" s="5" t="str">
        <f>IFERROR(VLOOKUP(I1690,[1]INFO_LOCALES!$B:$I,8,FALSE),"")</f>
        <v/>
      </c>
      <c r="M1690" s="5" t="str">
        <f>IFERROR(VLOOKUP(I1690,[1]INFO_LOCALES!$B:$H,7,FALSE),"")</f>
        <v/>
      </c>
      <c r="N1690" s="5" t="str">
        <f>IFERROR(VLOOKUP(I1690,[1]INFO_LOCALES!$B:$E,4,FALSE),"")</f>
        <v/>
      </c>
      <c r="O1690" s="5" t="e">
        <f>VLOOKUP(Tabla2[[#This Row],[TIENDA]],[1]INFO_LOCALES!$B:$J,9,0)</f>
        <v>#N/A</v>
      </c>
      <c r="P1690" s="5" t="str">
        <f>IFERROR(VLOOKUP(I1690,[1]INFO_LOCALES!$B:$F,5,FALSE),"")</f>
        <v/>
      </c>
      <c r="S1690" s="6"/>
      <c r="T1690" s="5" t="str">
        <f>UPPER(IF(Tabla2[[#This Row],[FECHA DE MUESTREO ]]=0,"",TEXT(Tabla2[[#This Row],[FECHA DE MUESTREO ]],("MMMM"))))</f>
        <v/>
      </c>
      <c r="U1690" s="6"/>
      <c r="W169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0" s="7">
        <f t="shared" si="46"/>
        <v>1</v>
      </c>
    </row>
    <row r="1691" spans="10:24" x14ac:dyDescent="0.25">
      <c r="J1691" s="5" t="str">
        <f>IFERROR(VLOOKUP(I1691,[1]INFO_LOCALES!$B:$C,2,FALSE),"")</f>
        <v/>
      </c>
      <c r="K1691" s="5" t="str">
        <f>IFERROR(VLOOKUP(Tabla2[[#This Row],[TIENDA]],[1]INFO_LOCALES!$B:$D,3,FALSE),"")</f>
        <v/>
      </c>
      <c r="L1691" s="5" t="str">
        <f>IFERROR(VLOOKUP(I1691,[1]INFO_LOCALES!$B:$I,8,FALSE),"")</f>
        <v/>
      </c>
      <c r="M1691" s="5" t="str">
        <f>IFERROR(VLOOKUP(I1691,[1]INFO_LOCALES!$B:$H,7,FALSE),"")</f>
        <v/>
      </c>
      <c r="N1691" s="5" t="str">
        <f>IFERROR(VLOOKUP(I1691,[1]INFO_LOCALES!$B:$E,4,FALSE),"")</f>
        <v/>
      </c>
      <c r="O1691" s="5" t="e">
        <f>VLOOKUP(Tabla2[[#This Row],[TIENDA]],[1]INFO_LOCALES!$B:$J,9,0)</f>
        <v>#N/A</v>
      </c>
      <c r="P1691" s="5" t="str">
        <f>IFERROR(VLOOKUP(I1691,[1]INFO_LOCALES!$B:$F,5,FALSE),"")</f>
        <v/>
      </c>
      <c r="S1691" s="6"/>
      <c r="T1691" s="5" t="str">
        <f>UPPER(IF(Tabla2[[#This Row],[FECHA DE MUESTREO ]]=0,"",TEXT(Tabla2[[#This Row],[FECHA DE MUESTREO ]],("MMMM"))))</f>
        <v/>
      </c>
      <c r="U1691" s="6"/>
      <c r="W169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1" s="7">
        <f t="shared" si="46"/>
        <v>1</v>
      </c>
    </row>
    <row r="1692" spans="10:24" x14ac:dyDescent="0.25">
      <c r="J1692" s="5" t="str">
        <f>IFERROR(VLOOKUP(I1692,[1]INFO_LOCALES!$B:$C,2,FALSE),"")</f>
        <v/>
      </c>
      <c r="K1692" s="5" t="str">
        <f>IFERROR(VLOOKUP(Tabla2[[#This Row],[TIENDA]],[1]INFO_LOCALES!$B:$D,3,FALSE),"")</f>
        <v/>
      </c>
      <c r="L1692" s="5" t="str">
        <f>IFERROR(VLOOKUP(I1692,[1]INFO_LOCALES!$B:$I,8,FALSE),"")</f>
        <v/>
      </c>
      <c r="M1692" s="5" t="str">
        <f>IFERROR(VLOOKUP(I1692,[1]INFO_LOCALES!$B:$H,7,FALSE),"")</f>
        <v/>
      </c>
      <c r="N1692" s="5" t="str">
        <f>IFERROR(VLOOKUP(I1692,[1]INFO_LOCALES!$B:$E,4,FALSE),"")</f>
        <v/>
      </c>
      <c r="O1692" s="5" t="e">
        <f>VLOOKUP(Tabla2[[#This Row],[TIENDA]],[1]INFO_LOCALES!$B:$J,9,0)</f>
        <v>#N/A</v>
      </c>
      <c r="P1692" s="5" t="str">
        <f>IFERROR(VLOOKUP(I1692,[1]INFO_LOCALES!$B:$F,5,FALSE),"")</f>
        <v/>
      </c>
      <c r="S1692" s="6"/>
      <c r="T1692" s="5" t="str">
        <f>UPPER(IF(Tabla2[[#This Row],[FECHA DE MUESTREO ]]=0,"",TEXT(Tabla2[[#This Row],[FECHA DE MUESTREO ]],("MMMM"))))</f>
        <v/>
      </c>
      <c r="U1692" s="6"/>
      <c r="W169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2" s="7">
        <f t="shared" si="46"/>
        <v>1</v>
      </c>
    </row>
    <row r="1693" spans="10:24" x14ac:dyDescent="0.25">
      <c r="J1693" s="5" t="str">
        <f>IFERROR(VLOOKUP(I1693,[1]INFO_LOCALES!$B:$C,2,FALSE),"")</f>
        <v/>
      </c>
      <c r="K1693" s="5" t="str">
        <f>IFERROR(VLOOKUP(Tabla2[[#This Row],[TIENDA]],[1]INFO_LOCALES!$B:$D,3,FALSE),"")</f>
        <v/>
      </c>
      <c r="L1693" s="5" t="str">
        <f>IFERROR(VLOOKUP(I1693,[1]INFO_LOCALES!$B:$I,8,FALSE),"")</f>
        <v/>
      </c>
      <c r="M1693" s="5" t="str">
        <f>IFERROR(VLOOKUP(I1693,[1]INFO_LOCALES!$B:$H,7,FALSE),"")</f>
        <v/>
      </c>
      <c r="N1693" s="5" t="str">
        <f>IFERROR(VLOOKUP(I1693,[1]INFO_LOCALES!$B:$E,4,FALSE),"")</f>
        <v/>
      </c>
      <c r="O1693" s="5" t="e">
        <f>VLOOKUP(Tabla2[[#This Row],[TIENDA]],[1]INFO_LOCALES!$B:$J,9,0)</f>
        <v>#N/A</v>
      </c>
      <c r="P1693" s="5" t="str">
        <f>IFERROR(VLOOKUP(I1693,[1]INFO_LOCALES!$B:$F,5,FALSE),"")</f>
        <v/>
      </c>
      <c r="S1693" s="6"/>
      <c r="T1693" s="5" t="str">
        <f>UPPER(IF(Tabla2[[#This Row],[FECHA DE MUESTREO ]]=0,"",TEXT(Tabla2[[#This Row],[FECHA DE MUESTREO ]],("MMMM"))))</f>
        <v/>
      </c>
      <c r="U1693" s="6"/>
      <c r="W169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3" s="7">
        <f t="shared" si="46"/>
        <v>1</v>
      </c>
    </row>
    <row r="1694" spans="10:24" x14ac:dyDescent="0.25">
      <c r="J1694" s="5" t="str">
        <f>IFERROR(VLOOKUP(I1694,[1]INFO_LOCALES!$B:$C,2,FALSE),"")</f>
        <v/>
      </c>
      <c r="K1694" s="5" t="str">
        <f>IFERROR(VLOOKUP(Tabla2[[#This Row],[TIENDA]],[1]INFO_LOCALES!$B:$D,3,FALSE),"")</f>
        <v/>
      </c>
      <c r="L1694" s="5" t="str">
        <f>IFERROR(VLOOKUP(I1694,[1]INFO_LOCALES!$B:$I,8,FALSE),"")</f>
        <v/>
      </c>
      <c r="M1694" s="5" t="str">
        <f>IFERROR(VLOOKUP(I1694,[1]INFO_LOCALES!$B:$H,7,FALSE),"")</f>
        <v/>
      </c>
      <c r="N1694" s="5" t="str">
        <f>IFERROR(VLOOKUP(I1694,[1]INFO_LOCALES!$B:$E,4,FALSE),"")</f>
        <v/>
      </c>
      <c r="O1694" s="5" t="e">
        <f>VLOOKUP(Tabla2[[#This Row],[TIENDA]],[1]INFO_LOCALES!$B:$J,9,0)</f>
        <v>#N/A</v>
      </c>
      <c r="P1694" s="5" t="str">
        <f>IFERROR(VLOOKUP(I1694,[1]INFO_LOCALES!$B:$F,5,FALSE),"")</f>
        <v/>
      </c>
      <c r="S1694" s="6"/>
      <c r="T1694" s="5" t="str">
        <f>UPPER(IF(Tabla2[[#This Row],[FECHA DE MUESTREO ]]=0,"",TEXT(Tabla2[[#This Row],[FECHA DE MUESTREO ]],("MMMM"))))</f>
        <v/>
      </c>
      <c r="U1694" s="6"/>
      <c r="W169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4" s="7">
        <f t="shared" si="46"/>
        <v>1</v>
      </c>
    </row>
    <row r="1695" spans="10:24" x14ac:dyDescent="0.25">
      <c r="J1695" s="5" t="str">
        <f>IFERROR(VLOOKUP(I1695,[1]INFO_LOCALES!$B:$C,2,FALSE),"")</f>
        <v/>
      </c>
      <c r="K1695" s="5" t="str">
        <f>IFERROR(VLOOKUP(Tabla2[[#This Row],[TIENDA]],[1]INFO_LOCALES!$B:$D,3,FALSE),"")</f>
        <v/>
      </c>
      <c r="L1695" s="5" t="str">
        <f>IFERROR(VLOOKUP(I1695,[1]INFO_LOCALES!$B:$I,8,FALSE),"")</f>
        <v/>
      </c>
      <c r="M1695" s="5" t="str">
        <f>IFERROR(VLOOKUP(I1695,[1]INFO_LOCALES!$B:$H,7,FALSE),"")</f>
        <v/>
      </c>
      <c r="N1695" s="5" t="str">
        <f>IFERROR(VLOOKUP(I1695,[1]INFO_LOCALES!$B:$E,4,FALSE),"")</f>
        <v/>
      </c>
      <c r="O1695" s="5" t="e">
        <f>VLOOKUP(Tabla2[[#This Row],[TIENDA]],[1]INFO_LOCALES!$B:$J,9,0)</f>
        <v>#N/A</v>
      </c>
      <c r="P1695" s="5" t="str">
        <f>IFERROR(VLOOKUP(I1695,[1]INFO_LOCALES!$B:$F,5,FALSE),"")</f>
        <v/>
      </c>
      <c r="S1695" s="6"/>
      <c r="T1695" s="5" t="str">
        <f>UPPER(IF(Tabla2[[#This Row],[FECHA DE MUESTREO ]]=0,"",TEXT(Tabla2[[#This Row],[FECHA DE MUESTREO ]],("MMMM"))))</f>
        <v/>
      </c>
      <c r="U1695" s="6"/>
      <c r="W169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5" s="7">
        <f t="shared" si="46"/>
        <v>1</v>
      </c>
    </row>
    <row r="1696" spans="10:24" x14ac:dyDescent="0.25">
      <c r="J1696" s="5" t="str">
        <f>IFERROR(VLOOKUP(I1696,[1]INFO_LOCALES!$B:$C,2,FALSE),"")</f>
        <v/>
      </c>
      <c r="K1696" s="5" t="str">
        <f>IFERROR(VLOOKUP(Tabla2[[#This Row],[TIENDA]],[1]INFO_LOCALES!$B:$D,3,FALSE),"")</f>
        <v/>
      </c>
      <c r="L1696" s="5" t="str">
        <f>IFERROR(VLOOKUP(I1696,[1]INFO_LOCALES!$B:$I,8,FALSE),"")</f>
        <v/>
      </c>
      <c r="M1696" s="5" t="str">
        <f>IFERROR(VLOOKUP(I1696,[1]INFO_LOCALES!$B:$H,7,FALSE),"")</f>
        <v/>
      </c>
      <c r="N1696" s="5" t="str">
        <f>IFERROR(VLOOKUP(I1696,[1]INFO_LOCALES!$B:$E,4,FALSE),"")</f>
        <v/>
      </c>
      <c r="O1696" s="5" t="e">
        <f>VLOOKUP(Tabla2[[#This Row],[TIENDA]],[1]INFO_LOCALES!$B:$J,9,0)</f>
        <v>#N/A</v>
      </c>
      <c r="P1696" s="5" t="str">
        <f>IFERROR(VLOOKUP(I1696,[1]INFO_LOCALES!$B:$F,5,FALSE),"")</f>
        <v/>
      </c>
      <c r="S1696" s="6"/>
      <c r="T1696" s="5" t="str">
        <f>UPPER(IF(Tabla2[[#This Row],[FECHA DE MUESTREO ]]=0,"",TEXT(Tabla2[[#This Row],[FECHA DE MUESTREO ]],("MMMM"))))</f>
        <v/>
      </c>
      <c r="U1696" s="6"/>
      <c r="W169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6" s="7">
        <f t="shared" si="46"/>
        <v>1</v>
      </c>
    </row>
    <row r="1697" spans="10:24" x14ac:dyDescent="0.25">
      <c r="J1697" s="5" t="str">
        <f>IFERROR(VLOOKUP(I1697,[1]INFO_LOCALES!$B:$C,2,FALSE),"")</f>
        <v/>
      </c>
      <c r="K1697" s="5" t="str">
        <f>IFERROR(VLOOKUP(Tabla2[[#This Row],[TIENDA]],[1]INFO_LOCALES!$B:$D,3,FALSE),"")</f>
        <v/>
      </c>
      <c r="L1697" s="5" t="str">
        <f>IFERROR(VLOOKUP(I1697,[1]INFO_LOCALES!$B:$I,8,FALSE),"")</f>
        <v/>
      </c>
      <c r="M1697" s="5" t="str">
        <f>IFERROR(VLOOKUP(I1697,[1]INFO_LOCALES!$B:$H,7,FALSE),"")</f>
        <v/>
      </c>
      <c r="N1697" s="5" t="str">
        <f>IFERROR(VLOOKUP(I1697,[1]INFO_LOCALES!$B:$E,4,FALSE),"")</f>
        <v/>
      </c>
      <c r="O1697" s="5" t="e">
        <f>VLOOKUP(Tabla2[[#This Row],[TIENDA]],[1]INFO_LOCALES!$B:$J,9,0)</f>
        <v>#N/A</v>
      </c>
      <c r="P1697" s="5" t="str">
        <f>IFERROR(VLOOKUP(I1697,[1]INFO_LOCALES!$B:$F,5,FALSE),"")</f>
        <v/>
      </c>
      <c r="S1697" s="6"/>
      <c r="T1697" s="5" t="str">
        <f>UPPER(IF(Tabla2[[#This Row],[FECHA DE MUESTREO ]]=0,"",TEXT(Tabla2[[#This Row],[FECHA DE MUESTREO ]],("MMMM"))))</f>
        <v/>
      </c>
      <c r="U1697" s="6"/>
      <c r="W169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7" s="7">
        <f t="shared" si="46"/>
        <v>1</v>
      </c>
    </row>
    <row r="1698" spans="10:24" x14ac:dyDescent="0.25">
      <c r="J1698" s="5" t="str">
        <f>IFERROR(VLOOKUP(I1698,[1]INFO_LOCALES!$B:$C,2,FALSE),"")</f>
        <v/>
      </c>
      <c r="K1698" s="5" t="str">
        <f>IFERROR(VLOOKUP(Tabla2[[#This Row],[TIENDA]],[1]INFO_LOCALES!$B:$D,3,FALSE),"")</f>
        <v/>
      </c>
      <c r="L1698" s="5" t="str">
        <f>IFERROR(VLOOKUP(I1698,[1]INFO_LOCALES!$B:$I,8,FALSE),"")</f>
        <v/>
      </c>
      <c r="M1698" s="5" t="str">
        <f>IFERROR(VLOOKUP(I1698,[1]INFO_LOCALES!$B:$H,7,FALSE),"")</f>
        <v/>
      </c>
      <c r="N1698" s="5" t="str">
        <f>IFERROR(VLOOKUP(I1698,[1]INFO_LOCALES!$B:$E,4,FALSE),"")</f>
        <v/>
      </c>
      <c r="O1698" s="5" t="e">
        <f>VLOOKUP(Tabla2[[#This Row],[TIENDA]],[1]INFO_LOCALES!$B:$J,9,0)</f>
        <v>#N/A</v>
      </c>
      <c r="P1698" s="5" t="str">
        <f>IFERROR(VLOOKUP(I1698,[1]INFO_LOCALES!$B:$F,5,FALSE),"")</f>
        <v/>
      </c>
      <c r="S1698" s="6"/>
      <c r="T1698" s="5" t="str">
        <f>UPPER(IF(Tabla2[[#This Row],[FECHA DE MUESTREO ]]=0,"",TEXT(Tabla2[[#This Row],[FECHA DE MUESTREO ]],("MMMM"))))</f>
        <v/>
      </c>
      <c r="U1698" s="6"/>
      <c r="W169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8" s="7">
        <f t="shared" si="46"/>
        <v>1</v>
      </c>
    </row>
    <row r="1699" spans="10:24" x14ac:dyDescent="0.25">
      <c r="J1699" s="5" t="str">
        <f>IFERROR(VLOOKUP(I1699,[1]INFO_LOCALES!$B:$C,2,FALSE),"")</f>
        <v/>
      </c>
      <c r="K1699" s="5" t="str">
        <f>IFERROR(VLOOKUP(Tabla2[[#This Row],[TIENDA]],[1]INFO_LOCALES!$B:$D,3,FALSE),"")</f>
        <v/>
      </c>
      <c r="L1699" s="5" t="str">
        <f>IFERROR(VLOOKUP(I1699,[1]INFO_LOCALES!$B:$I,8,FALSE),"")</f>
        <v/>
      </c>
      <c r="M1699" s="5" t="str">
        <f>IFERROR(VLOOKUP(I1699,[1]INFO_LOCALES!$B:$H,7,FALSE),"")</f>
        <v/>
      </c>
      <c r="N1699" s="5" t="str">
        <f>IFERROR(VLOOKUP(I1699,[1]INFO_LOCALES!$B:$E,4,FALSE),"")</f>
        <v/>
      </c>
      <c r="O1699" s="5" t="e">
        <f>VLOOKUP(Tabla2[[#This Row],[TIENDA]],[1]INFO_LOCALES!$B:$J,9,0)</f>
        <v>#N/A</v>
      </c>
      <c r="P1699" s="5" t="str">
        <f>IFERROR(VLOOKUP(I1699,[1]INFO_LOCALES!$B:$F,5,FALSE),"")</f>
        <v/>
      </c>
      <c r="S1699" s="6"/>
      <c r="T1699" s="5" t="str">
        <f>UPPER(IF(Tabla2[[#This Row],[FECHA DE MUESTREO ]]=0,"",TEXT(Tabla2[[#This Row],[FECHA DE MUESTREO ]],("MMMM"))))</f>
        <v/>
      </c>
      <c r="U1699" s="6"/>
      <c r="W169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699" s="7">
        <f t="shared" si="46"/>
        <v>1</v>
      </c>
    </row>
    <row r="1700" spans="10:24" x14ac:dyDescent="0.25">
      <c r="J1700" s="5" t="str">
        <f>IFERROR(VLOOKUP(I1700,[1]INFO_LOCALES!$B:$C,2,FALSE),"")</f>
        <v/>
      </c>
      <c r="K1700" s="5" t="str">
        <f>IFERROR(VLOOKUP(Tabla2[[#This Row],[TIENDA]],[1]INFO_LOCALES!$B:$D,3,FALSE),"")</f>
        <v/>
      </c>
      <c r="L1700" s="5" t="str">
        <f>IFERROR(VLOOKUP(I1700,[1]INFO_LOCALES!$B:$I,8,FALSE),"")</f>
        <v/>
      </c>
      <c r="M1700" s="5" t="str">
        <f>IFERROR(VLOOKUP(I1700,[1]INFO_LOCALES!$B:$H,7,FALSE),"")</f>
        <v/>
      </c>
      <c r="N1700" s="5" t="str">
        <f>IFERROR(VLOOKUP(I1700,[1]INFO_LOCALES!$B:$E,4,FALSE),"")</f>
        <v/>
      </c>
      <c r="O1700" s="5" t="e">
        <f>VLOOKUP(Tabla2[[#This Row],[TIENDA]],[1]INFO_LOCALES!$B:$J,9,0)</f>
        <v>#N/A</v>
      </c>
      <c r="P1700" s="5" t="str">
        <f>IFERROR(VLOOKUP(I1700,[1]INFO_LOCALES!$B:$F,5,FALSE),"")</f>
        <v/>
      </c>
      <c r="S1700" s="6"/>
      <c r="T1700" s="5" t="str">
        <f>UPPER(IF(Tabla2[[#This Row],[FECHA DE MUESTREO ]]=0,"",TEXT(Tabla2[[#This Row],[FECHA DE MUESTREO ]],("MMMM"))))</f>
        <v/>
      </c>
      <c r="U1700" s="6"/>
      <c r="W170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0" s="7">
        <f t="shared" si="46"/>
        <v>1</v>
      </c>
    </row>
    <row r="1701" spans="10:24" x14ac:dyDescent="0.25">
      <c r="J1701" s="5" t="str">
        <f>IFERROR(VLOOKUP(I1701,[1]INFO_LOCALES!$B:$C,2,FALSE),"")</f>
        <v/>
      </c>
      <c r="K1701" s="5" t="str">
        <f>IFERROR(VLOOKUP(Tabla2[[#This Row],[TIENDA]],[1]INFO_LOCALES!$B:$D,3,FALSE),"")</f>
        <v/>
      </c>
      <c r="L1701" s="5" t="str">
        <f>IFERROR(VLOOKUP(I1701,[1]INFO_LOCALES!$B:$I,8,FALSE),"")</f>
        <v/>
      </c>
      <c r="M1701" s="5" t="str">
        <f>IFERROR(VLOOKUP(I1701,[1]INFO_LOCALES!$B:$H,7,FALSE),"")</f>
        <v/>
      </c>
      <c r="N1701" s="5" t="str">
        <f>IFERROR(VLOOKUP(I1701,[1]INFO_LOCALES!$B:$E,4,FALSE),"")</f>
        <v/>
      </c>
      <c r="O1701" s="5" t="e">
        <f>VLOOKUP(Tabla2[[#This Row],[TIENDA]],[1]INFO_LOCALES!$B:$J,9,0)</f>
        <v>#N/A</v>
      </c>
      <c r="P1701" s="5" t="str">
        <f>IFERROR(VLOOKUP(I1701,[1]INFO_LOCALES!$B:$F,5,FALSE),"")</f>
        <v/>
      </c>
      <c r="S1701" s="6"/>
      <c r="T1701" s="5" t="str">
        <f>UPPER(IF(Tabla2[[#This Row],[FECHA DE MUESTREO ]]=0,"",TEXT(Tabla2[[#This Row],[FECHA DE MUESTREO ]],("MMMM"))))</f>
        <v/>
      </c>
      <c r="U1701" s="6"/>
      <c r="W170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1" s="7">
        <f t="shared" si="46"/>
        <v>1</v>
      </c>
    </row>
    <row r="1702" spans="10:24" x14ac:dyDescent="0.25">
      <c r="J1702" s="5" t="str">
        <f>IFERROR(VLOOKUP(I1702,[1]INFO_LOCALES!$B:$C,2,FALSE),"")</f>
        <v/>
      </c>
      <c r="K1702" s="5" t="str">
        <f>IFERROR(VLOOKUP(Tabla2[[#This Row],[TIENDA]],[1]INFO_LOCALES!$B:$D,3,FALSE),"")</f>
        <v/>
      </c>
      <c r="L1702" s="5" t="str">
        <f>IFERROR(VLOOKUP(I1702,[1]INFO_LOCALES!$B:$I,8,FALSE),"")</f>
        <v/>
      </c>
      <c r="M1702" s="5" t="str">
        <f>IFERROR(VLOOKUP(I1702,[1]INFO_LOCALES!$B:$H,7,FALSE),"")</f>
        <v/>
      </c>
      <c r="N1702" s="5" t="str">
        <f>IFERROR(VLOOKUP(I1702,[1]INFO_LOCALES!$B:$E,4,FALSE),"")</f>
        <v/>
      </c>
      <c r="O1702" s="5" t="e">
        <f>VLOOKUP(Tabla2[[#This Row],[TIENDA]],[1]INFO_LOCALES!$B:$J,9,0)</f>
        <v>#N/A</v>
      </c>
      <c r="P1702" s="5" t="str">
        <f>IFERROR(VLOOKUP(I1702,[1]INFO_LOCALES!$B:$F,5,FALSE),"")</f>
        <v/>
      </c>
      <c r="S1702" s="6"/>
      <c r="T1702" s="5" t="str">
        <f>UPPER(IF(Tabla2[[#This Row],[FECHA DE MUESTREO ]]=0,"",TEXT(Tabla2[[#This Row],[FECHA DE MUESTREO ]],("MMMM"))))</f>
        <v/>
      </c>
      <c r="U1702" s="6"/>
      <c r="W170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2" s="7">
        <f t="shared" ref="X1702:X1765" si="47">IF(W1702="CUMPLE",1,IF(W1702="CUMPLE CON TOLERANCIA",2,IF(W1702="NO CUMPLE",3)))</f>
        <v>1</v>
      </c>
    </row>
    <row r="1703" spans="10:24" x14ac:dyDescent="0.25">
      <c r="J1703" s="5" t="str">
        <f>IFERROR(VLOOKUP(I1703,[1]INFO_LOCALES!$B:$C,2,FALSE),"")</f>
        <v/>
      </c>
      <c r="K1703" s="5" t="str">
        <f>IFERROR(VLOOKUP(Tabla2[[#This Row],[TIENDA]],[1]INFO_LOCALES!$B:$D,3,FALSE),"")</f>
        <v/>
      </c>
      <c r="L1703" s="5" t="str">
        <f>IFERROR(VLOOKUP(I1703,[1]INFO_LOCALES!$B:$I,8,FALSE),"")</f>
        <v/>
      </c>
      <c r="M1703" s="5" t="str">
        <f>IFERROR(VLOOKUP(I1703,[1]INFO_LOCALES!$B:$H,7,FALSE),"")</f>
        <v/>
      </c>
      <c r="N1703" s="5" t="str">
        <f>IFERROR(VLOOKUP(I1703,[1]INFO_LOCALES!$B:$E,4,FALSE),"")</f>
        <v/>
      </c>
      <c r="O1703" s="5" t="e">
        <f>VLOOKUP(Tabla2[[#This Row],[TIENDA]],[1]INFO_LOCALES!$B:$J,9,0)</f>
        <v>#N/A</v>
      </c>
      <c r="P1703" s="5" t="str">
        <f>IFERROR(VLOOKUP(I1703,[1]INFO_LOCALES!$B:$F,5,FALSE),"")</f>
        <v/>
      </c>
      <c r="S1703" s="6"/>
      <c r="T1703" s="5" t="str">
        <f>UPPER(IF(Tabla2[[#This Row],[FECHA DE MUESTREO ]]=0,"",TEXT(Tabla2[[#This Row],[FECHA DE MUESTREO ]],("MMMM"))))</f>
        <v/>
      </c>
      <c r="U1703" s="6"/>
      <c r="W170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3" s="7">
        <f t="shared" si="47"/>
        <v>1</v>
      </c>
    </row>
    <row r="1704" spans="10:24" x14ac:dyDescent="0.25">
      <c r="J1704" s="5" t="str">
        <f>IFERROR(VLOOKUP(I1704,[1]INFO_LOCALES!$B:$C,2,FALSE),"")</f>
        <v/>
      </c>
      <c r="K1704" s="5" t="str">
        <f>IFERROR(VLOOKUP(Tabla2[[#This Row],[TIENDA]],[1]INFO_LOCALES!$B:$D,3,FALSE),"")</f>
        <v/>
      </c>
      <c r="L1704" s="5" t="str">
        <f>IFERROR(VLOOKUP(I1704,[1]INFO_LOCALES!$B:$I,8,FALSE),"")</f>
        <v/>
      </c>
      <c r="M1704" s="5" t="str">
        <f>IFERROR(VLOOKUP(I1704,[1]INFO_LOCALES!$B:$H,7,FALSE),"")</f>
        <v/>
      </c>
      <c r="N1704" s="5" t="str">
        <f>IFERROR(VLOOKUP(I1704,[1]INFO_LOCALES!$B:$E,4,FALSE),"")</f>
        <v/>
      </c>
      <c r="O1704" s="5" t="e">
        <f>VLOOKUP(Tabla2[[#This Row],[TIENDA]],[1]INFO_LOCALES!$B:$J,9,0)</f>
        <v>#N/A</v>
      </c>
      <c r="P1704" s="5" t="str">
        <f>IFERROR(VLOOKUP(I1704,[1]INFO_LOCALES!$B:$F,5,FALSE),"")</f>
        <v/>
      </c>
      <c r="S1704" s="6"/>
      <c r="T1704" s="5" t="str">
        <f>UPPER(IF(Tabla2[[#This Row],[FECHA DE MUESTREO ]]=0,"",TEXT(Tabla2[[#This Row],[FECHA DE MUESTREO ]],("MMMM"))))</f>
        <v/>
      </c>
      <c r="U1704" s="6"/>
      <c r="W170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4" s="7">
        <f t="shared" si="47"/>
        <v>1</v>
      </c>
    </row>
    <row r="1705" spans="10:24" x14ac:dyDescent="0.25">
      <c r="J1705" s="5" t="str">
        <f>IFERROR(VLOOKUP(I1705,[1]INFO_LOCALES!$B:$C,2,FALSE),"")</f>
        <v/>
      </c>
      <c r="K1705" s="5" t="str">
        <f>IFERROR(VLOOKUP(Tabla2[[#This Row],[TIENDA]],[1]INFO_LOCALES!$B:$D,3,FALSE),"")</f>
        <v/>
      </c>
      <c r="L1705" s="5" t="str">
        <f>IFERROR(VLOOKUP(I1705,[1]INFO_LOCALES!$B:$I,8,FALSE),"")</f>
        <v/>
      </c>
      <c r="M1705" s="5" t="str">
        <f>IFERROR(VLOOKUP(I1705,[1]INFO_LOCALES!$B:$H,7,FALSE),"")</f>
        <v/>
      </c>
      <c r="N1705" s="5" t="str">
        <f>IFERROR(VLOOKUP(I1705,[1]INFO_LOCALES!$B:$E,4,FALSE),"")</f>
        <v/>
      </c>
      <c r="O1705" s="5" t="e">
        <f>VLOOKUP(Tabla2[[#This Row],[TIENDA]],[1]INFO_LOCALES!$B:$J,9,0)</f>
        <v>#N/A</v>
      </c>
      <c r="P1705" s="5" t="str">
        <f>IFERROR(VLOOKUP(I1705,[1]INFO_LOCALES!$B:$F,5,FALSE),"")</f>
        <v/>
      </c>
      <c r="S1705" s="6"/>
      <c r="T1705" s="5" t="str">
        <f>UPPER(IF(Tabla2[[#This Row],[FECHA DE MUESTREO ]]=0,"",TEXT(Tabla2[[#This Row],[FECHA DE MUESTREO ]],("MMMM"))))</f>
        <v/>
      </c>
      <c r="U1705" s="6"/>
      <c r="W170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5" s="7">
        <f t="shared" si="47"/>
        <v>1</v>
      </c>
    </row>
    <row r="1706" spans="10:24" x14ac:dyDescent="0.25">
      <c r="J1706" s="5" t="str">
        <f>IFERROR(VLOOKUP(I1706,[1]INFO_LOCALES!$B:$C,2,FALSE),"")</f>
        <v/>
      </c>
      <c r="K1706" s="5" t="str">
        <f>IFERROR(VLOOKUP(Tabla2[[#This Row],[TIENDA]],[1]INFO_LOCALES!$B:$D,3,FALSE),"")</f>
        <v/>
      </c>
      <c r="L1706" s="5" t="str">
        <f>IFERROR(VLOOKUP(I1706,[1]INFO_LOCALES!$B:$I,8,FALSE),"")</f>
        <v/>
      </c>
      <c r="M1706" s="5" t="str">
        <f>IFERROR(VLOOKUP(I1706,[1]INFO_LOCALES!$B:$H,7,FALSE),"")</f>
        <v/>
      </c>
      <c r="N1706" s="5" t="str">
        <f>IFERROR(VLOOKUP(I1706,[1]INFO_LOCALES!$B:$E,4,FALSE),"")</f>
        <v/>
      </c>
      <c r="O1706" s="5" t="e">
        <f>VLOOKUP(Tabla2[[#This Row],[TIENDA]],[1]INFO_LOCALES!$B:$J,9,0)</f>
        <v>#N/A</v>
      </c>
      <c r="P1706" s="5" t="str">
        <f>IFERROR(VLOOKUP(I1706,[1]INFO_LOCALES!$B:$F,5,FALSE),"")</f>
        <v/>
      </c>
      <c r="S1706" s="6"/>
      <c r="T1706" s="5" t="str">
        <f>UPPER(IF(Tabla2[[#This Row],[FECHA DE MUESTREO ]]=0,"",TEXT(Tabla2[[#This Row],[FECHA DE MUESTREO ]],("MMMM"))))</f>
        <v/>
      </c>
      <c r="U1706" s="6"/>
      <c r="W170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6" s="7">
        <f t="shared" si="47"/>
        <v>1</v>
      </c>
    </row>
    <row r="1707" spans="10:24" x14ac:dyDescent="0.25">
      <c r="J1707" s="5" t="str">
        <f>IFERROR(VLOOKUP(I1707,[1]INFO_LOCALES!$B:$C,2,FALSE),"")</f>
        <v/>
      </c>
      <c r="K1707" s="5" t="str">
        <f>IFERROR(VLOOKUP(Tabla2[[#This Row],[TIENDA]],[1]INFO_LOCALES!$B:$D,3,FALSE),"")</f>
        <v/>
      </c>
      <c r="L1707" s="5" t="str">
        <f>IFERROR(VLOOKUP(I1707,[1]INFO_LOCALES!$B:$I,8,FALSE),"")</f>
        <v/>
      </c>
      <c r="M1707" s="5" t="str">
        <f>IFERROR(VLOOKUP(I1707,[1]INFO_LOCALES!$B:$H,7,FALSE),"")</f>
        <v/>
      </c>
      <c r="N1707" s="5" t="str">
        <f>IFERROR(VLOOKUP(I1707,[1]INFO_LOCALES!$B:$E,4,FALSE),"")</f>
        <v/>
      </c>
      <c r="O1707" s="5" t="e">
        <f>VLOOKUP(Tabla2[[#This Row],[TIENDA]],[1]INFO_LOCALES!$B:$J,9,0)</f>
        <v>#N/A</v>
      </c>
      <c r="P1707" s="5" t="str">
        <f>IFERROR(VLOOKUP(I1707,[1]INFO_LOCALES!$B:$F,5,FALSE),"")</f>
        <v/>
      </c>
      <c r="S1707" s="6"/>
      <c r="T1707" s="5" t="str">
        <f>UPPER(IF(Tabla2[[#This Row],[FECHA DE MUESTREO ]]=0,"",TEXT(Tabla2[[#This Row],[FECHA DE MUESTREO ]],("MMMM"))))</f>
        <v/>
      </c>
      <c r="U1707" s="6"/>
      <c r="W170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7" s="7">
        <f t="shared" si="47"/>
        <v>1</v>
      </c>
    </row>
    <row r="1708" spans="10:24" x14ac:dyDescent="0.25">
      <c r="J1708" s="5" t="str">
        <f>IFERROR(VLOOKUP(I1708,[1]INFO_LOCALES!$B:$C,2,FALSE),"")</f>
        <v/>
      </c>
      <c r="K1708" s="5" t="str">
        <f>IFERROR(VLOOKUP(Tabla2[[#This Row],[TIENDA]],[1]INFO_LOCALES!$B:$D,3,FALSE),"")</f>
        <v/>
      </c>
      <c r="L1708" s="5" t="str">
        <f>IFERROR(VLOOKUP(I1708,[1]INFO_LOCALES!$B:$I,8,FALSE),"")</f>
        <v/>
      </c>
      <c r="M1708" s="5" t="str">
        <f>IFERROR(VLOOKUP(I1708,[1]INFO_LOCALES!$B:$H,7,FALSE),"")</f>
        <v/>
      </c>
      <c r="N1708" s="5" t="str">
        <f>IFERROR(VLOOKUP(I1708,[1]INFO_LOCALES!$B:$E,4,FALSE),"")</f>
        <v/>
      </c>
      <c r="O1708" s="5" t="e">
        <f>VLOOKUP(Tabla2[[#This Row],[TIENDA]],[1]INFO_LOCALES!$B:$J,9,0)</f>
        <v>#N/A</v>
      </c>
      <c r="P1708" s="5" t="str">
        <f>IFERROR(VLOOKUP(I1708,[1]INFO_LOCALES!$B:$F,5,FALSE),"")</f>
        <v/>
      </c>
      <c r="S1708" s="6"/>
      <c r="T1708" s="5" t="str">
        <f>UPPER(IF(Tabla2[[#This Row],[FECHA DE MUESTREO ]]=0,"",TEXT(Tabla2[[#This Row],[FECHA DE MUESTREO ]],("MMMM"))))</f>
        <v/>
      </c>
      <c r="U1708" s="6"/>
      <c r="W170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8" s="7">
        <f t="shared" si="47"/>
        <v>1</v>
      </c>
    </row>
    <row r="1709" spans="10:24" x14ac:dyDescent="0.25">
      <c r="J1709" s="5" t="str">
        <f>IFERROR(VLOOKUP(I1709,[1]INFO_LOCALES!$B:$C,2,FALSE),"")</f>
        <v/>
      </c>
      <c r="K1709" s="5" t="str">
        <f>IFERROR(VLOOKUP(Tabla2[[#This Row],[TIENDA]],[1]INFO_LOCALES!$B:$D,3,FALSE),"")</f>
        <v/>
      </c>
      <c r="L1709" s="5" t="str">
        <f>IFERROR(VLOOKUP(I1709,[1]INFO_LOCALES!$B:$I,8,FALSE),"")</f>
        <v/>
      </c>
      <c r="M1709" s="5" t="str">
        <f>IFERROR(VLOOKUP(I1709,[1]INFO_LOCALES!$B:$H,7,FALSE),"")</f>
        <v/>
      </c>
      <c r="N1709" s="5" t="str">
        <f>IFERROR(VLOOKUP(I1709,[1]INFO_LOCALES!$B:$E,4,FALSE),"")</f>
        <v/>
      </c>
      <c r="O1709" s="5" t="e">
        <f>VLOOKUP(Tabla2[[#This Row],[TIENDA]],[1]INFO_LOCALES!$B:$J,9,0)</f>
        <v>#N/A</v>
      </c>
      <c r="P1709" s="5" t="str">
        <f>IFERROR(VLOOKUP(I1709,[1]INFO_LOCALES!$B:$F,5,FALSE),"")</f>
        <v/>
      </c>
      <c r="S1709" s="6"/>
      <c r="T1709" s="5" t="str">
        <f>UPPER(IF(Tabla2[[#This Row],[FECHA DE MUESTREO ]]=0,"",TEXT(Tabla2[[#This Row],[FECHA DE MUESTREO ]],("MMMM"))))</f>
        <v/>
      </c>
      <c r="U1709" s="6"/>
      <c r="W170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09" s="7">
        <f t="shared" si="47"/>
        <v>1</v>
      </c>
    </row>
    <row r="1710" spans="10:24" x14ac:dyDescent="0.25">
      <c r="J1710" s="5" t="str">
        <f>IFERROR(VLOOKUP(I1710,[1]INFO_LOCALES!$B:$C,2,FALSE),"")</f>
        <v/>
      </c>
      <c r="K1710" s="5" t="str">
        <f>IFERROR(VLOOKUP(Tabla2[[#This Row],[TIENDA]],[1]INFO_LOCALES!$B:$D,3,FALSE),"")</f>
        <v/>
      </c>
      <c r="L1710" s="5" t="str">
        <f>IFERROR(VLOOKUP(I1710,[1]INFO_LOCALES!$B:$I,8,FALSE),"")</f>
        <v/>
      </c>
      <c r="M1710" s="5" t="str">
        <f>IFERROR(VLOOKUP(I1710,[1]INFO_LOCALES!$B:$H,7,FALSE),"")</f>
        <v/>
      </c>
      <c r="N1710" s="5" t="str">
        <f>IFERROR(VLOOKUP(I1710,[1]INFO_LOCALES!$B:$E,4,FALSE),"")</f>
        <v/>
      </c>
      <c r="O1710" s="5" t="e">
        <f>VLOOKUP(Tabla2[[#This Row],[TIENDA]],[1]INFO_LOCALES!$B:$J,9,0)</f>
        <v>#N/A</v>
      </c>
      <c r="P1710" s="5" t="str">
        <f>IFERROR(VLOOKUP(I1710,[1]INFO_LOCALES!$B:$F,5,FALSE),"")</f>
        <v/>
      </c>
      <c r="S1710" s="6"/>
      <c r="T1710" s="5" t="str">
        <f>UPPER(IF(Tabla2[[#This Row],[FECHA DE MUESTREO ]]=0,"",TEXT(Tabla2[[#This Row],[FECHA DE MUESTREO ]],("MMMM"))))</f>
        <v/>
      </c>
      <c r="U1710" s="6"/>
      <c r="W171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0" s="7">
        <f t="shared" si="47"/>
        <v>1</v>
      </c>
    </row>
    <row r="1711" spans="10:24" x14ac:dyDescent="0.25">
      <c r="J1711" s="5" t="str">
        <f>IFERROR(VLOOKUP(I1711,[1]INFO_LOCALES!$B:$C,2,FALSE),"")</f>
        <v/>
      </c>
      <c r="K1711" s="5" t="str">
        <f>IFERROR(VLOOKUP(Tabla2[[#This Row],[TIENDA]],[1]INFO_LOCALES!$B:$D,3,FALSE),"")</f>
        <v/>
      </c>
      <c r="L1711" s="5" t="str">
        <f>IFERROR(VLOOKUP(I1711,[1]INFO_LOCALES!$B:$I,8,FALSE),"")</f>
        <v/>
      </c>
      <c r="M1711" s="5" t="str">
        <f>IFERROR(VLOOKUP(I1711,[1]INFO_LOCALES!$B:$H,7,FALSE),"")</f>
        <v/>
      </c>
      <c r="N1711" s="5" t="str">
        <f>IFERROR(VLOOKUP(I1711,[1]INFO_LOCALES!$B:$E,4,FALSE),"")</f>
        <v/>
      </c>
      <c r="O1711" s="5" t="e">
        <f>VLOOKUP(Tabla2[[#This Row],[TIENDA]],[1]INFO_LOCALES!$B:$J,9,0)</f>
        <v>#N/A</v>
      </c>
      <c r="P1711" s="5" t="str">
        <f>IFERROR(VLOOKUP(I1711,[1]INFO_LOCALES!$B:$F,5,FALSE),"")</f>
        <v/>
      </c>
      <c r="S1711" s="6"/>
      <c r="T1711" s="5" t="str">
        <f>UPPER(IF(Tabla2[[#This Row],[FECHA DE MUESTREO ]]=0,"",TEXT(Tabla2[[#This Row],[FECHA DE MUESTREO ]],("MMMM"))))</f>
        <v/>
      </c>
      <c r="U1711" s="6"/>
      <c r="W171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1" s="7">
        <f t="shared" si="47"/>
        <v>1</v>
      </c>
    </row>
    <row r="1712" spans="10:24" x14ac:dyDescent="0.25">
      <c r="J1712" s="5" t="str">
        <f>IFERROR(VLOOKUP(I1712,[1]INFO_LOCALES!$B:$C,2,FALSE),"")</f>
        <v/>
      </c>
      <c r="K1712" s="5" t="str">
        <f>IFERROR(VLOOKUP(Tabla2[[#This Row],[TIENDA]],[1]INFO_LOCALES!$B:$D,3,FALSE),"")</f>
        <v/>
      </c>
      <c r="L1712" s="5" t="str">
        <f>IFERROR(VLOOKUP(I1712,[1]INFO_LOCALES!$B:$I,8,FALSE),"")</f>
        <v/>
      </c>
      <c r="M1712" s="5" t="str">
        <f>IFERROR(VLOOKUP(I1712,[1]INFO_LOCALES!$B:$H,7,FALSE),"")</f>
        <v/>
      </c>
      <c r="N1712" s="5" t="str">
        <f>IFERROR(VLOOKUP(I1712,[1]INFO_LOCALES!$B:$E,4,FALSE),"")</f>
        <v/>
      </c>
      <c r="O1712" s="5" t="e">
        <f>VLOOKUP(Tabla2[[#This Row],[TIENDA]],[1]INFO_LOCALES!$B:$J,9,0)</f>
        <v>#N/A</v>
      </c>
      <c r="P1712" s="5" t="str">
        <f>IFERROR(VLOOKUP(I1712,[1]INFO_LOCALES!$B:$F,5,FALSE),"")</f>
        <v/>
      </c>
      <c r="S1712" s="6"/>
      <c r="T1712" s="5" t="str">
        <f>UPPER(IF(Tabla2[[#This Row],[FECHA DE MUESTREO ]]=0,"",TEXT(Tabla2[[#This Row],[FECHA DE MUESTREO ]],("MMMM"))))</f>
        <v/>
      </c>
      <c r="U1712" s="6"/>
      <c r="W171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2" s="7">
        <f t="shared" si="47"/>
        <v>1</v>
      </c>
    </row>
    <row r="1713" spans="10:24" x14ac:dyDescent="0.25">
      <c r="J1713" s="5" t="str">
        <f>IFERROR(VLOOKUP(I1713,[1]INFO_LOCALES!$B:$C,2,FALSE),"")</f>
        <v/>
      </c>
      <c r="K1713" s="5" t="str">
        <f>IFERROR(VLOOKUP(Tabla2[[#This Row],[TIENDA]],[1]INFO_LOCALES!$B:$D,3,FALSE),"")</f>
        <v/>
      </c>
      <c r="L1713" s="5" t="str">
        <f>IFERROR(VLOOKUP(I1713,[1]INFO_LOCALES!$B:$I,8,FALSE),"")</f>
        <v/>
      </c>
      <c r="M1713" s="5" t="str">
        <f>IFERROR(VLOOKUP(I1713,[1]INFO_LOCALES!$B:$H,7,FALSE),"")</f>
        <v/>
      </c>
      <c r="N1713" s="5" t="str">
        <f>IFERROR(VLOOKUP(I1713,[1]INFO_LOCALES!$B:$E,4,FALSE),"")</f>
        <v/>
      </c>
      <c r="O1713" s="5" t="e">
        <f>VLOOKUP(Tabla2[[#This Row],[TIENDA]],[1]INFO_LOCALES!$B:$J,9,0)</f>
        <v>#N/A</v>
      </c>
      <c r="P1713" s="5" t="str">
        <f>IFERROR(VLOOKUP(I1713,[1]INFO_LOCALES!$B:$F,5,FALSE),"")</f>
        <v/>
      </c>
      <c r="S1713" s="6"/>
      <c r="T1713" s="5" t="str">
        <f>UPPER(IF(Tabla2[[#This Row],[FECHA DE MUESTREO ]]=0,"",TEXT(Tabla2[[#This Row],[FECHA DE MUESTREO ]],("MMMM"))))</f>
        <v/>
      </c>
      <c r="U1713" s="6"/>
      <c r="W171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3" s="7">
        <f t="shared" si="47"/>
        <v>1</v>
      </c>
    </row>
    <row r="1714" spans="10:24" x14ac:dyDescent="0.25">
      <c r="J1714" s="5" t="str">
        <f>IFERROR(VLOOKUP(I1714,[1]INFO_LOCALES!$B:$C,2,FALSE),"")</f>
        <v/>
      </c>
      <c r="K1714" s="5" t="str">
        <f>IFERROR(VLOOKUP(Tabla2[[#This Row],[TIENDA]],[1]INFO_LOCALES!$B:$D,3,FALSE),"")</f>
        <v/>
      </c>
      <c r="L1714" s="5" t="str">
        <f>IFERROR(VLOOKUP(I1714,[1]INFO_LOCALES!$B:$I,8,FALSE),"")</f>
        <v/>
      </c>
      <c r="M1714" s="5" t="str">
        <f>IFERROR(VLOOKUP(I1714,[1]INFO_LOCALES!$B:$H,7,FALSE),"")</f>
        <v/>
      </c>
      <c r="N1714" s="5" t="str">
        <f>IFERROR(VLOOKUP(I1714,[1]INFO_LOCALES!$B:$E,4,FALSE),"")</f>
        <v/>
      </c>
      <c r="O1714" s="5" t="e">
        <f>VLOOKUP(Tabla2[[#This Row],[TIENDA]],[1]INFO_LOCALES!$B:$J,9,0)</f>
        <v>#N/A</v>
      </c>
      <c r="P1714" s="5" t="str">
        <f>IFERROR(VLOOKUP(I1714,[1]INFO_LOCALES!$B:$F,5,FALSE),"")</f>
        <v/>
      </c>
      <c r="S1714" s="6"/>
      <c r="T1714" s="5" t="str">
        <f>UPPER(IF(Tabla2[[#This Row],[FECHA DE MUESTREO ]]=0,"",TEXT(Tabla2[[#This Row],[FECHA DE MUESTREO ]],("MMMM"))))</f>
        <v/>
      </c>
      <c r="U1714" s="6"/>
      <c r="W171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4" s="7">
        <f t="shared" si="47"/>
        <v>1</v>
      </c>
    </row>
    <row r="1715" spans="10:24" x14ac:dyDescent="0.25">
      <c r="J1715" s="5" t="str">
        <f>IFERROR(VLOOKUP(I1715,[1]INFO_LOCALES!$B:$C,2,FALSE),"")</f>
        <v/>
      </c>
      <c r="K1715" s="5" t="str">
        <f>IFERROR(VLOOKUP(Tabla2[[#This Row],[TIENDA]],[1]INFO_LOCALES!$B:$D,3,FALSE),"")</f>
        <v/>
      </c>
      <c r="L1715" s="5" t="str">
        <f>IFERROR(VLOOKUP(I1715,[1]INFO_LOCALES!$B:$I,8,FALSE),"")</f>
        <v/>
      </c>
      <c r="M1715" s="5" t="str">
        <f>IFERROR(VLOOKUP(I1715,[1]INFO_LOCALES!$B:$H,7,FALSE),"")</f>
        <v/>
      </c>
      <c r="N1715" s="5" t="str">
        <f>IFERROR(VLOOKUP(I1715,[1]INFO_LOCALES!$B:$E,4,FALSE),"")</f>
        <v/>
      </c>
      <c r="O1715" s="5" t="e">
        <f>VLOOKUP(Tabla2[[#This Row],[TIENDA]],[1]INFO_LOCALES!$B:$J,9,0)</f>
        <v>#N/A</v>
      </c>
      <c r="P1715" s="5" t="str">
        <f>IFERROR(VLOOKUP(I1715,[1]INFO_LOCALES!$B:$F,5,FALSE),"")</f>
        <v/>
      </c>
      <c r="S1715" s="6"/>
      <c r="T1715" s="5" t="str">
        <f>UPPER(IF(Tabla2[[#This Row],[FECHA DE MUESTREO ]]=0,"",TEXT(Tabla2[[#This Row],[FECHA DE MUESTREO ]],("MMMM"))))</f>
        <v/>
      </c>
      <c r="U1715" s="6"/>
      <c r="W171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5" s="7">
        <f t="shared" si="47"/>
        <v>1</v>
      </c>
    </row>
    <row r="1716" spans="10:24" x14ac:dyDescent="0.25">
      <c r="J1716" s="5" t="str">
        <f>IFERROR(VLOOKUP(I1716,[1]INFO_LOCALES!$B:$C,2,FALSE),"")</f>
        <v/>
      </c>
      <c r="K1716" s="5" t="str">
        <f>IFERROR(VLOOKUP(Tabla2[[#This Row],[TIENDA]],[1]INFO_LOCALES!$B:$D,3,FALSE),"")</f>
        <v/>
      </c>
      <c r="L1716" s="5" t="str">
        <f>IFERROR(VLOOKUP(I1716,[1]INFO_LOCALES!$B:$I,8,FALSE),"")</f>
        <v/>
      </c>
      <c r="M1716" s="5" t="str">
        <f>IFERROR(VLOOKUP(I1716,[1]INFO_LOCALES!$B:$H,7,FALSE),"")</f>
        <v/>
      </c>
      <c r="N1716" s="5" t="str">
        <f>IFERROR(VLOOKUP(I1716,[1]INFO_LOCALES!$B:$E,4,FALSE),"")</f>
        <v/>
      </c>
      <c r="O1716" s="5" t="e">
        <f>VLOOKUP(Tabla2[[#This Row],[TIENDA]],[1]INFO_LOCALES!$B:$J,9,0)</f>
        <v>#N/A</v>
      </c>
      <c r="P1716" s="5" t="str">
        <f>IFERROR(VLOOKUP(I1716,[1]INFO_LOCALES!$B:$F,5,FALSE),"")</f>
        <v/>
      </c>
      <c r="S1716" s="6"/>
      <c r="T1716" s="5" t="str">
        <f>UPPER(IF(Tabla2[[#This Row],[FECHA DE MUESTREO ]]=0,"",TEXT(Tabla2[[#This Row],[FECHA DE MUESTREO ]],("MMMM"))))</f>
        <v/>
      </c>
      <c r="U1716" s="6"/>
      <c r="W171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6" s="7">
        <f t="shared" si="47"/>
        <v>1</v>
      </c>
    </row>
    <row r="1717" spans="10:24" x14ac:dyDescent="0.25">
      <c r="J1717" s="5" t="str">
        <f>IFERROR(VLOOKUP(I1717,[1]INFO_LOCALES!$B:$C,2,FALSE),"")</f>
        <v/>
      </c>
      <c r="K1717" s="5" t="str">
        <f>IFERROR(VLOOKUP(Tabla2[[#This Row],[TIENDA]],[1]INFO_LOCALES!$B:$D,3,FALSE),"")</f>
        <v/>
      </c>
      <c r="L1717" s="5" t="str">
        <f>IFERROR(VLOOKUP(I1717,[1]INFO_LOCALES!$B:$I,8,FALSE),"")</f>
        <v/>
      </c>
      <c r="M1717" s="5" t="str">
        <f>IFERROR(VLOOKUP(I1717,[1]INFO_LOCALES!$B:$H,7,FALSE),"")</f>
        <v/>
      </c>
      <c r="N1717" s="5" t="str">
        <f>IFERROR(VLOOKUP(I1717,[1]INFO_LOCALES!$B:$E,4,FALSE),"")</f>
        <v/>
      </c>
      <c r="O1717" s="5" t="e">
        <f>VLOOKUP(Tabla2[[#This Row],[TIENDA]],[1]INFO_LOCALES!$B:$J,9,0)</f>
        <v>#N/A</v>
      </c>
      <c r="P1717" s="5" t="str">
        <f>IFERROR(VLOOKUP(I1717,[1]INFO_LOCALES!$B:$F,5,FALSE),"")</f>
        <v/>
      </c>
      <c r="S1717" s="6"/>
      <c r="T1717" s="5" t="str">
        <f>UPPER(IF(Tabla2[[#This Row],[FECHA DE MUESTREO ]]=0,"",TEXT(Tabla2[[#This Row],[FECHA DE MUESTREO ]],("MMMM"))))</f>
        <v/>
      </c>
      <c r="U1717" s="6"/>
      <c r="W171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7" s="7">
        <f t="shared" si="47"/>
        <v>1</v>
      </c>
    </row>
    <row r="1718" spans="10:24" x14ac:dyDescent="0.25">
      <c r="J1718" s="5" t="str">
        <f>IFERROR(VLOOKUP(I1718,[1]INFO_LOCALES!$B:$C,2,FALSE),"")</f>
        <v/>
      </c>
      <c r="K1718" s="5" t="str">
        <f>IFERROR(VLOOKUP(Tabla2[[#This Row],[TIENDA]],[1]INFO_LOCALES!$B:$D,3,FALSE),"")</f>
        <v/>
      </c>
      <c r="L1718" s="5" t="str">
        <f>IFERROR(VLOOKUP(I1718,[1]INFO_LOCALES!$B:$I,8,FALSE),"")</f>
        <v/>
      </c>
      <c r="M1718" s="5" t="str">
        <f>IFERROR(VLOOKUP(I1718,[1]INFO_LOCALES!$B:$H,7,FALSE),"")</f>
        <v/>
      </c>
      <c r="N1718" s="5" t="str">
        <f>IFERROR(VLOOKUP(I1718,[1]INFO_LOCALES!$B:$E,4,FALSE),"")</f>
        <v/>
      </c>
      <c r="O1718" s="5" t="e">
        <f>VLOOKUP(Tabla2[[#This Row],[TIENDA]],[1]INFO_LOCALES!$B:$J,9,0)</f>
        <v>#N/A</v>
      </c>
      <c r="P1718" s="5" t="str">
        <f>IFERROR(VLOOKUP(I1718,[1]INFO_LOCALES!$B:$F,5,FALSE),"")</f>
        <v/>
      </c>
      <c r="S1718" s="6"/>
      <c r="T1718" s="5" t="str">
        <f>UPPER(IF(Tabla2[[#This Row],[FECHA DE MUESTREO ]]=0,"",TEXT(Tabla2[[#This Row],[FECHA DE MUESTREO ]],("MMMM"))))</f>
        <v/>
      </c>
      <c r="U1718" s="6"/>
      <c r="W1718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8" s="7">
        <f t="shared" si="47"/>
        <v>1</v>
      </c>
    </row>
    <row r="1719" spans="10:24" x14ac:dyDescent="0.25">
      <c r="J1719" s="5" t="str">
        <f>IFERROR(VLOOKUP(I1719,[1]INFO_LOCALES!$B:$C,2,FALSE),"")</f>
        <v/>
      </c>
      <c r="K1719" s="5" t="str">
        <f>IFERROR(VLOOKUP(Tabla2[[#This Row],[TIENDA]],[1]INFO_LOCALES!$B:$D,3,FALSE),"")</f>
        <v/>
      </c>
      <c r="L1719" s="5" t="str">
        <f>IFERROR(VLOOKUP(I1719,[1]INFO_LOCALES!$B:$I,8,FALSE),"")</f>
        <v/>
      </c>
      <c r="M1719" s="5" t="str">
        <f>IFERROR(VLOOKUP(I1719,[1]INFO_LOCALES!$B:$H,7,FALSE),"")</f>
        <v/>
      </c>
      <c r="N1719" s="5" t="str">
        <f>IFERROR(VLOOKUP(I1719,[1]INFO_LOCALES!$B:$E,4,FALSE),"")</f>
        <v/>
      </c>
      <c r="O1719" s="5" t="e">
        <f>VLOOKUP(Tabla2[[#This Row],[TIENDA]],[1]INFO_LOCALES!$B:$J,9,0)</f>
        <v>#N/A</v>
      </c>
      <c r="P1719" s="5" t="str">
        <f>IFERROR(VLOOKUP(I1719,[1]INFO_LOCALES!$B:$F,5,FALSE),"")</f>
        <v/>
      </c>
      <c r="S1719" s="6"/>
      <c r="T1719" s="5" t="str">
        <f>UPPER(IF(Tabla2[[#This Row],[FECHA DE MUESTREO ]]=0,"",TEXT(Tabla2[[#This Row],[FECHA DE MUESTREO ]],("MMMM"))))</f>
        <v/>
      </c>
      <c r="U1719" s="6"/>
      <c r="W1719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19" s="7">
        <f t="shared" si="47"/>
        <v>1</v>
      </c>
    </row>
    <row r="1720" spans="10:24" x14ac:dyDescent="0.25">
      <c r="J1720" s="5" t="str">
        <f>IFERROR(VLOOKUP(I1720,[1]INFO_LOCALES!$B:$C,2,FALSE),"")</f>
        <v/>
      </c>
      <c r="K1720" s="5" t="str">
        <f>IFERROR(VLOOKUP(Tabla2[[#This Row],[TIENDA]],[1]INFO_LOCALES!$B:$D,3,FALSE),"")</f>
        <v/>
      </c>
      <c r="L1720" s="5" t="str">
        <f>IFERROR(VLOOKUP(I1720,[1]INFO_LOCALES!$B:$I,8,FALSE),"")</f>
        <v/>
      </c>
      <c r="M1720" s="5" t="str">
        <f>IFERROR(VLOOKUP(I1720,[1]INFO_LOCALES!$B:$H,7,FALSE),"")</f>
        <v/>
      </c>
      <c r="N1720" s="5" t="str">
        <f>IFERROR(VLOOKUP(I1720,[1]INFO_LOCALES!$B:$E,4,FALSE),"")</f>
        <v/>
      </c>
      <c r="O1720" s="5" t="e">
        <f>VLOOKUP(Tabla2[[#This Row],[TIENDA]],[1]INFO_LOCALES!$B:$J,9,0)</f>
        <v>#N/A</v>
      </c>
      <c r="P1720" s="5" t="str">
        <f>IFERROR(VLOOKUP(I1720,[1]INFO_LOCALES!$B:$F,5,FALSE),"")</f>
        <v/>
      </c>
      <c r="S1720" s="6"/>
      <c r="T1720" s="5" t="str">
        <f>UPPER(IF(Tabla2[[#This Row],[FECHA DE MUESTREO ]]=0,"",TEXT(Tabla2[[#This Row],[FECHA DE MUESTREO ]],("MMMM"))))</f>
        <v/>
      </c>
      <c r="U1720" s="6"/>
      <c r="W1720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20" s="7">
        <f t="shared" si="47"/>
        <v>1</v>
      </c>
    </row>
    <row r="1721" spans="10:24" x14ac:dyDescent="0.25">
      <c r="J1721" s="5" t="str">
        <f>IFERROR(VLOOKUP(I1721,[1]INFO_LOCALES!$B:$C,2,FALSE),"")</f>
        <v/>
      </c>
      <c r="K1721" s="5" t="str">
        <f>IFERROR(VLOOKUP(Tabla2[[#This Row],[TIENDA]],[1]INFO_LOCALES!$B:$D,3,FALSE),"")</f>
        <v/>
      </c>
      <c r="L1721" s="5" t="str">
        <f>IFERROR(VLOOKUP(I1721,[1]INFO_LOCALES!$B:$I,8,FALSE),"")</f>
        <v/>
      </c>
      <c r="M1721" s="5" t="str">
        <f>IFERROR(VLOOKUP(I1721,[1]INFO_LOCALES!$B:$H,7,FALSE),"")</f>
        <v/>
      </c>
      <c r="N1721" s="5" t="str">
        <f>IFERROR(VLOOKUP(I1721,[1]INFO_LOCALES!$B:$E,4,FALSE),"")</f>
        <v/>
      </c>
      <c r="O1721" s="5" t="e">
        <f>VLOOKUP(Tabla2[[#This Row],[TIENDA]],[1]INFO_LOCALES!$B:$J,9,0)</f>
        <v>#N/A</v>
      </c>
      <c r="P1721" s="5" t="str">
        <f>IFERROR(VLOOKUP(I1721,[1]INFO_LOCALES!$B:$F,5,FALSE),"")</f>
        <v/>
      </c>
      <c r="S1721" s="6"/>
      <c r="T1721" s="5" t="str">
        <f>UPPER(IF(Tabla2[[#This Row],[FECHA DE MUESTREO ]]=0,"",TEXT(Tabla2[[#This Row],[FECHA DE MUESTREO ]],("MMMM"))))</f>
        <v/>
      </c>
      <c r="U1721" s="6"/>
      <c r="W1721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21" s="7">
        <f t="shared" si="47"/>
        <v>1</v>
      </c>
    </row>
    <row r="1722" spans="10:24" x14ac:dyDescent="0.25">
      <c r="J1722" s="5" t="str">
        <f>IFERROR(VLOOKUP(I1722,[1]INFO_LOCALES!$B:$C,2,FALSE),"")</f>
        <v/>
      </c>
      <c r="K1722" s="5" t="str">
        <f>IFERROR(VLOOKUP(Tabla2[[#This Row],[TIENDA]],[1]INFO_LOCALES!$B:$D,3,FALSE),"")</f>
        <v/>
      </c>
      <c r="L1722" s="5" t="str">
        <f>IFERROR(VLOOKUP(I1722,[1]INFO_LOCALES!$B:$I,8,FALSE),"")</f>
        <v/>
      </c>
      <c r="M1722" s="5" t="str">
        <f>IFERROR(VLOOKUP(I1722,[1]INFO_LOCALES!$B:$H,7,FALSE),"")</f>
        <v/>
      </c>
      <c r="N1722" s="5" t="str">
        <f>IFERROR(VLOOKUP(I1722,[1]INFO_LOCALES!$B:$E,4,FALSE),"")</f>
        <v/>
      </c>
      <c r="O1722" s="5" t="e">
        <f>VLOOKUP(Tabla2[[#This Row],[TIENDA]],[1]INFO_LOCALES!$B:$J,9,0)</f>
        <v>#N/A</v>
      </c>
      <c r="P1722" s="5" t="str">
        <f>IFERROR(VLOOKUP(I1722,[1]INFO_LOCALES!$B:$F,5,FALSE),"")</f>
        <v/>
      </c>
      <c r="S1722" s="6"/>
      <c r="T1722" s="5" t="str">
        <f>UPPER(IF(Tabla2[[#This Row],[FECHA DE MUESTREO ]]=0,"",TEXT(Tabla2[[#This Row],[FECHA DE MUESTREO ]],("MMMM"))))</f>
        <v/>
      </c>
      <c r="U1722" s="6"/>
      <c r="W1722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22" s="7">
        <f t="shared" si="47"/>
        <v>1</v>
      </c>
    </row>
    <row r="1723" spans="10:24" x14ac:dyDescent="0.25">
      <c r="J1723" s="5" t="str">
        <f>IFERROR(VLOOKUP(I1723,[1]INFO_LOCALES!$B:$C,2,FALSE),"")</f>
        <v/>
      </c>
      <c r="K1723" s="5" t="str">
        <f>IFERROR(VLOOKUP(Tabla2[[#This Row],[TIENDA]],[1]INFO_LOCALES!$B:$D,3,FALSE),"")</f>
        <v/>
      </c>
      <c r="L1723" s="5" t="str">
        <f>IFERROR(VLOOKUP(I1723,[1]INFO_LOCALES!$B:$I,8,FALSE),"")</f>
        <v/>
      </c>
      <c r="M1723" s="5" t="str">
        <f>IFERROR(VLOOKUP(I1723,[1]INFO_LOCALES!$B:$H,7,FALSE),"")</f>
        <v/>
      </c>
      <c r="N1723" s="5" t="str">
        <f>IFERROR(VLOOKUP(I1723,[1]INFO_LOCALES!$B:$E,4,FALSE),"")</f>
        <v/>
      </c>
      <c r="O1723" s="5" t="e">
        <f>VLOOKUP(Tabla2[[#This Row],[TIENDA]],[1]INFO_LOCALES!$B:$J,9,0)</f>
        <v>#N/A</v>
      </c>
      <c r="P1723" s="5" t="str">
        <f>IFERROR(VLOOKUP(I1723,[1]INFO_LOCALES!$B:$F,5,FALSE),"")</f>
        <v/>
      </c>
      <c r="S1723" s="6"/>
      <c r="T1723" s="5" t="str">
        <f>UPPER(IF(Tabla2[[#This Row],[FECHA DE MUESTREO ]]=0,"",TEXT(Tabla2[[#This Row],[FECHA DE MUESTREO ]],("MMMM"))))</f>
        <v/>
      </c>
      <c r="U1723" s="6"/>
      <c r="W1723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23" s="7">
        <f t="shared" si="47"/>
        <v>1</v>
      </c>
    </row>
    <row r="1724" spans="10:24" x14ac:dyDescent="0.25">
      <c r="J1724" s="5" t="str">
        <f>IFERROR(VLOOKUP(I1724,[1]INFO_LOCALES!$B:$C,2,FALSE),"")</f>
        <v/>
      </c>
      <c r="K1724" s="5" t="str">
        <f>IFERROR(VLOOKUP(Tabla2[[#This Row],[TIENDA]],[1]INFO_LOCALES!$B:$D,3,FALSE),"")</f>
        <v/>
      </c>
      <c r="L1724" s="5" t="str">
        <f>IFERROR(VLOOKUP(I1724,[1]INFO_LOCALES!$B:$I,8,FALSE),"")</f>
        <v/>
      </c>
      <c r="M1724" s="5" t="str">
        <f>IFERROR(VLOOKUP(I1724,[1]INFO_LOCALES!$B:$H,7,FALSE),"")</f>
        <v/>
      </c>
      <c r="N1724" s="5" t="str">
        <f>IFERROR(VLOOKUP(I1724,[1]INFO_LOCALES!$B:$E,4,FALSE),"")</f>
        <v/>
      </c>
      <c r="O1724" s="5" t="e">
        <f>VLOOKUP(Tabla2[[#This Row],[TIENDA]],[1]INFO_LOCALES!$B:$J,9,0)</f>
        <v>#N/A</v>
      </c>
      <c r="P1724" s="5" t="str">
        <f>IFERROR(VLOOKUP(I1724,[1]INFO_LOCALES!$B:$F,5,FALSE),"")</f>
        <v/>
      </c>
      <c r="S1724" s="6"/>
      <c r="T1724" s="5" t="str">
        <f>UPPER(IF(Tabla2[[#This Row],[FECHA DE MUESTREO ]]=0,"",TEXT(Tabla2[[#This Row],[FECHA DE MUESTREO ]],("MMMM"))))</f>
        <v/>
      </c>
      <c r="U1724" s="6"/>
      <c r="W1724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24" s="7">
        <f t="shared" si="47"/>
        <v>1</v>
      </c>
    </row>
    <row r="1725" spans="10:24" x14ac:dyDescent="0.25">
      <c r="J1725" s="5" t="str">
        <f>IFERROR(VLOOKUP(I1725,[1]INFO_LOCALES!$B:$C,2,FALSE),"")</f>
        <v/>
      </c>
      <c r="K1725" s="5" t="str">
        <f>IFERROR(VLOOKUP(Tabla2[[#This Row],[TIENDA]],[1]INFO_LOCALES!$B:$D,3,FALSE),"")</f>
        <v/>
      </c>
      <c r="L1725" s="5" t="str">
        <f>IFERROR(VLOOKUP(I1725,[1]INFO_LOCALES!$B:$I,8,FALSE),"")</f>
        <v/>
      </c>
      <c r="M1725" s="5" t="str">
        <f>IFERROR(VLOOKUP(I1725,[1]INFO_LOCALES!$B:$H,7,FALSE),"")</f>
        <v/>
      </c>
      <c r="N1725" s="5" t="str">
        <f>IFERROR(VLOOKUP(I1725,[1]INFO_LOCALES!$B:$E,4,FALSE),"")</f>
        <v/>
      </c>
      <c r="O1725" s="5" t="e">
        <f>VLOOKUP(Tabla2[[#This Row],[TIENDA]],[1]INFO_LOCALES!$B:$J,9,0)</f>
        <v>#N/A</v>
      </c>
      <c r="P1725" s="5" t="str">
        <f>IFERROR(VLOOKUP(I1725,[1]INFO_LOCALES!$B:$F,5,FALSE),"")</f>
        <v/>
      </c>
      <c r="S1725" s="6"/>
      <c r="T1725" s="5" t="str">
        <f>UPPER(IF(Tabla2[[#This Row],[FECHA DE MUESTREO ]]=0,"",TEXT(Tabla2[[#This Row],[FECHA DE MUESTREO ]],("MMMM"))))</f>
        <v/>
      </c>
      <c r="U1725" s="6"/>
      <c r="W1725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25" s="7">
        <f t="shared" si="47"/>
        <v>1</v>
      </c>
    </row>
    <row r="1726" spans="10:24" x14ac:dyDescent="0.25">
      <c r="J1726" s="5" t="str">
        <f>IFERROR(VLOOKUP(I1726,[1]INFO_LOCALES!$B:$C,2,FALSE),"")</f>
        <v/>
      </c>
      <c r="K1726" s="5" t="str">
        <f>IFERROR(VLOOKUP(Tabla2[[#This Row],[TIENDA]],[1]INFO_LOCALES!$B:$D,3,FALSE),"")</f>
        <v/>
      </c>
      <c r="L1726" s="5" t="str">
        <f>IFERROR(VLOOKUP(I1726,[1]INFO_LOCALES!$B:$I,8,FALSE),"")</f>
        <v/>
      </c>
      <c r="M1726" s="5" t="str">
        <f>IFERROR(VLOOKUP(I1726,[1]INFO_LOCALES!$B:$H,7,FALSE),"")</f>
        <v/>
      </c>
      <c r="N1726" s="5" t="str">
        <f>IFERROR(VLOOKUP(I1726,[1]INFO_LOCALES!$B:$E,4,FALSE),"")</f>
        <v/>
      </c>
      <c r="O1726" s="5" t="e">
        <f>VLOOKUP(Tabla2[[#This Row],[TIENDA]],[1]INFO_LOCALES!$B:$J,9,0)</f>
        <v>#N/A</v>
      </c>
      <c r="P1726" s="5" t="str">
        <f>IFERROR(VLOOKUP(I1726,[1]INFO_LOCALES!$B:$F,5,FALSE),"")</f>
        <v/>
      </c>
      <c r="S1726" s="6"/>
      <c r="T1726" s="5" t="str">
        <f>UPPER(IF(Tabla2[[#This Row],[FECHA DE MUESTREO ]]=0,"",TEXT(Tabla2[[#This Row],[FECHA DE MUESTREO ]],("MMMM"))))</f>
        <v/>
      </c>
      <c r="U1726" s="6"/>
      <c r="W1726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26" s="7">
        <f t="shared" si="47"/>
        <v>1</v>
      </c>
    </row>
    <row r="1727" spans="10:24" x14ac:dyDescent="0.25">
      <c r="J1727" s="5" t="str">
        <f>IFERROR(VLOOKUP(I1727,[1]INFO_LOCALES!$B:$C,2,FALSE),"")</f>
        <v/>
      </c>
      <c r="K1727" s="5" t="str">
        <f>IFERROR(VLOOKUP(Tabla2[[#This Row],[TIENDA]],[1]INFO_LOCALES!$B:$D,3,FALSE),"")</f>
        <v/>
      </c>
      <c r="L1727" s="5" t="str">
        <f>IFERROR(VLOOKUP(I1727,[1]INFO_LOCALES!$B:$I,8,FALSE),"")</f>
        <v/>
      </c>
      <c r="M1727" s="5" t="str">
        <f>IFERROR(VLOOKUP(I1727,[1]INFO_LOCALES!$B:$H,7,FALSE),"")</f>
        <v/>
      </c>
      <c r="N1727" s="5" t="str">
        <f>IFERROR(VLOOKUP(I1727,[1]INFO_LOCALES!$B:$E,4,FALSE),"")</f>
        <v/>
      </c>
      <c r="O1727" s="5" t="e">
        <f>VLOOKUP(Tabla2[[#This Row],[TIENDA]],[1]INFO_LOCALES!$B:$J,9,0)</f>
        <v>#N/A</v>
      </c>
      <c r="P1727" s="5" t="str">
        <f>IFERROR(VLOOKUP(I1727,[1]INFO_LOCALES!$B:$F,5,FALSE),"")</f>
        <v/>
      </c>
      <c r="S1727" s="6"/>
      <c r="T1727" s="5" t="str">
        <f>UPPER(IF(Tabla2[[#This Row],[FECHA DE MUESTREO ]]=0,"",TEXT(Tabla2[[#This Row],[FECHA DE MUESTREO ]],("MMMM"))))</f>
        <v/>
      </c>
      <c r="U1727" s="6"/>
      <c r="W1727" s="5" t="str">
        <f>IF(AND(Tabla2[[#This Row],[ACEITES Y GRASAS (MG/L) (LM150)]]&lt;=[1]Tabla4!$D$3,Tabla2[[#This Row],[PODER ESPUMÓGENO (MM) (7)]]&lt;=[1]Tabla4!$D$18,Tabla2[[#This Row],[DBO5 (MG/L) (300)]]&lt;=[1]Tabla4!$D$24,Tabla2[[#This Row],[FOSFORO (MG/L) (15)]]&lt;=[1]Tabla4!$D$25,Tabla2[[#This Row],[NITROGENO AMONIACAL (MG/L) (80)]]&lt;=[1]Tabla4!$D$26,Tabla2[[#This Row],[S. SEDIMENTABLES (MM/L) (20)]]&lt;=[1]Tabla4!$D$19,Tabla2[[#This Row],[SOLIDOS SUSPENDIDOS TOTALES (MG/L) (300)]]&lt;=[1]Tabla4!$D$27,Tabla2[[#This Row],[ALUMINIO (MG/L)]]&lt;=[1]Tabla4!$D$4,Tabla2[[#This Row],[ARSÉNICO (MG/L)]]&lt;=[1]Tabla4!$D$5,Tabla2[[#This Row],[BORO (MG/L)]]&lt;=[1]Tabla4!$D$6,Tabla2[[#This Row],[CADMIO (MG/L)]]&lt;=[1]Tabla4!$D$7,Tabla2[[#This Row],[CIANURO (MG/L)]]&lt;=[1]Tabla4!$D$8,Tabla2[[#This Row],[ZINC (MG/L)]]&lt;=[1]Tabla4!$D$23,Tabla2[[#This Row],[COBRE (MG/L)]]&lt;=[1]Tabla4!$D$9,Tabla2[[#This Row],[CROMO TOTAL (MG/L)]]&lt;=[1]Tabla4!$D$11,Tabla2[[#This Row],[CROMO HEXAVALENTE (MG/L)]]&lt;=[1]Tabla4!$D$10,Tabla2[[#This Row],[HIDROCARBUROS TOTALES (MG/L)]]&lt;=[1]Tabla4!$D$12,Tabla2[[#This Row],[MANGANESO  (MG/L)]]&lt;=[1]Tabla4!$D$13,Tabla2[[#This Row],[MERCURIO (MG/L)]]&lt;=[1]Tabla4!$D$14,Tabla2[[#This Row],[NIQUEL (MG/L)]]&lt;=[1]Tabla4!$D$15,Tabla2[[#This Row],[PLOMO (MG/L)]]&lt;=[1]Tabla4!$D$17,Tabla2[[#This Row],[SULFATOS (MG/L)]]&lt;=[1]Tabla4!$D$20,Tabla2[[#This Row],[SULFUROS (MG/L)]]&lt;=[1]Tabla4!$D$21),"CUMPLE",IF(AND(Tabla2[[#This Row],[ACEITES Y GRASAS (MG/L) (LM150)]]&lt;=[1]Tabla4!$E$3,Tabla2[[#This Row],[PODER ESPUMÓGENO (MM) (7)]]&lt;=[1]Tabla4!$E$18,Tabla2[[#This Row],[DBO5 (MG/L) (300)]]&lt;=[1]Tabla4!$E$24,Tabla2[[#This Row],[FOSFORO (MG/L) (15)]]&lt;=[1]Tabla4!$E$25,Tabla2[[#This Row],[NITROGENO AMONIACAL (MG/L) (80)]]&lt;=[1]Tabla4!$E$26,Tabla2[[#This Row],[S. SEDIMENTABLES (MM/L) (20)]]&lt;=[1]Tabla4!$E$19,Tabla2[[#This Row],[SOLIDOS SUSPENDIDOS TOTALES (MG/L) (300)]]&lt;=[1]Tabla4!$E$27,Tabla2[[#This Row],[ALUMINIO (MG/L)]]&lt;=[1]Tabla4!$E$4,Tabla2[[#This Row],[ARSÉNICO (MG/L)]]&lt;=[1]Tabla4!$E$5,Tabla2[[#This Row],[BORO (MG/L)]]&lt;=[1]Tabla4!$E$6,Tabla2[[#This Row],[CADMIO (MG/L)]]&lt;=[1]Tabla4!$E$7,Tabla2[[#This Row],[CIANURO (MG/L)]]&lt;=[1]Tabla4!$E$8,Tabla2[[#This Row],[ZINC (MG/L)]]&lt;=[1]Tabla4!$E$23,Tabla2[[#This Row],[COBRE (MG/L)]]&lt;=[1]Tabla4!$E$9,Tabla2[[#This Row],[CROMO TOTAL (MG/L)]]&lt;=[1]Tabla4!$E$11,Tabla2[[#This Row],[CROMO HEXAVALENTE (MG/L)]]&lt;=[1]Tabla4!$E$10,Tabla2[[#This Row],[HIDROCARBUROS TOTALES (MG/L)]]&lt;=[1]Tabla4!$E$12,Tabla2[[#This Row],[MANGANESO  (MG/L)]]&lt;=[1]Tabla4!$E$13,Tabla2[[#This Row],[MERCURIO (MG/L)]]&lt;=[1]Tabla4!$E$14,Tabla2[[#This Row],[NIQUEL (MG/L)]]&lt;=[1]Tabla4!$E$15,Tabla2[[#This Row],[PLOMO (MG/L)]]&lt;=[1]Tabla4!$E$17,Tabla2[[#This Row],[SULFATOS (MG/L)]]&lt;=[1]Tabla4!$E$20,Tabla2[[#This Row],[SULFUROS (MG/L)]]&lt;=[1]Tabla4!$E$21),"CUMPLE CON TOLERANCIA","NO CUMPLE"))</f>
        <v>CUMPLE</v>
      </c>
      <c r="X1727" s="7">
        <f t="shared" si="47"/>
        <v>1</v>
      </c>
    </row>
    <row r="1728" spans="10:24" x14ac:dyDescent="0.25">
      <c r="U1728" s="5" t="s">
        <v>339</v>
      </c>
    </row>
  </sheetData>
  <sheetProtection autoFilter="0"/>
  <conditionalFormatting sqref="A927:A929">
    <cfRule type="expression" dxfId="113" priority="8">
      <formula>$X927=3</formula>
    </cfRule>
  </conditionalFormatting>
  <conditionalFormatting sqref="A2:R2 T2:T230 V2:X230 U2:U387 F3:F723 Q3:R230 E3:E486 I3:N486 P3:P486 A3:A489 B3:D526 G3:H658 Q231:T232 W231:X379 V231:V387 Q233:R327 S233:T486 R328 Q329:R329 R330:R486 Q331:Q486 U389:V486 W390:X486 T487 W487 E488:E489 I488:N489 P488:X489 T490 W490 A491 E491 I491:N491 P491:X491 T492:T493 V494:X494 P494:T495 U494:U591 I494:N646 A494:A739 X495:X646 T496:T715 P496:R646 B527:C527 B528:D554 B555:C555 B556:D578 B579:C581 B582:D588 B589:C590 B591:D604 V495:W592 U593:W646 B605:C606 B607:D609 B610:C610 B611:D645 B646:C646 B647:D648 Q649:R649 V649 B649:C650 P650:Q650 U650:U657 W650:X657 I650:N658 B651:D658 U658:X658 E494:E659 B659:C660 U659:U709 W659:X709 O3:O677 G659:N677 P651:R677 B661:D666 B667:C667 B668:D685 G678:H723 R681:R685 Q681:Q688 B686:C686 B687:D694 R697:R707 Q698:Q713 U710:X711 U712 W712:X712 U713:X715 T716:X726 F724:I724 Q724:R724 F725:H793 U727:X752 T727:T1727 U753 W753:X753 U754:X765 R787:R806 F794:F795 H794:H795 F796:H1727">
    <cfRule type="expression" dxfId="112" priority="58">
      <formula>$X2=3</formula>
    </cfRule>
  </conditionalFormatting>
  <conditionalFormatting sqref="E660:F685">
    <cfRule type="expression" dxfId="111" priority="48">
      <formula>$X660=3</formula>
    </cfRule>
  </conditionalFormatting>
  <conditionalFormatting sqref="E687:F687">
    <cfRule type="expression" dxfId="110" priority="52">
      <formula>$X687=3</formula>
    </cfRule>
  </conditionalFormatting>
  <conditionalFormatting sqref="E690:F690">
    <cfRule type="expression" dxfId="109" priority="45">
      <formula>$X690=3</formula>
    </cfRule>
  </conditionalFormatting>
  <conditionalFormatting sqref="E692:F692">
    <cfRule type="expression" dxfId="108" priority="44">
      <formula>$X692=3</formula>
    </cfRule>
  </conditionalFormatting>
  <conditionalFormatting sqref="E715:F715">
    <cfRule type="expression" dxfId="107" priority="39">
      <formula>$X715=3</formula>
    </cfRule>
  </conditionalFormatting>
  <conditionalFormatting sqref="G794">
    <cfRule type="expression" dxfId="106" priority="60">
      <formula>$X795=3</formula>
    </cfRule>
  </conditionalFormatting>
  <conditionalFormatting sqref="G795">
    <cfRule type="expression" dxfId="105" priority="29">
      <formula>$X795=3</formula>
    </cfRule>
  </conditionalFormatting>
  <conditionalFormatting sqref="I649">
    <cfRule type="expression" dxfId="104" priority="27">
      <formula>$X649=3</formula>
    </cfRule>
  </conditionalFormatting>
  <conditionalFormatting sqref="I688">
    <cfRule type="expression" dxfId="103" priority="51">
      <formula>$X688=3</formula>
    </cfRule>
  </conditionalFormatting>
  <conditionalFormatting sqref="I705:I707">
    <cfRule type="expression" dxfId="102" priority="46">
      <formula>$X705=3</formula>
    </cfRule>
  </conditionalFormatting>
  <conditionalFormatting sqref="I714:I715">
    <cfRule type="expression" dxfId="101" priority="42">
      <formula>$X714=3</formula>
    </cfRule>
  </conditionalFormatting>
  <conditionalFormatting sqref="I717">
    <cfRule type="expression" dxfId="100" priority="35">
      <formula>$X717=3</formula>
    </cfRule>
  </conditionalFormatting>
  <conditionalFormatting sqref="I725">
    <cfRule type="expression" dxfId="99" priority="37">
      <formula>$X725=3</formula>
    </cfRule>
  </conditionalFormatting>
  <conditionalFormatting sqref="I772">
    <cfRule type="expression" dxfId="98" priority="34">
      <formula>$X772=3</formula>
    </cfRule>
  </conditionalFormatting>
  <conditionalFormatting sqref="I826">
    <cfRule type="expression" dxfId="97" priority="30">
      <formula>$X826=3</formula>
    </cfRule>
  </conditionalFormatting>
  <conditionalFormatting sqref="I870">
    <cfRule type="expression" dxfId="96" priority="17">
      <formula>$X870=3</formula>
    </cfRule>
  </conditionalFormatting>
  <conditionalFormatting sqref="I876">
    <cfRule type="expression" dxfId="95" priority="13">
      <formula>$X876=3</formula>
    </cfRule>
  </conditionalFormatting>
  <conditionalFormatting sqref="I878">
    <cfRule type="expression" dxfId="94" priority="12">
      <formula>$X878=3</formula>
    </cfRule>
  </conditionalFormatting>
  <conditionalFormatting sqref="I929">
    <cfRule type="expression" dxfId="93" priority="7">
      <formula>$X929=3</formula>
    </cfRule>
  </conditionalFormatting>
  <conditionalFormatting sqref="I974">
    <cfRule type="expression" dxfId="92" priority="5">
      <formula>$X974=3</formula>
    </cfRule>
  </conditionalFormatting>
  <conditionalFormatting sqref="I980">
    <cfRule type="expression" dxfId="91" priority="4">
      <formula>$X980=3</formula>
    </cfRule>
  </conditionalFormatting>
  <conditionalFormatting sqref="I1005">
    <cfRule type="expression" dxfId="90" priority="2">
      <formula>$X1005=3</formula>
    </cfRule>
  </conditionalFormatting>
  <conditionalFormatting sqref="O678:O1727">
    <cfRule type="expression" dxfId="89" priority="25">
      <formula>$X678=3</formula>
    </cfRule>
  </conditionalFormatting>
  <conditionalFormatting sqref="Q328">
    <cfRule type="expression" dxfId="88" priority="57">
      <formula>$X328=3</formula>
    </cfRule>
  </conditionalFormatting>
  <conditionalFormatting sqref="Q330">
    <cfRule type="expression" dxfId="87" priority="56">
      <formula>$X330=3</formula>
    </cfRule>
  </conditionalFormatting>
  <conditionalFormatting sqref="Q648">
    <cfRule type="expression" dxfId="86" priority="24">
      <formula>$X648=3</formula>
    </cfRule>
  </conditionalFormatting>
  <conditionalFormatting sqref="Q691">
    <cfRule type="expression" dxfId="85" priority="49">
      <formula>$X691=3</formula>
    </cfRule>
  </conditionalFormatting>
  <conditionalFormatting sqref="Q715:Q716">
    <cfRule type="expression" dxfId="84" priority="40">
      <formula>$X715=3</formula>
    </cfRule>
  </conditionalFormatting>
  <conditionalFormatting sqref="Q719">
    <cfRule type="expression" dxfId="83" priority="23">
      <formula>$X719=3</formula>
    </cfRule>
  </conditionalFormatting>
  <conditionalFormatting sqref="Q725:Q776">
    <cfRule type="expression" dxfId="82" priority="38">
      <formula>$X725=3</formula>
    </cfRule>
  </conditionalFormatting>
  <conditionalFormatting sqref="Q780">
    <cfRule type="expression" dxfId="81" priority="22">
      <formula>$X780=3</formula>
    </cfRule>
  </conditionalFormatting>
  <conditionalFormatting sqref="Q790:Q792">
    <cfRule type="expression" dxfId="80" priority="33">
      <formula>$X790=3</formula>
    </cfRule>
  </conditionalFormatting>
  <conditionalFormatting sqref="Q795:Q798">
    <cfRule type="expression" dxfId="79" priority="28">
      <formula>$X795=3</formula>
    </cfRule>
  </conditionalFormatting>
  <conditionalFormatting sqref="Q800">
    <cfRule type="expression" dxfId="78" priority="32">
      <formula>$X800=3</formula>
    </cfRule>
  </conditionalFormatting>
  <conditionalFormatting sqref="Q803:Q805">
    <cfRule type="expression" dxfId="77" priority="19">
      <formula>$X803=3</formula>
    </cfRule>
  </conditionalFormatting>
  <conditionalFormatting sqref="Q807">
    <cfRule type="expression" dxfId="76" priority="36">
      <formula>$X807=3</formula>
    </cfRule>
  </conditionalFormatting>
  <conditionalFormatting sqref="Q823:Q825">
    <cfRule type="expression" dxfId="75" priority="21">
      <formula>$X823=3</formula>
    </cfRule>
  </conditionalFormatting>
  <conditionalFormatting sqref="Q827">
    <cfRule type="expression" dxfId="74" priority="3">
      <formula>$X827=3</formula>
    </cfRule>
  </conditionalFormatting>
  <conditionalFormatting sqref="Q865:Q867">
    <cfRule type="expression" dxfId="73" priority="20">
      <formula>$X865=3</formula>
    </cfRule>
  </conditionalFormatting>
  <conditionalFormatting sqref="Q870">
    <cfRule type="expression" dxfId="72" priority="16">
      <formula>$X870=3</formula>
    </cfRule>
  </conditionalFormatting>
  <conditionalFormatting sqref="Q873:Q877">
    <cfRule type="expression" dxfId="71" priority="14">
      <formula>$X873=3</formula>
    </cfRule>
  </conditionalFormatting>
  <conditionalFormatting sqref="Q893">
    <cfRule type="expression" dxfId="70" priority="10">
      <formula>$X893=3</formula>
    </cfRule>
  </conditionalFormatting>
  <conditionalFormatting sqref="Q969:Q978">
    <cfRule type="expression" dxfId="69" priority="6">
      <formula>$X969=3</formula>
    </cfRule>
  </conditionalFormatting>
  <conditionalFormatting sqref="Q1005:Q1006">
    <cfRule type="expression" dxfId="68" priority="1">
      <formula>$X1005=3</formula>
    </cfRule>
  </conditionalFormatting>
  <conditionalFormatting sqref="Q678:R680">
    <cfRule type="expression" dxfId="67" priority="54">
      <formula>$X678=3</formula>
    </cfRule>
  </conditionalFormatting>
  <conditionalFormatting sqref="R687:R688">
    <cfRule type="expression" dxfId="66" priority="53">
      <formula>$X687=3</formula>
    </cfRule>
  </conditionalFormatting>
  <conditionalFormatting sqref="R691">
    <cfRule type="expression" dxfId="65" priority="50">
      <formula>$X691=3</formula>
    </cfRule>
  </conditionalFormatting>
  <conditionalFormatting sqref="R695">
    <cfRule type="expression" dxfId="64" priority="47">
      <formula>$X695=3</formula>
    </cfRule>
  </conditionalFormatting>
  <conditionalFormatting sqref="R709:R713">
    <cfRule type="expression" dxfId="63" priority="43">
      <formula>$X709=3</formula>
    </cfRule>
  </conditionalFormatting>
  <conditionalFormatting sqref="R715:R716">
    <cfRule type="expression" dxfId="62" priority="41">
      <formula>$X715=3</formula>
    </cfRule>
  </conditionalFormatting>
  <conditionalFormatting sqref="R725:R778">
    <cfRule type="expression" dxfId="61" priority="31">
      <formula>$X725=3</formula>
    </cfRule>
  </conditionalFormatting>
  <conditionalFormatting sqref="R809:R820">
    <cfRule type="expression" dxfId="60" priority="18">
      <formula>$X809=3</formula>
    </cfRule>
  </conditionalFormatting>
  <conditionalFormatting sqref="R893">
    <cfRule type="expression" dxfId="59" priority="11">
      <formula>$X893=3</formula>
    </cfRule>
  </conditionalFormatting>
  <conditionalFormatting sqref="S2:S230">
    <cfRule type="expression" dxfId="58" priority="59">
      <formula>$X2=3</formula>
    </cfRule>
  </conditionalFormatting>
  <conditionalFormatting sqref="V654">
    <cfRule type="expression" dxfId="57" priority="55">
      <formula>$X654=3</formula>
    </cfRule>
  </conditionalFormatting>
  <conditionalFormatting sqref="V793">
    <cfRule type="expression" dxfId="56" priority="9">
      <formula>$X793=3</formula>
    </cfRule>
  </conditionalFormatting>
  <conditionalFormatting sqref="V806">
    <cfRule type="expression" dxfId="55" priority="26">
      <formula>$X806=3</formula>
    </cfRule>
  </conditionalFormatting>
  <conditionalFormatting sqref="V870:V874">
    <cfRule type="expression" dxfId="54" priority="15">
      <formula>$X870=3</formula>
    </cfRule>
  </conditionalFormatting>
  <dataValidations count="4">
    <dataValidation type="list" allowBlank="1" showInputMessage="1" showErrorMessage="1" sqref="R2:R230 R236:R316" xr:uid="{F74CF8B4-35A0-4D80-8843-DE86F3372E3E}">
      <formula1>"AUTOCONTROL, CONTROL DIRECTO"</formula1>
    </dataValidation>
    <dataValidation type="list" allowBlank="1" showInputMessage="1" showErrorMessage="1" sqref="T2:T230 T448 T236:T316" xr:uid="{F0F0F661-6463-478D-A751-1669A7001144}">
      <formula1>"ENERO, FEBRERO, MARZO, ABRIL, MAYO, JUNIO, JULIO, AGOSTO, SEPTIEMBRE, OCTUBRE, NOVIEMBRE, DICIEMBRE"</formula1>
    </dataValidation>
    <dataValidation type="list" allowBlank="1" showInputMessage="1" showErrorMessage="1" sqref="E625 A236:A318 A2:A231 A625 E2:E231 E236:E318" xr:uid="{03CC59BB-42B1-4B32-8205-EF4E749A4DE5}">
      <formula1>"RENDIC, MAYORISTA, ALVI, TLM"</formula1>
    </dataValidation>
    <dataValidation type="list" allowBlank="1" showInputMessage="1" showErrorMessage="1" sqref="V2:V230 V385 V387 V236:V316" xr:uid="{A35BF850-5E05-4216-A96B-16C0F5B598F9}">
      <formula1>"RESUMEN, VDD, COMPLETO"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1" id="{98B64AD5-6FB3-4083-9E01-6FE17DCF041F}">
            <x14:iconSet iconSet="3Symbols2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X2:X1727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Fiscalizaciones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Quioza Gonzalez</dc:creator>
  <cp:lastModifiedBy>Diego Quioza Gonzalez</cp:lastModifiedBy>
  <dcterms:created xsi:type="dcterms:W3CDTF">2026-08-27T19:00:45Z</dcterms:created>
  <dcterms:modified xsi:type="dcterms:W3CDTF">2026-08-27T19:01:19Z</dcterms:modified>
</cp:coreProperties>
</file>